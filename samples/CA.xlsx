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.S\Downloads\"/>
    </mc:Choice>
  </mc:AlternateContent>
  <xr:revisionPtr revIDLastSave="0" documentId="13_ncr:1_{65D92642-1933-4139-96C7-CA91BA61B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I1788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<sst xmlns="http://schemas.openxmlformats.org/spreadsheetml/2006/main" count="12737" uniqueCount="10691">
  <si>
    <t>111 S LA Senda Dr, Laguna Beach, CA 92651</t>
  </si>
  <si>
    <t>https://www.realtor.com/realestateandhomes-detail/111-S-LA-Senda-Dr_Laguna-Beach_CA_92651_M20880-27775</t>
  </si>
  <si>
    <t>Tim Smith</t>
  </si>
  <si>
    <t>tim@timsmithgroup.com</t>
  </si>
  <si>
    <t>Coldwell Banker Realty</t>
  </si>
  <si>
    <t>16630 Oldham Pl, Encino, CA 91436</t>
  </si>
  <si>
    <t>https://www.realtor.com/realestateandhomes-detail/16630-Oldham-Pl_Encino_CA_91436_M94759-38992</t>
  </si>
  <si>
    <t>Dennis Chernov</t>
  </si>
  <si>
    <t>dennis@chernovteam.com</t>
  </si>
  <si>
    <t>Equity Union</t>
  </si>
  <si>
    <t>875 N Norman Pl, Los Angeles, CA 90049</t>
  </si>
  <si>
    <t>https://www.realtor.com/realestateandhomes-detail/875-N-Norman-Pl_Los-Angeles_CA_90049_M90817-38827</t>
  </si>
  <si>
    <t>Shawn Kormondy</t>
  </si>
  <si>
    <t>skor@skorreg.com</t>
  </si>
  <si>
    <t>Keller Williams Beverly Hills</t>
  </si>
  <si>
    <t>22 Pelican Crest Dr, Newport Coast, CA 92657</t>
  </si>
  <si>
    <t>https://www.realtor.com/realestateandhomes-detail/22-Pelican-Crest-Dr_Newport-Coast_CA_92657_M14338-64109</t>
  </si>
  <si>
    <t>Payman Paul Daftarian</t>
  </si>
  <si>
    <t>paul@daftariangroup.com</t>
  </si>
  <si>
    <t>Luxe Real Estate</t>
  </si>
  <si>
    <t>4626 Berryman Ave, Culver City, CA 90230</t>
  </si>
  <si>
    <t>https://www.realtor.com/realestateandhomes-detail/4626-Berryman-Ave_Culver-City_CA_90230_M11217-05622</t>
  </si>
  <si>
    <t>Stephanie Younger</t>
  </si>
  <si>
    <t>hello@stephanieyounger.com</t>
  </si>
  <si>
    <t>COMPASS</t>
  </si>
  <si>
    <t>5150-1/2 Village Grn, Los Angeles, CA 90016</t>
  </si>
  <si>
    <t>https://www.realtor.com/realestateandhomes-detail/5150-12-Village-Grn_Los-Angeles_CA_90016_M93822-93942</t>
  </si>
  <si>
    <t>Fei Li</t>
  </si>
  <si>
    <t>Fei@feiliestates.com</t>
  </si>
  <si>
    <t>Latitude 33 Real Estate</t>
  </si>
  <si>
    <t>14929 Vose St, Van Nuys, CA 91405</t>
  </si>
  <si>
    <t>https://www.realtor.com/realestateandhomes-detail/14929-Vose-St_Van-Nuys_CA_91405_M24434-17353</t>
  </si>
  <si>
    <t>Gary Keshishyan</t>
  </si>
  <si>
    <t>garyk4re@gmail.com</t>
  </si>
  <si>
    <t>Pinnacle Estate Properties, Inc.</t>
  </si>
  <si>
    <t>19350 Ward St Spc 38, Huntington Beach, CA 92646</t>
  </si>
  <si>
    <t>https://www.realtor.com/realestateandhomes-detail/19350-Ward-St-Spc-38_Huntington-Beach_CA_92646_M92379-10078</t>
  </si>
  <si>
    <t>Michelle Fairchild</t>
  </si>
  <si>
    <t>michellefsellsoc@gmail.com</t>
  </si>
  <si>
    <t>Premiere Choice Mfd Housing</t>
  </si>
  <si>
    <t>20212 Via Medici, Porter Ranch, CA 91326</t>
  </si>
  <si>
    <t>https://www.realtor.com/realestateandhomes-detail/20212-Via-Medici_Porter-Ranch_CA_91326_M18856-73890</t>
  </si>
  <si>
    <t>Stephanie Vitacco</t>
  </si>
  <si>
    <t>stephanie@teamvitacco.com</t>
  </si>
  <si>
    <t>1740 Summitridge Dr, Beverly Hills, CA 90210</t>
  </si>
  <si>
    <t>https://www.realtor.com/realestateandhomes-detail/1740-Summitridge-Dr_Beverly-Hills_CA_90210_M21699-31041</t>
  </si>
  <si>
    <t>Jonathan Minerick</t>
  </si>
  <si>
    <t>info@homecoin.com</t>
  </si>
  <si>
    <t>homecoin.com</t>
  </si>
  <si>
    <t>330 E 101st St, Los Angeles, CA 90003</t>
  </si>
  <si>
    <t>https://www.realtor.com/realestateandhomes-detail/330-E-101st-St_Los-Angeles_CA_90003_M23595-43763</t>
  </si>
  <si>
    <t>Meital Taub</t>
  </si>
  <si>
    <t>meital@livelrealestate.com</t>
  </si>
  <si>
    <t>Livel Real Estate</t>
  </si>
  <si>
    <t>2442 Banyan Dr, Los Angeles, CA 90049</t>
  </si>
  <si>
    <t>https://www.realtor.com/realestateandhomes-detail/2442-Banyan-Dr_Los-Angeles_CA_90049_M17571-30356</t>
  </si>
  <si>
    <t>Tami Pardee</t>
  </si>
  <si>
    <t>hello@pardeeproperties.com</t>
  </si>
  <si>
    <t>Pardee Properties</t>
  </si>
  <si>
    <t>74 Emerald Bay, Laguna Beach, CA 92651</t>
  </si>
  <si>
    <t>https://www.realtor.com/realestateandhomes-detail/74-Emerald-Bay_Laguna-Beach_CA_92651_M19769-38000</t>
  </si>
  <si>
    <t>John Stanaland</t>
  </si>
  <si>
    <t>jstanaland@villarealestate.com</t>
  </si>
  <si>
    <t>The Agency</t>
  </si>
  <si>
    <t>300 Junco, Irvine, CA 92618</t>
  </si>
  <si>
    <t>https://www.realtor.com/realestateandhomes-detail/300-Junco_Irvine_CA_92618_M97062-19827</t>
  </si>
  <si>
    <t>CESI PAGANO</t>
  </si>
  <si>
    <t>Cesi@CesiPagano.com</t>
  </si>
  <si>
    <t>Keller Williams Realty</t>
  </si>
  <si>
    <t>13524 D Este Dr, Pacific Palisades, CA 90272</t>
  </si>
  <si>
    <t>https://www.realtor.com/realestateandhomes-detail/13524-D-Este-Dr_Pacific-Palisades_CA_90272_M10558-59850</t>
  </si>
  <si>
    <t>Sally Forster Jones</t>
  </si>
  <si>
    <t>showings@sallyforsterjones.com</t>
  </si>
  <si>
    <t>705 Broadway St, Venice, CA 90291</t>
  </si>
  <si>
    <t>https://www.realtor.com/realestateandhomes-detail/705-Broadway-St_Venice_CA_90291_M18053-49337</t>
  </si>
  <si>
    <t>Philip Boroda</t>
  </si>
  <si>
    <t>pboroda1@earthlink.net</t>
  </si>
  <si>
    <t>Coldwell Banker Realty - Sherman Oaks</t>
  </si>
  <si>
    <t>14357 Herron St, Sylmar, CA 91342</t>
  </si>
  <si>
    <t>https://www.realtor.com/realestateandhomes-detail/14357-Herron-St_Sylmar_CA_91342_M14983-91694</t>
  </si>
  <si>
    <t>Jessica Nieto</t>
  </si>
  <si>
    <t>jessica@brookerealty.com</t>
  </si>
  <si>
    <t>eXp Realty of California Inc.</t>
  </si>
  <si>
    <t>12001 Shoshone Ave, Granada Hills, CA 91344</t>
  </si>
  <si>
    <t>https://www.realtor.com/realestateandhomes-detail/12001-Shoshone-Ave_Granada-Hills_CA_91344_M13670-92407</t>
  </si>
  <si>
    <t>HAIK BOKHCHALIAN</t>
  </si>
  <si>
    <t>hardmoneyhaik@yahoo.com</t>
  </si>
  <si>
    <t>JohnHart Real Estate</t>
  </si>
  <si>
    <t>4543 Densmore Ave, Encino, CA 91436</t>
  </si>
  <si>
    <t>https://www.realtor.com/realestateandhomes-detail/4543-Densmore-Ave_Encino_CA_91436_M29001-09707</t>
  </si>
  <si>
    <t>George Ouzounian</t>
  </si>
  <si>
    <t>george.oz@theagencyre.com</t>
  </si>
  <si>
    <t>649 N Las Casas Ave, Pacific Palisades, CA 90272</t>
  </si>
  <si>
    <t>https://www.realtor.com/realestateandhomes-detail/649-N-Las-Casas-Ave_Pacific-Palisades_CA_90272_M28770-57832</t>
  </si>
  <si>
    <t>David Berg</t>
  </si>
  <si>
    <t>david@smithandberg.com</t>
  </si>
  <si>
    <t>514 N Hayworth Ave, Los Angeles, CA 90048</t>
  </si>
  <si>
    <t>https://www.realtor.com/realestateandhomes-detail/514-N-Hayworth-Ave_Los-Angeles_CA_90048_M11598-69185</t>
  </si>
  <si>
    <t>Kadie Presley</t>
  </si>
  <si>
    <t>kadie.presleywilson@cbre.com</t>
  </si>
  <si>
    <t>CB Richard Ellis, Inc.</t>
  </si>
  <si>
    <t>F. Ron Smith</t>
  </si>
  <si>
    <t>fron@smithandberg.com</t>
  </si>
  <si>
    <t>718-1/2 Poinsettia, Corona Del Mar, CA 92625</t>
  </si>
  <si>
    <t>https://www.realtor.com/realestateandhomes-detail/718-12-Poinsettia_Corona-Del-Mar_CA_92625_M90799-08309</t>
  </si>
  <si>
    <t>Casey Lesher</t>
  </si>
  <si>
    <t>caseylesher@gmail.com</t>
  </si>
  <si>
    <t>Christie's AKG</t>
  </si>
  <si>
    <t>920 S LA Brea Ave, Los Angeles, CA 90036</t>
  </si>
  <si>
    <t>https://www.realtor.com/realestateandhomes-detail/920-S-LA-Brea-Ave_Los-Angeles_CA_90036_M96065-98782</t>
  </si>
  <si>
    <t>Richard Schulman</t>
  </si>
  <si>
    <t>schulmanrd@gmail.com</t>
  </si>
  <si>
    <t>KW Westside Estates</t>
  </si>
  <si>
    <t>3001 Hutton Pl, Beverly Hills, CA 90210</t>
  </si>
  <si>
    <t>https://www.realtor.com/realestateandhomes-detail/3001-Hutton-Pl_Beverly-Hills_CA_90210_M24607-97254</t>
  </si>
  <si>
    <t>Jimmy Heckenberg</t>
  </si>
  <si>
    <t>jimmyheck@heckandberghomes.com</t>
  </si>
  <si>
    <t>Rodeo Realty</t>
  </si>
  <si>
    <t>12635 Main St Apt 201, Garden Grove, CA 92840</t>
  </si>
  <si>
    <t>https://www.realtor.com/realestateandhomes-detail/12635-Main-St-Apt-201_Garden-Grove_CA_92840_M14263-75337</t>
  </si>
  <si>
    <t>Elizabeth Do</t>
  </si>
  <si>
    <t>doteamleads@fivestreet.me</t>
  </si>
  <si>
    <t>Keller Williams Realty - Huntington Beach</t>
  </si>
  <si>
    <t>3724 Dixie Canyon Ave, Sherman Oaks, CA 91423</t>
  </si>
  <si>
    <t>https://www.realtor.com/realestateandhomes-detail/3724-Dixie-Canyon-Ave_Sherman-Oaks_CA_91423_M14476-84119</t>
  </si>
  <si>
    <t>Andrew Dinsky</t>
  </si>
  <si>
    <t>andrewdinsky@gmail.com</t>
  </si>
  <si>
    <t>20234 Roscoe Blvd, Winnetka, CA 91306</t>
  </si>
  <si>
    <t>https://www.realtor.com/realestateandhomes-detail/20234-Roscoe-Blvd_Winnetka_CA_91306_M12659-46341</t>
  </si>
  <si>
    <t>Glen Scher</t>
  </si>
  <si>
    <t>glen.scher@marcusmillichap.com</t>
  </si>
  <si>
    <t>Marcus &amp; Millichap</t>
  </si>
  <si>
    <t>133 S Mapleton Dr, Los Angeles, CA 90024</t>
  </si>
  <si>
    <t>https://www.realtor.com/realestateandhomes-detail/133-S-Mapleton-Dr_Los-Angeles_CA_90024_M13515-76476</t>
  </si>
  <si>
    <t>Drew Fenton</t>
  </si>
  <si>
    <t>drew@drewfenton.com</t>
  </si>
  <si>
    <t>Carolwood Estates</t>
  </si>
  <si>
    <t>20183 Allentown Dr, Woodland Hills, CA 91364</t>
  </si>
  <si>
    <t>https://www.realtor.com/realestateandhomes-detail/20183-Allentown-Dr_Woodland-Hills_CA_91364_M16205-57678</t>
  </si>
  <si>
    <t>Desiree Zuckerman</t>
  </si>
  <si>
    <t>desiree@dzhomes.com</t>
  </si>
  <si>
    <t>1432 Kellam Ave, Los Angeles, CA 90026</t>
  </si>
  <si>
    <t>https://www.realtor.com/realestateandhomes-detail/1432-Kellam-Ave_Los-Angeles_CA_90026_M22785-09934</t>
  </si>
  <si>
    <t>Gina Michelle</t>
  </si>
  <si>
    <t>Gina.Michelle@TheAgencyRE.com</t>
  </si>
  <si>
    <t>4203 Berryman Ave, Culver City, CA 90066</t>
  </si>
  <si>
    <t>https://www.realtor.com/realestateandhomes-detail/4203-Berryman-Ave_Los-Angeles_CA_90066_M15239-54205</t>
  </si>
  <si>
    <t>Emma Russell</t>
  </si>
  <si>
    <t>erussell@pardeeproperties.com</t>
  </si>
  <si>
    <t>9595 Lime Orchard Rd, Beverly Hills, CA 90210</t>
  </si>
  <si>
    <t>https://www.realtor.com/realestateandhomes-detail/9595-Lime-Orchard-Rd_Beverly-Hills_CA_90210_M24863-24425</t>
  </si>
  <si>
    <t>Neyshia Go</t>
  </si>
  <si>
    <t>neyshia@neyshiago.com</t>
  </si>
  <si>
    <t>Sotheby's International Realty - Beverly Hills Brokerage</t>
  </si>
  <si>
    <t>4881 Vista Dr, Huntington Beach, CA 92649</t>
  </si>
  <si>
    <t>https://www.realtor.com/realestateandhomes-detail/4881-Vista-Dr_Huntington-Beach_CA_92649_M22473-68721</t>
  </si>
  <si>
    <t>Lily Campbell</t>
  </si>
  <si>
    <t>lily@lilycampbell.com</t>
  </si>
  <si>
    <t>First Team Real Estate</t>
  </si>
  <si>
    <t>19532 Bermuda St, Porter Ranch, CA 91326</t>
  </si>
  <si>
    <t>https://www.realtor.com/realestateandhomes-detail/19532-Bermuda-St_Porter-Ranch_CA_91326_M19670-25443</t>
  </si>
  <si>
    <t>Emmett Dalton</t>
  </si>
  <si>
    <t>support@daltonrealtors.com</t>
  </si>
  <si>
    <t>Dalton Real Estate</t>
  </si>
  <si>
    <t>2738 Rinconia Dr, Los Angeles, CA 90068</t>
  </si>
  <si>
    <t>https://www.realtor.com/realestateandhomes-detail/2738-Rinconia-Dr_Los-Angeles_CA_90068_M13098-91875</t>
  </si>
  <si>
    <t>Craig Strong</t>
  </si>
  <si>
    <t>craig@strongrealtor.com</t>
  </si>
  <si>
    <t>Compass</t>
  </si>
  <si>
    <t>7511 S Broadway, Los Angeles, CA 90003</t>
  </si>
  <si>
    <t>https://www.realtor.com/realestateandhomes-detail/7511-S-Broadway_Los-Angeles_CA_90003_M14371-55525</t>
  </si>
  <si>
    <t>Aaron Jacobson</t>
  </si>
  <si>
    <t>aaron@lyonstahl.com</t>
  </si>
  <si>
    <t>Lyon Stahl Investment Re, Inc.</t>
  </si>
  <si>
    <t>Tomer Fridman</t>
  </si>
  <si>
    <t>tomerf9@gmail.com</t>
  </si>
  <si>
    <t>1419 N Richman Knl, Fullerton, CA 92835</t>
  </si>
  <si>
    <t>https://www.realtor.com/realestateandhomes-detail/1419-N-Richman-Knls_Fullerton_CA_92835_M12971-90761</t>
  </si>
  <si>
    <t>Katnik Brothers</t>
  </si>
  <si>
    <t>offer@kbre.com</t>
  </si>
  <si>
    <t>Katnik Brothers R.E. Services</t>
  </si>
  <si>
    <t>11275 Huston St, North Hollywood, CA 91601</t>
  </si>
  <si>
    <t>https://www.realtor.com/realestateandhomes-detail/11275-Huston-St_North-Hollywood_CA_91601_M17031-06201</t>
  </si>
  <si>
    <t>Jason Tuvia</t>
  </si>
  <si>
    <t>jtuvia@marcusmillichap.com</t>
  </si>
  <si>
    <t>16032 Valley Vista Blvd, Encino, CA 91436</t>
  </si>
  <si>
    <t>https://www.realtor.com/realestateandhomes-detail/16032-Valley-Vista-Blvd_Encino_CA_91436_M28945-94347</t>
  </si>
  <si>
    <t>Craig Knizek</t>
  </si>
  <si>
    <t>cknizek@theagencyre.com</t>
  </si>
  <si>
    <t>1000 S Citrus Ave, Los Angeles, CA 90019</t>
  </si>
  <si>
    <t>https://www.realtor.com/realestateandhomes-detail/1000-S-Citrus-Ave_Los-Angeles_CA_90019_M20365-76287</t>
  </si>
  <si>
    <t>Ben Belack</t>
  </si>
  <si>
    <t>bbelack@theagencyre.com</t>
  </si>
  <si>
    <t>Alex Everest</t>
  </si>
  <si>
    <t>952 N Laurel Ave, Los Angeles, CA 90046</t>
  </si>
  <si>
    <t>https://www.realtor.com/realestateandhomes-detail/952-N-Laurel-Ave_Los-Angeles_CA_90046_M24314-00723</t>
  </si>
  <si>
    <t>Or Brodsky</t>
  </si>
  <si>
    <t>or@orbrodsky.com</t>
  </si>
  <si>
    <t>6509 6510 Brynhurst Ave, Los Angeles, CA 90043</t>
  </si>
  <si>
    <t>https://www.realtor.com/realestateandhomes-detail/6509-Brynhurst-Ave_Los-Angeles_CA_90043_M20097-98521</t>
  </si>
  <si>
    <t>Tony Azzi</t>
  </si>
  <si>
    <t>tazzi@theazzigroup.com</t>
  </si>
  <si>
    <t>2220 Avenue of the Stars Unit 1802, Los Angeles, CA 90067</t>
  </si>
  <si>
    <t>https://www.realtor.com/realestateandhomes-detail/2220-Avenue-of-the-Stars-Unit-1802_Los-Angeles_CA_90067_M17571-05930</t>
  </si>
  <si>
    <t>Bjorn Farrugia</t>
  </si>
  <si>
    <t>bjorn@bjornfarrugia.com</t>
  </si>
  <si>
    <t>175 Patria, Rancho Mission Viejo, CA 92694</t>
  </si>
  <si>
    <t>https://www.realtor.com/realestateandhomes-detail/175-Patria_Rancho-Mission-Viejo_CA_92694_M20252-20168</t>
  </si>
  <si>
    <t>Dave Archuletta</t>
  </si>
  <si>
    <t>davearchuletta@firstteam.com</t>
  </si>
  <si>
    <t>13600 Marina Pointe Dr Unit 1704, Marina del Rey, CA 90292</t>
  </si>
  <si>
    <t>https://www.realtor.com/realestateandhomes-detail/13600-Marina-Pointe-Dr-Unit-1704_Marina-Del-Rey_CA_90292_M15822-40401</t>
  </si>
  <si>
    <t>Rick Dergan</t>
  </si>
  <si>
    <t>rick@soldbyaria.com</t>
  </si>
  <si>
    <t>LPT Realty, Inc</t>
  </si>
  <si>
    <t>3 Island Vis, Newport Coast, CA 92657</t>
  </si>
  <si>
    <t>https://www.realtor.com/realestateandhomes-detail/3-Island-Vis_Newport-Coast_CA_92657_M29796-53478</t>
  </si>
  <si>
    <t>John Cain</t>
  </si>
  <si>
    <t>john@caingroup.com</t>
  </si>
  <si>
    <t>Pacific Sotheby's International Realty</t>
  </si>
  <si>
    <t>14923 LA Valle St, Sylmar, CA 91342</t>
  </si>
  <si>
    <t>https://www.realtor.com/realestateandhomes-detail/14923-LA-Valle-St_Sylmar_CA_91342_M14237-48012</t>
  </si>
  <si>
    <t>Brad Korb</t>
  </si>
  <si>
    <t>brad@bradkorb.com</t>
  </si>
  <si>
    <t>Brad Korb Real Estate Group</t>
  </si>
  <si>
    <t>63 Tuberose St, Ladera Ranch, CA 92694</t>
  </si>
  <si>
    <t>https://www.realtor.com/realestateandhomes-detail/63-Tuberose-St_Ladera-Ranch_CA_92694_M29818-13129</t>
  </si>
  <si>
    <t>Timothy Wolter</t>
  </si>
  <si>
    <t>TimWolterGroup@gmail.com</t>
  </si>
  <si>
    <t>Ladera Realty</t>
  </si>
  <si>
    <t>5941 Kingman Ave, Buena Park, CA 90621</t>
  </si>
  <si>
    <t>https://www.realtor.com/realestateandhomes-detail/5941-Kingman-Ave_Buena-Park_CA_90621_M10051-74836</t>
  </si>
  <si>
    <t>Tyler Leeson</t>
  </si>
  <si>
    <t>tleeson@marcusmillichap.com</t>
  </si>
  <si>
    <t>Marcus &amp; Millichap Re Invest</t>
  </si>
  <si>
    <t>1105 Skyline Dr, Laguna Beach, CA 92651</t>
  </si>
  <si>
    <t>https://www.realtor.com/realestateandhomes-detail/1105-Skyline-Dr_Laguna-Beach_CA_92651_M97427-51081</t>
  </si>
  <si>
    <t>Keven Stirdivant</t>
  </si>
  <si>
    <t>kstirdivant@gmail.com</t>
  </si>
  <si>
    <t>KASE Real Estate, Inc.</t>
  </si>
  <si>
    <t>104 Sunnybank, Irvine, CA 92618</t>
  </si>
  <si>
    <t>https://www.realtor.com/realestateandhomes-detail/104-Sunnybank_Irvine_CA_92618_M96879-61265</t>
  </si>
  <si>
    <t>Robin Smith</t>
  </si>
  <si>
    <t>psofia@calpacifichomes.com</t>
  </si>
  <si>
    <t>California Pacific Homes, Inc</t>
  </si>
  <si>
    <t>1261 Angelo Dr, Beverly Hills, CA 90210</t>
  </si>
  <si>
    <t>https://www.realtor.com/realestateandhomes-detail/1261-Angelo-Dr_Beverly-Hills_CA_90210_M28235-57145</t>
  </si>
  <si>
    <t>Kurt Rappaport</t>
  </si>
  <si>
    <t>kr@weahomes.com</t>
  </si>
  <si>
    <t>Westside Estate Agency</t>
  </si>
  <si>
    <t>3900 Pacific Ave, Marina del Rey, CA 90292</t>
  </si>
  <si>
    <t>https://www.realtor.com/realestateandhomes-detail/3900-Pacific-Ave_Marina-Del-Rey_CA_90292_M99397-71771</t>
  </si>
  <si>
    <t>Blake Taylor</t>
  </si>
  <si>
    <t>blake@jesseweinberg.com</t>
  </si>
  <si>
    <t>Jesse Weinberg</t>
  </si>
  <si>
    <t>3662 Keystone Ave, Los Angeles, CA 90034</t>
  </si>
  <si>
    <t>https://www.realtor.com/realestateandhomes-detail/3662-Keystone-Ave_Los-Angeles_CA_90034_M19999-03450</t>
  </si>
  <si>
    <t>William James</t>
  </si>
  <si>
    <t>william.james@marcusmillichap.com</t>
  </si>
  <si>
    <t>8200 Bolsa Ave Spc 42, Midway City, CA 92655</t>
  </si>
  <si>
    <t>https://www.realtor.com/realestateandhomes-detail/8200-Bolsa-Ave-Spc-42_Midway-City_CA_92655_M15608-08784</t>
  </si>
  <si>
    <t>Adele Olivares</t>
  </si>
  <si>
    <t>aocasas@yahoo.com</t>
  </si>
  <si>
    <t>New Century Realtors</t>
  </si>
  <si>
    <t>103 Gannet Ln, Fountain Valley, CA 92708</t>
  </si>
  <si>
    <t>https://www.realtor.com/realestateandhomes-detail/103-Gannet-Ln_Fountain-Valley_CA_92708_M25589-81150</t>
  </si>
  <si>
    <t>Rick Olson</t>
  </si>
  <si>
    <t>rick@jnrhomes.com</t>
  </si>
  <si>
    <t>J&amp;R Real Estate</t>
  </si>
  <si>
    <t>553 Peninsula, Irvine, CA 92602</t>
  </si>
  <si>
    <t>https://www.realtor.com/realestateandhomes-detail/553-Peninsula_Irvine_CA_92602_M98319-28874</t>
  </si>
  <si>
    <t>Caitlyn Lai-Valenti</t>
  </si>
  <si>
    <t>caitlyn.lai@gmail.com</t>
  </si>
  <si>
    <t>Caitlyn Lai-Valenti, Broker</t>
  </si>
  <si>
    <t>1000 N Serrano Ave, Los Angeles, CA 90029</t>
  </si>
  <si>
    <t>https://www.realtor.com/realestateandhomes-detail/1000-N-Serrano-Ave_Los-Angeles_CA_90029_M25422-66902</t>
  </si>
  <si>
    <t>Max Berger</t>
  </si>
  <si>
    <t>max@kennystevensteam.com</t>
  </si>
  <si>
    <t>15240 Nordhoff St, North Hills, CA 91343</t>
  </si>
  <si>
    <t>https://www.realtor.com/realestateandhomes-detail/15240-Nordhoff-St_North-Hills_CA_91343_M99094-55406</t>
  </si>
  <si>
    <t>James Antonnucci</t>
  </si>
  <si>
    <t>james@aplagroup.com</t>
  </si>
  <si>
    <t>Keller Williams Realty-Studio City</t>
  </si>
  <si>
    <t>620 S Gramercy Pl Apt 229, Los Angeles, CA 90005</t>
  </si>
  <si>
    <t>https://www.realtor.com/realestateandhomes-detail/620-S-Gramercy-Pl-Apt-229_Los-Angeles_CA_90005_M18215-16305</t>
  </si>
  <si>
    <t>Sukyoung Lee</t>
  </si>
  <si>
    <t>LSK0310@gmail.com</t>
  </si>
  <si>
    <t>Redpoint Realty</t>
  </si>
  <si>
    <t>1101 Bel Air Pl, Los Angeles, CA 90077</t>
  </si>
  <si>
    <t>https://www.realtor.com/realestateandhomes-detail/1101-Bel-Air-Pl_Los-Angeles_CA_90077_M18177-08361</t>
  </si>
  <si>
    <t>David Kramer</t>
  </si>
  <si>
    <t>david@davidkramer.com</t>
  </si>
  <si>
    <t>2157 Ravensfield Ln, Los Angeles, CA 90077</t>
  </si>
  <si>
    <t>https://www.realtor.com/realestateandhomes-detail/2157-Ravensfield-Ln_Los-Angeles_CA_90077_M22306-80060</t>
  </si>
  <si>
    <t>Matthew J Altman</t>
  </si>
  <si>
    <t>david@thealtmanbrothers.com</t>
  </si>
  <si>
    <t>Douglas Elliman of Nevada LLC</t>
  </si>
  <si>
    <t>18601 Newland St Spc 12, Huntington Beach, CA 92646</t>
  </si>
  <si>
    <t>https://www.realtor.com/realestateandhomes-detail/18601-Newland-St-Spc-12_Huntington-Beach_CA_92646_M97452-77252</t>
  </si>
  <si>
    <t>Larry Lambert</t>
  </si>
  <si>
    <t>larry@selecthousinggroup.com</t>
  </si>
  <si>
    <t>Select Housing Group, Inc</t>
  </si>
  <si>
    <t>17952 Irvine Blvd, Tustin, CA 92780</t>
  </si>
  <si>
    <t>https://www.realtor.com/realestateandhomes-detail/17952-Irvine-Blvd_Tustin_CA_92780_M29597-94339</t>
  </si>
  <si>
    <t>The O'Dell Group of Seven Gables Real Estate</t>
  </si>
  <si>
    <t>Dean@TheODellGroup.com</t>
  </si>
  <si>
    <t>Seven Gables Real Estate</t>
  </si>
  <si>
    <t>7081 Fulton Way, Stanton, CA 90680</t>
  </si>
  <si>
    <t>https://www.realtor.com/realestateandhomes-detail/7081-Fulton-Way_Stanton_CA_90680_M20432-85899</t>
  </si>
  <si>
    <t>Jennifer</t>
  </si>
  <si>
    <t>jen@gmtrealestate.com</t>
  </si>
  <si>
    <t>GMT Real Estate</t>
  </si>
  <si>
    <t>Alphonso Lascano</t>
  </si>
  <si>
    <t>alphonsolascano@gmail.com</t>
  </si>
  <si>
    <t>19071 Main St Unit 105, Huntington Beach, CA 92648</t>
  </si>
  <si>
    <t>https://www.realtor.com/realestateandhomes-detail/19071-Main-St-Unit-105_Huntington-Beach_CA_92648_M99803-22121</t>
  </si>
  <si>
    <t>Janis Randazzo</t>
  </si>
  <si>
    <t>jkrandazzo@cox.net</t>
  </si>
  <si>
    <t>Strategic Sales &amp; Mkt. Grp.Inc</t>
  </si>
  <si>
    <t>1250 S Windsor Blvd, Los Angeles, CA 90019</t>
  </si>
  <si>
    <t>https://www.realtor.com/realestateandhomes-detail/1250-S-Windsor-Blvd_Los-Angeles_CA_90019_M13384-48960</t>
  </si>
  <si>
    <t>Johnny Cho</t>
  </si>
  <si>
    <t>Johnny@JohnnyAndDavidTeam.com</t>
  </si>
  <si>
    <t>Keller Williams Realty Los Feliz</t>
  </si>
  <si>
    <t>17229 Oak View Dr, Encino, CA 91316</t>
  </si>
  <si>
    <t>https://www.realtor.com/realestateandhomes-detail/17229-Oak-View-Dr_Encino_CA_91316_M10043-79839</t>
  </si>
  <si>
    <t>Rc Thornton</t>
  </si>
  <si>
    <t>ollieollietrin@aol.com</t>
  </si>
  <si>
    <t>Hollywood Estates</t>
  </si>
  <si>
    <t>10430 Wilshire Blvd Apt 1005, Los Angeles, CA 90024</t>
  </si>
  <si>
    <t>https://www.realtor.com/realestateandhomes-detail/10430-Wilshire-Blvd-Apt-1005_Los-Angeles_CA_90024_M25320-61109</t>
  </si>
  <si>
    <t>Campbell Wellman</t>
  </si>
  <si>
    <t>todd@campbellwellman.com</t>
  </si>
  <si>
    <t>Campbell Wellman Properties</t>
  </si>
  <si>
    <t>717 Moreno Ave, Los Angeles, CA 90049</t>
  </si>
  <si>
    <t>https://www.realtor.com/realestateandhomes-detail/717-Moreno-Ave_Los-Angeles_CA_90049_M18745-42590</t>
  </si>
  <si>
    <t>Cindy Ambuehl</t>
  </si>
  <si>
    <t>agentcindyambuehl@gmail.com</t>
  </si>
  <si>
    <t>250 S Rockingham Ave, Los Angeles, CA 90049</t>
  </si>
  <si>
    <t>https://www.realtor.com/realestateandhomes-detail/250-S-Rockingham-Ave_Los-Angeles_CA_90049_M12218-47340</t>
  </si>
  <si>
    <t>Blair Chang</t>
  </si>
  <si>
    <t>bchang@theagencyre.com</t>
  </si>
  <si>
    <t>13650 Marina Pointe Dr Unit 1603, Marina del Rey, CA 90292</t>
  </si>
  <si>
    <t>https://www.realtor.com/realestateandhomes-detail/13650-Marina-Pointe-Dr-Unit-1603_Marina-Del-Rey_CA_90292_M27879-23537</t>
  </si>
  <si>
    <t>Charles Le</t>
  </si>
  <si>
    <t>charles@charleshle.com</t>
  </si>
  <si>
    <t>Beverly Hills Bentley Investments, Inc.</t>
  </si>
  <si>
    <t>2115 Holmby Ave, Los Angeles, CA 90025</t>
  </si>
  <si>
    <t>https://www.realtor.com/realestateandhomes-detail/2115-Holmby-Ave_Los-Angeles_CA_90025_M21397-25267</t>
  </si>
  <si>
    <t>Chad Lund</t>
  </si>
  <si>
    <t>Chad.Lund@elliman.com</t>
  </si>
  <si>
    <t>Beverly Hills</t>
  </si>
  <si>
    <t>8116 Laurel View Dr, Los Angeles, CA 90069</t>
  </si>
  <si>
    <t>https://www.realtor.com/realestateandhomes-detail/8116-Laurel-View-Dr_Los-Angeles_CA_90069_M29428-38518</t>
  </si>
  <si>
    <t>Ginger Glass</t>
  </si>
  <si>
    <t>ginger@gingerglass.com</t>
  </si>
  <si>
    <t>2104 Lacy Crossing Dr, Santa Ana, CA 92701</t>
  </si>
  <si>
    <t>https://www.realtor.com/realestateandhomes-detail/2104-Lacy-Crossing-Dr_Santa-Ana_CA_92701_M97400-40522</t>
  </si>
  <si>
    <t>Karen Ngoc Luu</t>
  </si>
  <si>
    <t>kluu2495@gmail.com</t>
  </si>
  <si>
    <t>Century Financial Group, Corp.</t>
  </si>
  <si>
    <t>16222 Monterey Ln Spc 367, Huntington Beach, CA 92649</t>
  </si>
  <si>
    <t>https://www.realtor.com/realestateandhomes-detail/16222-Monterey-Ln-Spc-367_Huntington-Beach_CA_92649_M93133-95624</t>
  </si>
  <si>
    <t>Anne Jones</t>
  </si>
  <si>
    <t>intheparkhomes@gmail.com</t>
  </si>
  <si>
    <t>IN THE PARK MANUFACTURED HOMES</t>
  </si>
  <si>
    <t>Ada Livyatan</t>
  </si>
  <si>
    <t>adilivyatan@yahoo.com</t>
  </si>
  <si>
    <t>1736 Kilbourn St, Los Angeles, CA 90065</t>
  </si>
  <si>
    <t>https://www.realtor.com/realestateandhomes-detail/1736-Kilbourn-St_Los-Angeles_CA_90065_M10597-53178</t>
  </si>
  <si>
    <t>Jessie Rodriguez</t>
  </si>
  <si>
    <t>Info@CalAmericanHomes.com</t>
  </si>
  <si>
    <t>Coldwell Banker Icon</t>
  </si>
  <si>
    <t>238 Chorus, Irvine, CA 92618</t>
  </si>
  <si>
    <t>https://www.realtor.com/realestateandhomes-detail/238-Chorus_Irvine_CA_92618_M97676-40695</t>
  </si>
  <si>
    <t>Ricky Zhang</t>
  </si>
  <si>
    <t>info@ireneandricky.com</t>
  </si>
  <si>
    <t>Keller Williams Irvine</t>
  </si>
  <si>
    <t>1801 Beryl Ln, Newport Beach, CA 92660</t>
  </si>
  <si>
    <t>https://www.realtor.com/realestateandhomes-detail/1801-Beryl-Ln_Newport-Beach_CA_92660_M11955-60238</t>
  </si>
  <si>
    <t>Zachary Doan</t>
  </si>
  <si>
    <t>zakdoan1@gmail.com</t>
  </si>
  <si>
    <t>Aspero Realty, Inc</t>
  </si>
  <si>
    <t>3 Via Burrone, Newport Coast, CA 92657</t>
  </si>
  <si>
    <t>https://www.realtor.com/realestateandhomes-detail/3-Via-Burrone_Newport-Coast_CA_92657_M29107-08520</t>
  </si>
  <si>
    <t>Steven Sergi</t>
  </si>
  <si>
    <t>steven@valiaoc.com</t>
  </si>
  <si>
    <t>VALIA Properties</t>
  </si>
  <si>
    <t>Irene and Ricky Zhang Real Estate Group</t>
  </si>
  <si>
    <t>Ricky@ireneandricky.com</t>
  </si>
  <si>
    <t>2045 Penmar Ave, Venice, CA 90291</t>
  </si>
  <si>
    <t>https://www.realtor.com/realestateandhomes-detail/2045-Penmar-Ave_Venice_CA_90291_M93361-96921</t>
  </si>
  <si>
    <t>Cameron Samimi</t>
  </si>
  <si>
    <t>cameron@lyonstahl.com</t>
  </si>
  <si>
    <t>1314 Goucher St, Pacific Palisades, CA 90272</t>
  </si>
  <si>
    <t>https://www.realtor.com/realestateandhomes-detail/1314-Goucher-St_Pacific-Palisades_CA_90272_M12747-33216</t>
  </si>
  <si>
    <t>Anthony Paul Marguleas</t>
  </si>
  <si>
    <t>anthony@amalfiestates.com</t>
  </si>
  <si>
    <t>Amalfi Estates</t>
  </si>
  <si>
    <t>501 St Cloud Rd, Los Angeles, CA 90077</t>
  </si>
  <si>
    <t>https://www.realtor.com/realestateandhomes-detail/501-St-Cloud-Rd_Los-Angeles_CA_90077_M14905-03910</t>
  </si>
  <si>
    <t>Ernie Carswell</t>
  </si>
  <si>
    <t>Ernie.Carswell@elliman.com</t>
  </si>
  <si>
    <t>Peter James</t>
  </si>
  <si>
    <t>peter@lyonstahl.com</t>
  </si>
  <si>
    <t>8741 St Ives Dr, Los Angeles, CA 90069</t>
  </si>
  <si>
    <t>https://www.realtor.com/realestateandhomes-detail/8741-St-Ives-Dr_Los-Angeles_CA_90069_M10196-80917</t>
  </si>
  <si>
    <t>Jack Harris</t>
  </si>
  <si>
    <t>jack.harris@camoves.com</t>
  </si>
  <si>
    <t>The Beverly Hills Estates Inc.</t>
  </si>
  <si>
    <t>12236 Laurel Terrace Dr, Studio City, CA 91604</t>
  </si>
  <si>
    <t>https://www.realtor.com/realestateandhomes-detail/12236-Laurel-Terrace-Dr_Studio-City_CA_91604_M12873-28768</t>
  </si>
  <si>
    <t>Roger Perry</t>
  </si>
  <si>
    <t>rperry@rogerperry.com</t>
  </si>
  <si>
    <t>2303 Hillhurst Ave, Los Angeles, CA 90027</t>
  </si>
  <si>
    <t>https://www.realtor.com/realestateandhomes-detail/2303-Hillhurst-Ave_Los-Angeles_CA_90027_M14675-05749</t>
  </si>
  <si>
    <t>Justin C Fautsch</t>
  </si>
  <si>
    <t>justin@vimvi.com</t>
  </si>
  <si>
    <t>Vimvi California</t>
  </si>
  <si>
    <t>1136 N Doheny Dr, Los Angeles, CA 90069</t>
  </si>
  <si>
    <t>https://www.realtor.com/realestateandhomes-detail/1136-N-Doheny-Dr_Los-Angeles_CA_90069_M28603-85281</t>
  </si>
  <si>
    <t>Michael Fahimian</t>
  </si>
  <si>
    <t>michael.fahimian@camoves.com</t>
  </si>
  <si>
    <t>921 N Benton Way, Los Angeles, CA 90026</t>
  </si>
  <si>
    <t>https://www.realtor.com/realestateandhomes-detail/921-N-Benton-Way_Los-Angeles_CA_90026_M22046-11570</t>
  </si>
  <si>
    <t>Robby Fields</t>
  </si>
  <si>
    <t>robby@robbyfieldsestates.com</t>
  </si>
  <si>
    <t>11348 Reseda Blvd, Porter Ranch, CA 91326</t>
  </si>
  <si>
    <t>https://www.realtor.com/realestateandhomes-detail/11348-Reseda-Blvd_Porter-Ranch_CA_91326_M13210-72116</t>
  </si>
  <si>
    <t>Jimmy Rashid</t>
  </si>
  <si>
    <t>jimmy@jimmyrashid.com</t>
  </si>
  <si>
    <t>Berkshire Hathaway HomeServices</t>
  </si>
  <si>
    <t>17228 Otsego St, Encino, CA 91316</t>
  </si>
  <si>
    <t>https://www.realtor.com/realestateandhomes-detail/17228-Otsego-St_Encino_CA_91316_M20628-55777</t>
  </si>
  <si>
    <t>Mauricio Umansky</t>
  </si>
  <si>
    <t>MUmansky@TheAgencyRE.com</t>
  </si>
  <si>
    <t>3448 Ardsley Pl, Encino, CA 91436</t>
  </si>
  <si>
    <t>https://www.realtor.com/realestateandhomes-detail/3448-Ardsley-Pl_Encino_CA_91436_M11911-19477</t>
  </si>
  <si>
    <t>Brian Dombroski</t>
  </si>
  <si>
    <t>Brian@DombroskiRE.com</t>
  </si>
  <si>
    <t>Dombroski Realty</t>
  </si>
  <si>
    <t>2813 E 6th St, Los Angeles, CA 90023</t>
  </si>
  <si>
    <t>https://www.realtor.com/realestateandhomes-detail/2813-E-6th-St_Los-Angeles_CA_90023_M12353-47150</t>
  </si>
  <si>
    <t>Danny Navarro</t>
  </si>
  <si>
    <t>dannynavarro.kw@gmail.com</t>
  </si>
  <si>
    <t>CENTURY 21 Allstars</t>
  </si>
  <si>
    <t>115 Hollow Tree, Irvine, CA 92618</t>
  </si>
  <si>
    <t>https://www.realtor.com/realestateandhomes-detail/115-Hollow-Tree_Irvine_CA_92618_M94447-64800</t>
  </si>
  <si>
    <t>Gang Ding</t>
  </si>
  <si>
    <t>hemafumei@gmail.com</t>
  </si>
  <si>
    <t>Real Broker</t>
  </si>
  <si>
    <t>Elsa Dr, Fullerton, CA 92833</t>
  </si>
  <si>
    <t>https://www.realtor.com/realestateandhomes-detail/Elsa-Dr_Fullerton_CA_92833_M98909-77240</t>
  </si>
  <si>
    <t>Darryl and JJ Jones Team</t>
  </si>
  <si>
    <t>darrylandjj@gmail.com</t>
  </si>
  <si>
    <t>ERA North Orange County</t>
  </si>
  <si>
    <t>1625 Rexford Dr, Los Angeles, CA 90035</t>
  </si>
  <si>
    <t>https://www.realtor.com/realestateandhomes-detail/1625-Rexford-Dr_Los-Angeles_CA_90035_M18466-28629</t>
  </si>
  <si>
    <t>Charlette Williams</t>
  </si>
  <si>
    <t>cwilliams@tjh.com</t>
  </si>
  <si>
    <t>Thomas James Real Estate Services, Inc</t>
  </si>
  <si>
    <t>16560 Park Lane Cir, Los Angeles, CA 90049</t>
  </si>
  <si>
    <t>https://www.realtor.com/realestateandhomes-detail/16560-Park-Lane-Cir_Los-Angeles_CA_90049_M16854-30683</t>
  </si>
  <si>
    <t>Andrew Manning</t>
  </si>
  <si>
    <t>andrew@andrewmanning.com</t>
  </si>
  <si>
    <t>Berkshire Hathaway HomeServices California Properties</t>
  </si>
  <si>
    <t>11814 Hesby St, Valley Village, CA 91607</t>
  </si>
  <si>
    <t>https://www.realtor.com/realestateandhomes-detail/11814-Hesby-St_Valley-Village_CA_91607_M27455-19205</t>
  </si>
  <si>
    <t>Michael J. Okun</t>
  </si>
  <si>
    <t>michael@theMJOgroup.com</t>
  </si>
  <si>
    <t>Sotheby's International Realty - Sherman Oaks Brokerage</t>
  </si>
  <si>
    <t>4804 Excelente Dr, Woodland Hills, CA 91364</t>
  </si>
  <si>
    <t>https://www.realtor.com/realestateandhomes-detail/4804-Excelente-Dr_Woodland-Hills_CA_91364_M28644-43051</t>
  </si>
  <si>
    <t>SEBASTIAN STOFENMACHER</t>
  </si>
  <si>
    <t>SS@EDGESTONERE.COM</t>
  </si>
  <si>
    <t>Edgestone Real Estate, Inc.</t>
  </si>
  <si>
    <t>9080 Bloomfield Ave Spc 223, Cypress, CA 90630</t>
  </si>
  <si>
    <t>https://www.realtor.com/realestateandhomes-detail/9080-Bloomfield-Ave-Spc-223_Cypress_CA_90630_M97579-97920</t>
  </si>
  <si>
    <t>Shelly Eshelman</t>
  </si>
  <si>
    <t>shelly@shellyeshelmanrealty.com</t>
  </si>
  <si>
    <t>Shelly Eshelman Realty, Inc.</t>
  </si>
  <si>
    <t>877 Francisco St Apt 4111, Los Angeles, CA 90017</t>
  </si>
  <si>
    <t>https://www.realtor.com/realestateandhomes-detail/877-Francisco-St-Apt-4111_Los-Angeles_CA_90017_M21068-19284</t>
  </si>
  <si>
    <t>Xiao Zhang</t>
  </si>
  <si>
    <t>anniezx93@gmail.com</t>
  </si>
  <si>
    <t>Universal Elite Inc.</t>
  </si>
  <si>
    <t>13265 Del Monte Dr # M1235, Seal Beach, CA 90740</t>
  </si>
  <si>
    <t>https://www.realtor.com/realestateandhomes-detail/13265-Del-Monte-Dr-M12-35E_Seal-Beach_CA_90740_M99571-96697</t>
  </si>
  <si>
    <t>Sally Angell</t>
  </si>
  <si>
    <t>sangellre@gmail.com</t>
  </si>
  <si>
    <t>The Januszka Group, Inc.</t>
  </si>
  <si>
    <t>30951 Via Errecarte, San Juan Capistrano, CA 92675</t>
  </si>
  <si>
    <t>https://www.realtor.com/realestateandhomes-detail/30951-Via-Errecarte_San-Juan-Capistrano_CA_92675_M22203-48987</t>
  </si>
  <si>
    <t>Donnie Bowen</t>
  </si>
  <si>
    <t>donnie@thebowenteam.com</t>
  </si>
  <si>
    <t>Re/Max Real Estate Group</t>
  </si>
  <si>
    <t>4080 Glencoe Ave Unit 311, Marina del Rey, CA 90292</t>
  </si>
  <si>
    <t>https://www.realtor.com/realestateandhomes-detail/4080-Glencoe-Ave-Unit-311_Marina-Del-Rey_CA_90292_M23080-31774</t>
  </si>
  <si>
    <t>Christine Morgan</t>
  </si>
  <si>
    <t>christine@marterra.com</t>
  </si>
  <si>
    <t>Marterra Real Estate</t>
  </si>
  <si>
    <t>3008 Via Buena Vis Unit A, Laguna Woods, CA 92637</t>
  </si>
  <si>
    <t>https://www.realtor.com/realestateandhomes-detail/3008-Via-Buena-Vis-Unit-A_Laguna-Woods_CA_92637_M18869-82386</t>
  </si>
  <si>
    <t>Donna Empfield</t>
  </si>
  <si>
    <t>dempfield@cox.net</t>
  </si>
  <si>
    <t>Laguna Premier Realty Inc.</t>
  </si>
  <si>
    <t>1168 W 36th Pl, Los Angeles, CA 90007</t>
  </si>
  <si>
    <t>https://www.realtor.com/realestateandhomes-detail/1168-W-36th-Pl_Los-Angeles_CA_90007_M15737-30007</t>
  </si>
  <si>
    <t>Adam Peterson</t>
  </si>
  <si>
    <t>apeterson@remaxcir.com</t>
  </si>
  <si>
    <t>1710 San Remo Dr, Pacific Palisades, CA 90272</t>
  </si>
  <si>
    <t>https://www.realtor.com/realestateandhomes-detail/1710-San-Remo-Dr_Pacific-Palisades_CA_90272_M11954-20805</t>
  </si>
  <si>
    <t>Justin Feil</t>
  </si>
  <si>
    <t>jfeil@thefeilgroup.com</t>
  </si>
  <si>
    <t>Chris Feil - THE FEIL GROUP</t>
  </si>
  <si>
    <t>cfeil@bhhscal.com</t>
  </si>
  <si>
    <t>2531 Folsom St, Los Angeles, CA 90033</t>
  </si>
  <si>
    <t>https://www.realtor.com/realestateandhomes-detail/2531-Folsom-St_Los-Angeles_CA_90033_M10749-54534</t>
  </si>
  <si>
    <t>Jake Glaser</t>
  </si>
  <si>
    <t>jake@lyonstahl.com</t>
  </si>
  <si>
    <t>1737 S Longwood Ave, Los Angeles, CA 90019</t>
  </si>
  <si>
    <t>https://www.realtor.com/realestateandhomes-detail/1737-S-Longwood-Ave_Los-Angeles_CA_90019_M16243-77697</t>
  </si>
  <si>
    <t>George  Kpachavi</t>
  </si>
  <si>
    <t>george@kpachavirealestate.com</t>
  </si>
  <si>
    <t>411 Rees St, Playa Del Rey, CA 90293</t>
  </si>
  <si>
    <t>https://www.realtor.com/realestateandhomes-detail/411-Rees-St_Playa-Del-Rey_CA_90293_M18649-97590</t>
  </si>
  <si>
    <t>Jeff Yarbrough</t>
  </si>
  <si>
    <t>jeff@jeffyarbrough.com</t>
  </si>
  <si>
    <t>7100 Playa Vista Dr Apt 404, Playa Vista, CA 90094</t>
  </si>
  <si>
    <t>https://www.realtor.com/realestateandhomes-detail/7100-Playa-Vista-Dr-Apt-404_Playa-Vista_CA_90094_M14740-97998</t>
  </si>
  <si>
    <t>Team Tami</t>
  </si>
  <si>
    <t>home@teamtami.com</t>
  </si>
  <si>
    <t>Estate Properties</t>
  </si>
  <si>
    <t>5519 Shenandoah Ave, Los Angeles, CA 90056</t>
  </si>
  <si>
    <t>https://www.realtor.com/realestateandhomes-detail/5519-Shenandoah-Ave_Los-Angeles_CA_90056_M25061-84023</t>
  </si>
  <si>
    <t>Teresa Mack</t>
  </si>
  <si>
    <t>tmackproperties@gmail.com</t>
  </si>
  <si>
    <t>Pacific Playa Realty</t>
  </si>
  <si>
    <t>1049 Elden Ave, Los Angeles, CA 90006</t>
  </si>
  <si>
    <t>https://www.realtor.com/realestateandhomes-detail/1049-Elden-Ave_Los-Angeles_CA_90006_M18268-80828</t>
  </si>
  <si>
    <t>Grant Linscott</t>
  </si>
  <si>
    <t>grantlinscottproperty@gmail.com</t>
  </si>
  <si>
    <t>804 Mount Washington Dr, Los Angeles, CA 90065</t>
  </si>
  <si>
    <t>https://www.realtor.com/realestateandhomes-detail/804-Mount-Washington-Dr_Los-Angeles_CA_90065_M11869-79106</t>
  </si>
  <si>
    <t>Kurt Wisner</t>
  </si>
  <si>
    <t>kurt@compass.com</t>
  </si>
  <si>
    <t>Mark Macfarlane</t>
  </si>
  <si>
    <t>mark@vimvi.com</t>
  </si>
  <si>
    <t>308 S Laurel St, Santa Ana, CA 92704</t>
  </si>
  <si>
    <t>https://www.realtor.com/realestateandhomes-detail/308-S-Laurel-St_Santa-Ana_CA_92704_M12848-75330</t>
  </si>
  <si>
    <t>Nhi T Phan</t>
  </si>
  <si>
    <t>nhiprealty@gmail.com</t>
  </si>
  <si>
    <t>730 S Stillwater Ln, Anaheim, CA 92807</t>
  </si>
  <si>
    <t>https://www.realtor.com/realestateandhomes-detail/730-S-Stillwater-Ln_Anaheim_CA_92807_M23510-11605</t>
  </si>
  <si>
    <t>REDFIN Christopher Bistolas</t>
  </si>
  <si>
    <t>christopher.bistolas@redfin.com</t>
  </si>
  <si>
    <t>Redfin</t>
  </si>
  <si>
    <t>6641 E Canyon Hills Rd, Anaheim, CA 92807</t>
  </si>
  <si>
    <t>https://www.realtor.com/realestateandhomes-detail/6641-E-Canyon-Hills-Rd_Anaheim_CA_92807_M18564-55282</t>
  </si>
  <si>
    <t>The Geronsins Real Estate Group</t>
  </si>
  <si>
    <t>info@Thegeronsins.com</t>
  </si>
  <si>
    <t>Berkshire Hathaway HomeServices CA Properties</t>
  </si>
  <si>
    <t>4187 Pepper Ave, Yorba Linda, CA 92886</t>
  </si>
  <si>
    <t>https://www.realtor.com/realestateandhomes-detail/4187-Pepper-Ave_Yorba-Linda_CA_92886_M13067-82630</t>
  </si>
  <si>
    <t>Edie Israel</t>
  </si>
  <si>
    <t>edie@edieisraelteam.com</t>
  </si>
  <si>
    <t>9771 Acacia Ave Unit 8, Garden Grove, CA 92841</t>
  </si>
  <si>
    <t>https://www.realtor.com/realestateandhomes-detail/9771-Acacia-Ave-Unit-8_Garden-Grove_CA_92841_M18397-58549</t>
  </si>
  <si>
    <t>Jennifer and Geoff Tackney</t>
  </si>
  <si>
    <t>teamtackney@gmtrealestate.com</t>
  </si>
  <si>
    <t>8230 Kyle St, Sunland, CA 91040</t>
  </si>
  <si>
    <t>https://www.realtor.com/realestateandhomes-detail/8230-Kyle-St_Sunland_CA_91040_M28347-48392</t>
  </si>
  <si>
    <t>Rhett Winchell</t>
  </si>
  <si>
    <t>rhett@nda-re.com</t>
  </si>
  <si>
    <t>NDA Inc</t>
  </si>
  <si>
    <t>543 N Ardmore Ave, Los Angeles, CA 90004</t>
  </si>
  <si>
    <t>https://www.realtor.com/realestateandhomes-detail/543-N-Ardmore-Ave_Los-Angeles_CA_90004_M21820-84476</t>
  </si>
  <si>
    <t>Nicole Apostolos</t>
  </si>
  <si>
    <t>nicole@investmentsla.com</t>
  </si>
  <si>
    <t>115 S Fresno St, Los Angeles, CA 90063</t>
  </si>
  <si>
    <t>https://www.realtor.com/realestateandhomes-detail/115-S-Fresno-St_Los-Angeles_CA_90063_M11952-11730</t>
  </si>
  <si>
    <t>Steve Julian</t>
  </si>
  <si>
    <t>steve@premierpropertyre.com</t>
  </si>
  <si>
    <t>Luxury Collective</t>
  </si>
  <si>
    <t>13061 Vanowen St, North Hollywood, CA 91605</t>
  </si>
  <si>
    <t>https://www.realtor.com/realestateandhomes-detail/13061-Vanowen-St_North-Hollywood_CA_91605_M18996-56842</t>
  </si>
  <si>
    <t>Cindy Hill</t>
  </si>
  <si>
    <t>cindyhill@kw.com</t>
  </si>
  <si>
    <t>15656 Crownridge Pl, Sherman Oaks, CA 91403</t>
  </si>
  <si>
    <t>https://www.realtor.com/realestateandhomes-detail/15656-Crownridge-Pl_Sherman-Oaks_CA_91403_M15433-71229</t>
  </si>
  <si>
    <t>Danielle Peretz</t>
  </si>
  <si>
    <t>danielleperetz@realtyagent.com</t>
  </si>
  <si>
    <t>5433 Shirley Ave, Tarzana, CA 91356</t>
  </si>
  <si>
    <t>https://www.realtor.com/realestateandhomes-detail/5433-Shirley-Ave_Tarzana_CA_91356_M16305-44950</t>
  </si>
  <si>
    <t>Ken Zietz</t>
  </si>
  <si>
    <t>ken@kenzietz.com</t>
  </si>
  <si>
    <t>Marc Tahler</t>
  </si>
  <si>
    <t>marc@marctahler.com</t>
  </si>
  <si>
    <t>1156 N Kingsley Dr, Los Angeles, CA 90029</t>
  </si>
  <si>
    <t>https://www.realtor.com/realestateandhomes-detail/1156-N-Kingsley-Dr_Los-Angeles_CA_90029_M25649-24595</t>
  </si>
  <si>
    <t>Daniel Shamooelian</t>
  </si>
  <si>
    <t>dshamooelian@gmail.com</t>
  </si>
  <si>
    <t>Maryam Amiri</t>
  </si>
  <si>
    <t>maryam.amiri@redfin.com</t>
  </si>
  <si>
    <t>502 Sunrise Rd, Ladera Ranch, CA 92694</t>
  </si>
  <si>
    <t>https://www.realtor.com/realestateandhomes-detail/502-Sunrise-Rd_Ladera-Ranch_CA_92694_M92924-92390</t>
  </si>
  <si>
    <t>Heather Hill</t>
  </si>
  <si>
    <t>ocheatherhill@gmail.com</t>
  </si>
  <si>
    <t>HomeSmart, Evergreen Realty</t>
  </si>
  <si>
    <t>712 K Thanga Dr, Corona Del Mar, CA 92625</t>
  </si>
  <si>
    <t>https://www.realtor.com/realestateandhomes-detail/712-K-Thanga-Dr_Corona-Del-Mar_CA_92625_M19638-57654</t>
  </si>
  <si>
    <t>Ken Bowen</t>
  </si>
  <si>
    <t>Ken@TheBowenTeam.com</t>
  </si>
  <si>
    <t>1805 Clay St, Newport Beach, CA 92663</t>
  </si>
  <si>
    <t>https://www.realtor.com/realestateandhomes-detail/1805-Clay-St_Newport-Beach_CA_92663_M20604-94601</t>
  </si>
  <si>
    <t>Tim Carr</t>
  </si>
  <si>
    <t>tci@timcarrgroup.com</t>
  </si>
  <si>
    <t>Pacific Sotheby's Int'l Realty</t>
  </si>
  <si>
    <t>416 S Van Ness Ave, Los Angeles, CA 90020</t>
  </si>
  <si>
    <t>https://www.realtor.com/realestateandhomes-detail/416-S-Van-Ness-Ave_Los-Angeles_CA_90020_M17994-07605</t>
  </si>
  <si>
    <t>dae young hur</t>
  </si>
  <si>
    <t>lanewhome@gmail.com</t>
  </si>
  <si>
    <t>Keller Williams Larchmont</t>
  </si>
  <si>
    <t>816 El Oro Ln, Pacific Palisades, CA 90272</t>
  </si>
  <si>
    <t>https://www.realtor.com/realestateandhomes-detail/816-El-Oro-Ln_Pacific-Palisades_CA_90272_M29543-10131</t>
  </si>
  <si>
    <t>Timothy Di Prizito</t>
  </si>
  <si>
    <t>tdipri@gmail.com</t>
  </si>
  <si>
    <t>724 Toyopa Dr, Pacific Palisades, CA 90272</t>
  </si>
  <si>
    <t>https://www.realtor.com/realestateandhomes-detail/724-Toyopa-Dr_Pacific-Palisades_CA_90272_M27818-43349</t>
  </si>
  <si>
    <t>Jacqueline Chernov</t>
  </si>
  <si>
    <t>jacchernov@gmail.com</t>
  </si>
  <si>
    <t>635 San Juan Ave, Venice, CA 90291</t>
  </si>
  <si>
    <t>https://www.realtor.com/realestateandhomes-detail/635-San-Juan-Ave_Venice_CA_90291_M17521-33571</t>
  </si>
  <si>
    <t>Corey Weiss</t>
  </si>
  <si>
    <t>coreyweiss@aaroe.com</t>
  </si>
  <si>
    <t>Berkshire Hathaway HomeServices California</t>
  </si>
  <si>
    <t>8032 Willow Glen Rd, Los Angeles, CA 90046</t>
  </si>
  <si>
    <t>https://www.realtor.com/realestateandhomes-detail/8032-Willow-Glen-Rd_Los-Angeles_CA_90046_M10851-19912</t>
  </si>
  <si>
    <t>Cindy Lorimer</t>
  </si>
  <si>
    <t>cindy@plgestatesinc.com</t>
  </si>
  <si>
    <t>PLG Estates</t>
  </si>
  <si>
    <t>6537 W 84th Pl, Los Angeles, CA 90045</t>
  </si>
  <si>
    <t>https://www.realtor.com/realestateandhomes-detail/6537-W-84th-Pl_Los-Angeles_CA_90045_M14071-85486</t>
  </si>
  <si>
    <t>Bill Ruane</t>
  </si>
  <si>
    <t>bill@billruane.net</t>
  </si>
  <si>
    <t>9938 Commerce Ave, Tujunga, CA 91042</t>
  </si>
  <si>
    <t>https://www.realtor.com/realestateandhomes-detail/9938-Commerce-Ave_Tujunga_CA_91042_M92136-81575</t>
  </si>
  <si>
    <t>Neema Ahadian</t>
  </si>
  <si>
    <t>neema.ahadian@marcusmillichap.com</t>
  </si>
  <si>
    <t>2669 Larmar Rd, Los Angeles, CA 90068</t>
  </si>
  <si>
    <t>https://www.realtor.com/realestateandhomes-detail/2669-Larmar-Rd_Los-Angeles_CA_90068_M12024-33099</t>
  </si>
  <si>
    <t>Matt Adamo</t>
  </si>
  <si>
    <t>matt.adamo@aaronkirman.com</t>
  </si>
  <si>
    <t>AKGRE Inc</t>
  </si>
  <si>
    <t>1568 S Hayworth Ave, Los Angeles, CA 90035</t>
  </si>
  <si>
    <t>https://www.realtor.com/realestateandhomes-detail/1568-S-Hayworth-Ave_Los-Angeles_CA_90035_M26653-58144</t>
  </si>
  <si>
    <t>Brita Kleingartner</t>
  </si>
  <si>
    <t>brita@britakleingartner.com</t>
  </si>
  <si>
    <t>TRG Real Estate Co., Inc.</t>
  </si>
  <si>
    <t>564 N Normandie Ave, Los Angeles, CA 90004</t>
  </si>
  <si>
    <t>https://www.realtor.com/realestateandhomes-detail/564-N-Normandie-Ave_Los-Angeles_CA_90004_M21282-79548</t>
  </si>
  <si>
    <t>Jon Grauman</t>
  </si>
  <si>
    <t>jgrauman@theagencyre.com</t>
  </si>
  <si>
    <t>Resident Group</t>
  </si>
  <si>
    <t>877 Francisco St Apt 827, Los Angeles, CA 90017</t>
  </si>
  <si>
    <t>https://www.realtor.com/realestateandhomes-detail/877-Francisco-St-Apt-827_Los-Angeles_CA_90017_M99656-47791</t>
  </si>
  <si>
    <t>Garrett Frakes</t>
  </si>
  <si>
    <t>gfrakes@polarispacific.com</t>
  </si>
  <si>
    <t>Polaris Pacific</t>
  </si>
  <si>
    <t>852 N Oxford Ave, Los Angeles, CA 90029</t>
  </si>
  <si>
    <t>https://www.realtor.com/realestateandhomes-detail/852-N-Oxford-Ave_Los-Angeles_CA_90029_M24795-17963</t>
  </si>
  <si>
    <t>Julio Ruiz</t>
  </si>
  <si>
    <t>ziuroiluj@gmail.com</t>
  </si>
  <si>
    <t>Global Platinum Properties, Inc.</t>
  </si>
  <si>
    <t>8626 Lubao Ave, Winnetka, CA 91306</t>
  </si>
  <si>
    <t>https://www.realtor.com/realestateandhomes-detail/8626-Lubao-Ave_Winnetka_CA_91306_M28652-46454</t>
  </si>
  <si>
    <t>Shira Dunn</t>
  </si>
  <si>
    <t>shira4realestate@gmail.com</t>
  </si>
  <si>
    <t>Blue Ocean</t>
  </si>
  <si>
    <t>1532 Granville Ave, Los Angeles, CA 90025</t>
  </si>
  <si>
    <t>https://www.realtor.com/realestateandhomes-detail/1532-Granville-Ave_Los-Angeles_CA_90025_M25510-40846</t>
  </si>
  <si>
    <t>Jonathan Taksa</t>
  </si>
  <si>
    <t>jtaksa@remax.net</t>
  </si>
  <si>
    <t>RE MAX Commercial &amp; Investment Realty</t>
  </si>
  <si>
    <t>Lauren Biedenharn</t>
  </si>
  <si>
    <t>Lauren.Biedenharn@camoves.com</t>
  </si>
  <si>
    <t>1017 Delaware St, Huntington Beach, CA 92648</t>
  </si>
  <si>
    <t>https://www.realtor.com/realestateandhomes-detail/1017-Delaware-St_Huntington-Beach_CA_92648_M24441-39284</t>
  </si>
  <si>
    <t>Scot Campbell</t>
  </si>
  <si>
    <t>scot@campbellrealtors.com</t>
  </si>
  <si>
    <t>CAMPBELL REALTORS</t>
  </si>
  <si>
    <t>5810-34 Via Romero, Yorba Linda, CA 92887</t>
  </si>
  <si>
    <t>https://www.realtor.com/realestateandhomes-detail/5810-Via-Romero_Yorba-Linda_CA_92887_M98004-62544</t>
  </si>
  <si>
    <t>Jennifer Toyama</t>
  </si>
  <si>
    <t>J_Toyama@verizon.net</t>
  </si>
  <si>
    <t>56 Derby, Irvine, CA 92602</t>
  </si>
  <si>
    <t>https://www.realtor.com/realestateandhomes-detail/56-Derby_Irvine_CA_92602_M95457-36204</t>
  </si>
  <si>
    <t>Jen Gong</t>
  </si>
  <si>
    <t>jgonghomes@gmail.com</t>
  </si>
  <si>
    <t>12406 Magnolia Blvd, Valley Village, CA 91607</t>
  </si>
  <si>
    <t>https://www.realtor.com/realestateandhomes-detail/12406-Magnolia-Blvd_Valley-Village_CA_91607_M28221-00716</t>
  </si>
  <si>
    <t>Anna Elikuchukyan</t>
  </si>
  <si>
    <t>aesignings@gmail.com</t>
  </si>
  <si>
    <t>2917 Durand Dr, Los Angeles, CA 90068</t>
  </si>
  <si>
    <t>https://www.realtor.com/realestateandhomes-detail/2917-Durand-Dr_Los-Angeles_CA_90068_M24257-73199</t>
  </si>
  <si>
    <t>Arto Poladian</t>
  </si>
  <si>
    <t>arto@redfin.com</t>
  </si>
  <si>
    <t>Redfin Corporation</t>
  </si>
  <si>
    <t>3305 Primera Ave, Los Angeles, CA 90068</t>
  </si>
  <si>
    <t>https://www.realtor.com/realestateandhomes-detail/3305-Primera-Ave_Los-Angeles_CA_90068_M12570-61027</t>
  </si>
  <si>
    <t>Rich Johns</t>
  </si>
  <si>
    <t>richjohns@kw.com</t>
  </si>
  <si>
    <t>KW Commercial Studio City</t>
  </si>
  <si>
    <t>Nick Astrupgaard</t>
  </si>
  <si>
    <t>nastrupgaard@gmail.com</t>
  </si>
  <si>
    <t>923 S Alma Ave, East Los Angeles, CA 90023</t>
  </si>
  <si>
    <t>https://www.realtor.com/realestateandhomes-detail/923-S-Alma-Ave_Los-Angeles_CA_90023_M21454-55998</t>
  </si>
  <si>
    <t>Larry Weiner</t>
  </si>
  <si>
    <t>l.weiner@flansweiner.com</t>
  </si>
  <si>
    <t>Flans &amp; Weiner, Inc.</t>
  </si>
  <si>
    <t>9336 Wayside Dr, Sunland, CA 91040</t>
  </si>
  <si>
    <t>https://www.realtor.com/realestateandhomes-detail/9336-Wayside-Dr_Sunland_CA_91040_M19738-35112</t>
  </si>
  <si>
    <t>Harout Aloyan</t>
  </si>
  <si>
    <t>soldbyharout@gmail.com</t>
  </si>
  <si>
    <t>Coldwell Banker Hallmark</t>
  </si>
  <si>
    <t>5025 Delita Pl, Woodland Hills, CA 91364</t>
  </si>
  <si>
    <t>https://www.realtor.com/realestateandhomes-detail/5025-Delita-Pl_Woodland-Hills_CA_91364_M16892-01544</t>
  </si>
  <si>
    <t>Justin Shore</t>
  </si>
  <si>
    <t>justin@shorehomes.info</t>
  </si>
  <si>
    <t>Pinnacle Estate Properties, I</t>
  </si>
  <si>
    <t>5307-5307 1/2 Compton Ave, Los Angeles, CA 90011</t>
  </si>
  <si>
    <t>https://www.realtor.com/realestateandhomes-detail/5307-5307-12-Compton-Ave_Los-Angeles_CA_90011_M96600-57127</t>
  </si>
  <si>
    <t>Jenny Segovia</t>
  </si>
  <si>
    <t>jennysegovia77@hotmail.com</t>
  </si>
  <si>
    <t>PREC</t>
  </si>
  <si>
    <t>1563 E 108th St, Los Angeles, CA 90059</t>
  </si>
  <si>
    <t>https://www.realtor.com/realestateandhomes-detail/1563-E-108th-St_Los-Angeles_CA_90059_M23873-06891</t>
  </si>
  <si>
    <t>Andrew Brody</t>
  </si>
  <si>
    <t>andrewbrody@gmail.com</t>
  </si>
  <si>
    <t>Alta Realty Group Ca, Inc.</t>
  </si>
  <si>
    <t>24722 Del Prado Unit 206, Dana Point, CA 92629</t>
  </si>
  <si>
    <t>https://www.realtor.com/realestateandhomes-detail/24722-Del-Prado-206_Dana-Point_CA_92629_M98499-49834</t>
  </si>
  <si>
    <t>Rhonda D Scott</t>
  </si>
  <si>
    <t>rhonda@rhondascott.com</t>
  </si>
  <si>
    <t>Coldwell Banker Realty - Newport Beach</t>
  </si>
  <si>
    <t>Panos Papadopoulos</t>
  </si>
  <si>
    <t>panos@soldbyaria.com</t>
  </si>
  <si>
    <t>27703 Ortega Hwy Spc 127, San Juan Capistrano, CA 92675</t>
  </si>
  <si>
    <t>https://www.realtor.com/realestateandhomes-detail/27703-Ortega-Hwy-Spc-127_San-Juan-Capistrano_CA_92675_M14065-55845</t>
  </si>
  <si>
    <t>Josie Huffman</t>
  </si>
  <si>
    <t>josie@ocmobilehomes.com</t>
  </si>
  <si>
    <t>Orange County Home Sales</t>
  </si>
  <si>
    <t>1354 Shadow Ln Unit 202, Fullerton, CA 92831</t>
  </si>
  <si>
    <t>https://www.realtor.com/realestateandhomes-detail/1354-Shadow-Ln-202_Fullerton_CA_92831_M97451-47898</t>
  </si>
  <si>
    <t>Dan Choi</t>
  </si>
  <si>
    <t>office@danchoirealestate.com</t>
  </si>
  <si>
    <t>3605 Camino Real, Mount Washington, CA 90065</t>
  </si>
  <si>
    <t>https://www.realtor.com/realestateandhomes-detail/3605-Camino-Real_Mount-Washington_CA_90065_M92145-50852</t>
  </si>
  <si>
    <t>PETER WANG</t>
  </si>
  <si>
    <t>Petercre188@gmail.com</t>
  </si>
  <si>
    <t>Reali Estates Inc</t>
  </si>
  <si>
    <t>Julia Archuletta</t>
  </si>
  <si>
    <t>JuliaArchuletta@gmail.com</t>
  </si>
  <si>
    <t>1301 Lasso Way Unit 205, Rancho Mission Viejo, CA 92694</t>
  </si>
  <si>
    <t>https://www.realtor.com/realestateandhomes-detail/1301-Lasso-Way-Unit-205_Rancho-Mission-Viejo_CA_92694_M92474-62773</t>
  </si>
  <si>
    <t>Ginger Huetsch</t>
  </si>
  <si>
    <t>gingerhuetsch@me.com</t>
  </si>
  <si>
    <t>8031 Altavan Ave, Los Angeles, CA 90045</t>
  </si>
  <si>
    <t>https://www.realtor.com/realestateandhomes-detail/8031-Altavan-Ave_Los-Angeles_CA_90045_M17720-07691</t>
  </si>
  <si>
    <t>Emily Griffin</t>
  </si>
  <si>
    <t>emily@griffin-residential.com</t>
  </si>
  <si>
    <t>Griffin Real Estate, Inc.</t>
  </si>
  <si>
    <t>Matthew Pici</t>
  </si>
  <si>
    <t>matthew.pici@gmail.com</t>
  </si>
  <si>
    <t>904 S New Hampshire Ave Apt 507, Los Angeles, CA 90006</t>
  </si>
  <si>
    <t>https://www.realtor.com/realestateandhomes-detail/904-S-New-Hampshire-Ave-Apt-507_Los-Angeles_CA_90006_M99960-37507</t>
  </si>
  <si>
    <t>Brandon J. Park</t>
  </si>
  <si>
    <t>info@parkandhiles.com</t>
  </si>
  <si>
    <t>Park &amp; Hiles, Inc.</t>
  </si>
  <si>
    <t>Levon Arzumanyan</t>
  </si>
  <si>
    <t>levon.arzu@gmail.com</t>
  </si>
  <si>
    <t>The Agency - Studio City</t>
  </si>
  <si>
    <t>1306 S Longwood Ave, Los Angeles, CA 90019</t>
  </si>
  <si>
    <t>https://www.realtor.com/realestateandhomes-detail/1306-S-Longwood-Ave_Los-Angeles_CA_90019_M13461-63010</t>
  </si>
  <si>
    <t>Yvonne Neustadter</t>
  </si>
  <si>
    <t>ThePropertyLabRE@gmail.com</t>
  </si>
  <si>
    <t>The Property Lab, Inc.</t>
  </si>
  <si>
    <t>4 Jib St Apt 2, Marina del Rey, CA 90292</t>
  </si>
  <si>
    <t>https://www.realtor.com/realestateandhomes-detail/4-Jib-St-Apt-2_Marina-Del-Rey_CA_90292_M28165-50782</t>
  </si>
  <si>
    <t>Jennifer Portnoy</t>
  </si>
  <si>
    <t>jenportnoy@aol.com</t>
  </si>
  <si>
    <t>1738 Nichols Canyon Rd, Los Angeles, CA 90046</t>
  </si>
  <si>
    <t>https://www.realtor.com/realestateandhomes-detail/1738-Nichols-Canyon-Rd_Los-Angeles_CA_90046_M27762-97021</t>
  </si>
  <si>
    <t>Oliver Moussa</t>
  </si>
  <si>
    <t>oliver@revilorealty.com</t>
  </si>
  <si>
    <t>Revilo Realty, Inc.</t>
  </si>
  <si>
    <t>16620 Linda Ter, Pacific Palisades, CA 90272</t>
  </si>
  <si>
    <t>https://www.realtor.com/realestateandhomes-detail/16620-Linda-Ter_Pacific-Palisades_CA_90272_M29547-20056</t>
  </si>
  <si>
    <t>Ryan Jancula</t>
  </si>
  <si>
    <t>ryan@janculagroup.com</t>
  </si>
  <si>
    <t>8400 Mulholland Dr, Los Angeles, CA 90046</t>
  </si>
  <si>
    <t>https://www.realtor.com/realestateandhomes-detail/8400-Mulholland-Dr_Los-Angeles_CA_90046_M10873-55869</t>
  </si>
  <si>
    <t>Ari Afshar</t>
  </si>
  <si>
    <t>team@voyagerealestate.com</t>
  </si>
  <si>
    <t>4107 Punta Alta Dr, Los Angeles, CA 90008</t>
  </si>
  <si>
    <t>https://www.realtor.com/realestateandhomes-detail/4107-Punta-Alta-Dr_Los-Angeles_CA_90008_M25596-15161</t>
  </si>
  <si>
    <t>Ron Jackson</t>
  </si>
  <si>
    <t>ronjackson@pacunionla.com</t>
  </si>
  <si>
    <t>1731 S New Hampshire Ave, Los Angeles, CA 90006</t>
  </si>
  <si>
    <t>https://www.realtor.com/realestateandhomes-detail/1731-S-New-Hampshire-Ave_Los-Angeles_CA_90006_M18530-04254</t>
  </si>
  <si>
    <t>Michael Fitzgerald</t>
  </si>
  <si>
    <t>Michael.Fitzgerald@camoves.com</t>
  </si>
  <si>
    <t>Rise Realty</t>
  </si>
  <si>
    <t>3947 Sumac Dr, Sherman Oaks, CA 91403</t>
  </si>
  <si>
    <t>https://www.realtor.com/realestateandhomes-detail/3947-Sumac-Dr_Sherman-Oaks_CA_91403_M26340-68143</t>
  </si>
  <si>
    <t>Eric Delgado</t>
  </si>
  <si>
    <t>teamdelgadoassociates@gmail.com</t>
  </si>
  <si>
    <t>16801 W Sunset Blvd, Pacific Palisades, CA 90272</t>
  </si>
  <si>
    <t>https://www.realtor.com/realestateandhomes-detail/16801-W-Sunset-Blvd_Pacific-Palisades_CA_90272_M28702-38165</t>
  </si>
  <si>
    <t>John Barrentine</t>
  </si>
  <si>
    <t>john@barrentinegroup.com</t>
  </si>
  <si>
    <t>2289 W 29th Pl, Los Angeles, CA 90018</t>
  </si>
  <si>
    <t>https://www.realtor.com/realestateandhomes-detail/2289-W-29th-Pl_Los-Angeles_CA_90018_M12104-64873</t>
  </si>
  <si>
    <t>Erick Claudio</t>
  </si>
  <si>
    <t>homesbyerick@gmail.com</t>
  </si>
  <si>
    <t>Keller Williams Realty South Bay</t>
  </si>
  <si>
    <t>12650 S Western Ave, Los Angeles, CA 90047</t>
  </si>
  <si>
    <t>https://www.realtor.com/realestateandhomes-detail/12650-S-Western-Ave_Los-Angeles_CA_90047_M91060-07290</t>
  </si>
  <si>
    <t>Gabriel Diaz</t>
  </si>
  <si>
    <t>gabrielrealtor7@gmail.com</t>
  </si>
  <si>
    <t>Pak Home Realty</t>
  </si>
  <si>
    <t>11378 Ovada Pl, Los Angeles, CA 90049</t>
  </si>
  <si>
    <t>https://www.realtor.com/realestateandhomes-detail/11378-Ovada-Pl_Los-Angeles_CA_90049_M23363-67741</t>
  </si>
  <si>
    <t>David Miller</t>
  </si>
  <si>
    <t>dave@theensburygroup.com</t>
  </si>
  <si>
    <t>Miller &amp; Desatnik Realty Co.</t>
  </si>
  <si>
    <t>8932 Orchard Ave, Los Angeles, CA 90044</t>
  </si>
  <si>
    <t>https://www.realtor.com/realestateandhomes-detail/8932-Orchard-Ave_Los-Angeles_CA_90044_M17072-77971</t>
  </si>
  <si>
    <t>Luis Martinez</t>
  </si>
  <si>
    <t>luismish@hotmail.com</t>
  </si>
  <si>
    <t>6601 Springpark Ave Apt 14, Los Angeles, CA 90056</t>
  </si>
  <si>
    <t>https://www.realtor.com/realestateandhomes-detail/6601-Springpark-Ave-Apt-14_Los-Angeles_CA_90056_M16495-24929</t>
  </si>
  <si>
    <t>Naisa Santeyan</t>
  </si>
  <si>
    <t>naisasanteyan@gmail.com</t>
  </si>
  <si>
    <t>Home Saver Realty</t>
  </si>
  <si>
    <t>10261 Calvin Ave, Northridge, CA 91324</t>
  </si>
  <si>
    <t>https://www.realtor.com/realestateandhomes-detail/10261-Calvin-Ave_Northridge_CA_91324_M21959-50128</t>
  </si>
  <si>
    <t>Hilda Hernandez</t>
  </si>
  <si>
    <t>hilda@thecandcgrouponline.com</t>
  </si>
  <si>
    <t>1744 Webster Ave, Los Angeles, CA 90026</t>
  </si>
  <si>
    <t>https://www.realtor.com/realestateandhomes-detail/1744-Webster-Ave_Los-Angeles_CA_90026_M11431-93179</t>
  </si>
  <si>
    <t>Carlos Villegas</t>
  </si>
  <si>
    <t>villegasrealestate@gmail.com</t>
  </si>
  <si>
    <t>525 W 85th St, Los Angeles, CA 90044</t>
  </si>
  <si>
    <t>https://www.realtor.com/realestateandhomes-detail/525-W-85th-St_Los-Angeles_CA_90044_M14985-51427</t>
  </si>
  <si>
    <t>Jody Clegg</t>
  </si>
  <si>
    <t>jody@jodyclegg.com</t>
  </si>
  <si>
    <t>16444 Bolsa Chica St Spc 51, Huntington Beach, CA 92649</t>
  </si>
  <si>
    <t>https://www.realtor.com/realestateandhomes-detail/16444-Bolsa-Chica-St-Spc-51_Huntington-Beach_CA_92649_M10158-00062</t>
  </si>
  <si>
    <t>Daniel DeForest</t>
  </si>
  <si>
    <t>dandeforest@firstteam.com</t>
  </si>
  <si>
    <t>First Team Real Estate North Tustin</t>
  </si>
  <si>
    <t>539 Catalina, Laguna Beach, CA 92651</t>
  </si>
  <si>
    <t>https://www.realtor.com/realestateandhomes-detail/539-Catalina_Laguna-Beach_CA_92651_M26643-77491</t>
  </si>
  <si>
    <t>GARRETT WESTON</t>
  </si>
  <si>
    <t>gwestoninc@gmail.com</t>
  </si>
  <si>
    <t>8070 E Oak Ridge Cir, Anaheim, CA 92808</t>
  </si>
  <si>
    <t>https://www.realtor.com/realestateandhomes-detail/8070-E-Oak-Ridge-Cir_Anaheim_CA_92808_M13132-35935</t>
  </si>
  <si>
    <t>Shaun Radcliffe</t>
  </si>
  <si>
    <t>shaun@radcliffeassociates.com</t>
  </si>
  <si>
    <t>645 S Trident St, Anaheim, CA 92804</t>
  </si>
  <si>
    <t>https://www.realtor.com/realestateandhomes-detail/645-S-Trident-St_Anaheim_CA_92804_M16284-78693</t>
  </si>
  <si>
    <t>Lien Hoang</t>
  </si>
  <si>
    <t>lienhoang.realtor@gmail.com</t>
  </si>
  <si>
    <t>One Stop Realty And Financial</t>
  </si>
  <si>
    <t>8613 Franklin Ave, Los Angeles, CA 90069</t>
  </si>
  <si>
    <t>https://www.realtor.com/realestateandhomes-detail/8613-Franklin-Ave_Los-Angeles_CA_90069_M11645-54700</t>
  </si>
  <si>
    <t>Neven Spralja</t>
  </si>
  <si>
    <t>neven.spralja@rhss.com</t>
  </si>
  <si>
    <t>REAL HOME SRVCS &amp; SLTNS INC</t>
  </si>
  <si>
    <t>5572 Saint Ann Ave, Cypress, CA 90630</t>
  </si>
  <si>
    <t>https://www.realtor.com/realestateandhomes-detail/5572-Saint-Ann-Ave_Cypress_CA_90630_M15936-55855</t>
  </si>
  <si>
    <t>Dave Chamberlain</t>
  </si>
  <si>
    <t>dave@teamchamberlain.com</t>
  </si>
  <si>
    <t>Team Chamberlain Realty Exe.</t>
  </si>
  <si>
    <t>6365 Miramonte Blvd, Los Angeles, CA 90001</t>
  </si>
  <si>
    <t>https://www.realtor.com/realestateandhomes-detail/6365-Miramonte-Blvd_Los-Angeles_CA_90001_M22083-44154</t>
  </si>
  <si>
    <t>Willie Wheaton</t>
  </si>
  <si>
    <t>wwcorp1@aol.com</t>
  </si>
  <si>
    <t>Will Wheaton Real Estate</t>
  </si>
  <si>
    <t>6056 Craner Ave, North Hollywood, CA 91606</t>
  </si>
  <si>
    <t>https://www.realtor.com/realestateandhomes-detail/6056-Craner-Ave_North-Hollywood_CA_91606_M18055-11699</t>
  </si>
  <si>
    <t>Gina Uzunyan</t>
  </si>
  <si>
    <t>guzunyan@aol.com</t>
  </si>
  <si>
    <t>Koenig Properties</t>
  </si>
  <si>
    <t>3470 Bahia Blanca W Unit B, Laguna Woods, CA 92637</t>
  </si>
  <si>
    <t>https://www.realtor.com/realestateandhomes-detail/3470-Bahia-Blanca-W-Unit-B_Laguna-Woods_CA_92637_M15610-25684</t>
  </si>
  <si>
    <t>Claire Craig</t>
  </si>
  <si>
    <t>claire@lagunapremier.com</t>
  </si>
  <si>
    <t>21851 Newland St Spc 147, Huntington Beach, CA 92646</t>
  </si>
  <si>
    <t>https://www.realtor.com/realestateandhomes-detail/21851-Newland-St-Spc-147_Huntington-Beach_CA_92646_M16279-25726</t>
  </si>
  <si>
    <t>Patrick Crocetta</t>
  </si>
  <si>
    <t>thirdpartylistings-us@hometownamerica.net</t>
  </si>
  <si>
    <t>Hometown America Communities</t>
  </si>
  <si>
    <t>2919 Waverly Dr Unit 308, Los Angeles, CA 90039</t>
  </si>
  <si>
    <t>https://www.realtor.com/realestateandhomes-detail/2919-Waverly-Dr-Unit-308_Los-Angeles_CA_90039_M98244-90021</t>
  </si>
  <si>
    <t>Michael Druker</t>
  </si>
  <si>
    <t>michael@michaeldruker.com</t>
  </si>
  <si>
    <t>709 E Chestnut Ave, Santa Ana, CA 92701</t>
  </si>
  <si>
    <t>https://www.realtor.com/realestateandhomes-detail/709-E-Chestnut-Ave_Santa-Ana_CA_92701_M19550-12327</t>
  </si>
  <si>
    <t>Rick Applebaum</t>
  </si>
  <si>
    <t>rma@morganskenderian.com</t>
  </si>
  <si>
    <t>Morgan Skenderian</t>
  </si>
  <si>
    <t>20564 W Bluebird Ct, Porter Ranch, CA 91326</t>
  </si>
  <si>
    <t>https://www.realtor.com/realestateandhomes-detail/20564-W-Bluebird-Ct_Porter-Ranch_CA_91326_M97046-28782</t>
  </si>
  <si>
    <t>Yubo Mu</t>
  </si>
  <si>
    <t>sammuteam@gmail.com</t>
  </si>
  <si>
    <t>Pinnacle Real Estate Group</t>
  </si>
  <si>
    <t>245 Crescent Bay Dr, Laguna Beach, CA 92651</t>
  </si>
  <si>
    <t>https://www.realtor.com/realestateandhomes-detail/245-Crescent-Bay-Dr_Laguna-Beach_CA_92651_M22739-28913</t>
  </si>
  <si>
    <t>Mike Johnson</t>
  </si>
  <si>
    <t>michaeljohnson100@gmail.com</t>
  </si>
  <si>
    <t>267 Avenida Lobeiro Apt E, San Clemente, CA 92672</t>
  </si>
  <si>
    <t>https://www.realtor.com/realestateandhomes-detail/267-Avenida-Lobeiro-Apt-E_San-Clemente_CA_92672_M29888-24508</t>
  </si>
  <si>
    <t>Bill Conrad</t>
  </si>
  <si>
    <t>billc@conradrealestate.com</t>
  </si>
  <si>
    <t>Conrad Realtors</t>
  </si>
  <si>
    <t>110 Spiral, Irvine, CA 92618</t>
  </si>
  <si>
    <t>https://www.realtor.com/realestateandhomes-detail/110-Spiral_Irvine_CA_92618_M90632-59768</t>
  </si>
  <si>
    <t>Doug Swardstrom</t>
  </si>
  <si>
    <t>Douglas.Swardstrom@camoves.com</t>
  </si>
  <si>
    <t>2201 N Hobart Blvd, Los Angeles, CA 90027</t>
  </si>
  <si>
    <t>https://www.realtor.com/realestateandhomes-detail/2201-N-Hobart-Blvd_Los-Angeles_CA_90027_M14790-20925</t>
  </si>
  <si>
    <t>Suzanne Abolhosseini</t>
  </si>
  <si>
    <t>suzanneseini@gmail.com</t>
  </si>
  <si>
    <t>Innovate Realty, Inc.</t>
  </si>
  <si>
    <t>Jeremy Conrad</t>
  </si>
  <si>
    <t>jconrad@conradrealestate.com</t>
  </si>
  <si>
    <t>Rachel Swardstrom</t>
  </si>
  <si>
    <t>rachel@swardstromgroup.com</t>
  </si>
  <si>
    <t>25901 Nellie Gail Rd, Laguna Hills, CA 92653</t>
  </si>
  <si>
    <t>https://www.realtor.com/realestateandhomes-detail/25901-Nellie-Gail-Rd_Laguna-Hills_CA_92653_M27756-22902</t>
  </si>
  <si>
    <t>Bradley Feldman</t>
  </si>
  <si>
    <t>brad.feldman@elliman.com</t>
  </si>
  <si>
    <t>Laguna Niguel</t>
  </si>
  <si>
    <t>8 Evening Breeze, Irvine, CA 92603</t>
  </si>
  <si>
    <t>https://www.realtor.com/realestateandhomes-detail/8-Evening-Breeze_Irvine_CA_92603_M91844-34168</t>
  </si>
  <si>
    <t>Theresa Choi</t>
  </si>
  <si>
    <t>theresa@danchoirealestate.com</t>
  </si>
  <si>
    <t>20 Harbor Is, Newport Beach, CA 92660</t>
  </si>
  <si>
    <t>https://www.realtor.com/realestateandhomes-detail/20-Harbor-Is_Newport-Beach_CA_92660_M18724-44297</t>
  </si>
  <si>
    <t>Rob Giem</t>
  </si>
  <si>
    <t>rob@robgiem.com</t>
  </si>
  <si>
    <t>Plus Real Estate</t>
  </si>
  <si>
    <t>Woods Dr, Hollywood Hills, CA 90069</t>
  </si>
  <si>
    <t>https://www.realtor.com/realestateandhomes-detail/Woods-Dr_Hollywood-Hills_CA_90069_M91731-81068</t>
  </si>
  <si>
    <t>Teresa Contreras Realtor</t>
  </si>
  <si>
    <t>realtybyteresa@yahoo.com</t>
  </si>
  <si>
    <t>HOMELINK REALTY INC.</t>
  </si>
  <si>
    <t>234 N Burlington Ave, Los Angeles, CA 90026</t>
  </si>
  <si>
    <t>https://www.realtor.com/realestateandhomes-detail/234-N-Burlington-Ave_Los-Angeles_CA_90026_M10314-27913</t>
  </si>
  <si>
    <t>Lauren Cearley</t>
  </si>
  <si>
    <t>listings@twotofour.com</t>
  </si>
  <si>
    <t>Myunits.com Inc.</t>
  </si>
  <si>
    <t>420 S San Pedro St Apt 509, Los Angeles, CA 90013</t>
  </si>
  <si>
    <t>https://www.realtor.com/realestateandhomes-detail/420-S-San-Pedro-St-Apt-509_Los-Angeles_CA_90013_M28024-94521</t>
  </si>
  <si>
    <t>Alma Lam</t>
  </si>
  <si>
    <t>almalam@kw.com</t>
  </si>
  <si>
    <t>2466 Lancaster Ave, Los Angeles, CA 90033</t>
  </si>
  <si>
    <t>https://www.realtor.com/realestateandhomes-detail/2466-Lancaster-Ave_Los-Angeles_CA_90033_M13908-57928</t>
  </si>
  <si>
    <t>Agnes Ferreyra</t>
  </si>
  <si>
    <t>Agnes@DTLA-Residential.com</t>
  </si>
  <si>
    <t>Realty Source Incorporated</t>
  </si>
  <si>
    <t>706 W 50th St, Los Angeles, CA 90037</t>
  </si>
  <si>
    <t>https://www.realtor.com/realestateandhomes-detail/706-W-50th-St_Los-Angeles_CA_90037_M23272-24745</t>
  </si>
  <si>
    <t>Alison Seong Kim</t>
  </si>
  <si>
    <t>alisonkim33@gmail.com</t>
  </si>
  <si>
    <t>Seong Mi Kim</t>
  </si>
  <si>
    <t>1912 Pacific Ave, Venice, CA 90291</t>
  </si>
  <si>
    <t>https://www.realtor.com/realestateandhomes-detail/1912-Pacific-Ave_Venice_CA_90291_M17285-06963</t>
  </si>
  <si>
    <t>Penny Muck</t>
  </si>
  <si>
    <t>penny@haltonpardee.com</t>
  </si>
  <si>
    <t>865 Comstock Ave Apt 10D, Los Angeles, CA 90024</t>
  </si>
  <si>
    <t>https://www.realtor.com/realestateandhomes-detail/865-Comstock-Ave-Apt-10D_Los-Angeles_CA_90024_M13507-56625</t>
  </si>
  <si>
    <t>Patty Best</t>
  </si>
  <si>
    <t>Patty.Best@elliman.com</t>
  </si>
  <si>
    <t>9727 N Estaban Way, Tujunga, CA 91042</t>
  </si>
  <si>
    <t>https://www.realtor.com/realestateandhomes-detail/9727-N-Estaban-Way_Tujunga_CA_91042_M93913-67743</t>
  </si>
  <si>
    <t>Rebecca Koh</t>
  </si>
  <si>
    <t>thecharmixgroup@gmail.com</t>
  </si>
  <si>
    <t>Sandro Bononi</t>
  </si>
  <si>
    <t>8777 W Hollywood Blvd, Los Angeles, CA 90069</t>
  </si>
  <si>
    <t>https://www.realtor.com/realestateandhomes-detail/8777-Hollywood-Blvd_Los-Angeles_CA_90069_M91383-21482</t>
  </si>
  <si>
    <t>Jacob Greene</t>
  </si>
  <si>
    <t>Jacob.Greene@elliman.com</t>
  </si>
  <si>
    <t>Douglas Elliman of California, Inc.</t>
  </si>
  <si>
    <t>51 Thornton Ave, Venice, CA 90291</t>
  </si>
  <si>
    <t>https://www.realtor.com/realestateandhomes-detail/51-Thornton-Ave_Venice_CA_90291_M26716-85312</t>
  </si>
  <si>
    <t>Ashley Sackerman</t>
  </si>
  <si>
    <t>ashley.sackerman@telesproperties.com</t>
  </si>
  <si>
    <t>11601 Bellagio Rd, Los Angeles, CA 90049</t>
  </si>
  <si>
    <t>https://www.realtor.com/realestateandhomes-detail/11601-Bellagio-Rd_Los-Angeles_CA_90049_M17598-62142</t>
  </si>
  <si>
    <t>Nicole Contreras</t>
  </si>
  <si>
    <t>nicole.contreras777@gmail.com</t>
  </si>
  <si>
    <t>12345 Huston St, Valley Village, CA 91607</t>
  </si>
  <si>
    <t>https://www.realtor.com/realestateandhomes-detail/12345-Huston-St_Valley-Village_CA_91607_M27991-44896</t>
  </si>
  <si>
    <t>Elizabeth Friedman</t>
  </si>
  <si>
    <t>liz.friedman@theagencyre.com</t>
  </si>
  <si>
    <t>Chelsea Properties</t>
  </si>
  <si>
    <t>1271 S Mullen Ave, Los Angeles, CA 90019</t>
  </si>
  <si>
    <t>https://www.realtor.com/realestateandhomes-detail/1271-S-Mullen-Ave_Los-Angeles_CA_90019_M19723-29802</t>
  </si>
  <si>
    <t>Nancy Sanborn - Berkshire Hathaway HomeServices California Properties</t>
  </si>
  <si>
    <t>info@sanbornteam.com</t>
  </si>
  <si>
    <t>Brian A. Joy</t>
  </si>
  <si>
    <t>brian@brianajoy.com</t>
  </si>
  <si>
    <t>695 S Norton Ave, Los Angeles, CA 90005</t>
  </si>
  <si>
    <t>https://www.realtor.com/realestateandhomes-detail/695-S-Norton-Ave_Los-Angeles_CA_90005_M91927-93009</t>
  </si>
  <si>
    <t>H. Jason Yang</t>
  </si>
  <si>
    <t>jason@gaia-us.com</t>
  </si>
  <si>
    <t>GAIA</t>
  </si>
  <si>
    <t>935-937 W 17th, San Pedro, CA 90731</t>
  </si>
  <si>
    <t>https://www.realtor.com/realestateandhomes-detail/935-937-W-17th_San-Pedro_CA_90731_M92276-01212</t>
  </si>
  <si>
    <t>DI BERNARDO REALTY</t>
  </si>
  <si>
    <t>freddibernardo@sbcglobal.net</t>
  </si>
  <si>
    <t>Fred Dibernardo</t>
  </si>
  <si>
    <t>724 N Croft Ave Apt 307, Los Angeles, CA 90069</t>
  </si>
  <si>
    <t>https://www.realtor.com/realestateandhomes-detail/724-N-Croft-Ave-Apt-307_Los-Angeles_CA_90069_M99292-46505</t>
  </si>
  <si>
    <t>Sandy Marie Dunkley</t>
  </si>
  <si>
    <t>sandydunkley@gmail.com</t>
  </si>
  <si>
    <t>Equity Real Estate-Los Angeles</t>
  </si>
  <si>
    <t>4411 Roma Ct, Marina del Rey, CA 90292</t>
  </si>
  <si>
    <t>https://www.realtor.com/realestateandhomes-detail/4411-Roma-Ct_Marina-Del-Rey_CA_90292_M15702-64399</t>
  </si>
  <si>
    <t>Barbra Stover me for Luxury Homes from Beverly Hills to Beach City</t>
  </si>
  <si>
    <t>stover@stoverestates.net</t>
  </si>
  <si>
    <t>5006 Los Feliz Blvd, Los Angeles, CA 90027</t>
  </si>
  <si>
    <t>https://www.realtor.com/realestateandhomes-detail/5006-Los-Feliz-Blvd_Los-Angeles_CA_90027_M14723-50321</t>
  </si>
  <si>
    <t>Donovan Healey</t>
  </si>
  <si>
    <t>donovanhealey@gmail.com</t>
  </si>
  <si>
    <t>Coldwell Banker Realty - Studio City</t>
  </si>
  <si>
    <t>Armin Soleimani</t>
  </si>
  <si>
    <t>arminsoleimani@gmail.com</t>
  </si>
  <si>
    <t>22241 Wyandotte St, Canoga Park, CA 91303</t>
  </si>
  <si>
    <t>https://www.realtor.com/realestateandhomes-detail/22241-Wyandotte-St_Canoga-Park_CA_91303_M13307-25921</t>
  </si>
  <si>
    <t>Emil Hartoonian</t>
  </si>
  <si>
    <t>ehartoonian@theagencyre.com</t>
  </si>
  <si>
    <t>2375 W 12th St, Los Angeles, CA 90006</t>
  </si>
  <si>
    <t>https://www.realtor.com/realestateandhomes-detail/2375-W-12th-St_Los-Angeles_CA_90006_M19064-06349</t>
  </si>
  <si>
    <t>Lee Ziff</t>
  </si>
  <si>
    <t>lee@leeziff.com</t>
  </si>
  <si>
    <t>4801 S Central Ave, Los Angeles, CA 90011</t>
  </si>
  <si>
    <t>https://www.realtor.com/realestateandhomes-detail/4801-S-Central-Ave_Los-Angeles_CA_90011_M10123-09260</t>
  </si>
  <si>
    <t>Consuelo Rodriguez</t>
  </si>
  <si>
    <t>g.consuelo@ymail.com</t>
  </si>
  <si>
    <t>RICO &amp; RICO REALTY AND ASSOCIATES</t>
  </si>
  <si>
    <t>2819 S Canfield Ave, Los Angeles, CA 90034</t>
  </si>
  <si>
    <t>https://www.realtor.com/realestateandhomes-detail/2819-S-Canfield-Ave_Los-Angeles_CA_90034_M16989-06433</t>
  </si>
  <si>
    <t>Juliette Hohnen</t>
  </si>
  <si>
    <t>Juliette.Hohnen@elliman.com</t>
  </si>
  <si>
    <t>5353 5355 Oakland St, Los Angeles, CA 90032</t>
  </si>
  <si>
    <t>https://www.realtor.com/realestateandhomes-detail/5353-Oakland-St_Los-Angeles_CA_90032_M17549-83453</t>
  </si>
  <si>
    <t>Maria Sarmiento</t>
  </si>
  <si>
    <t>maria@multifamilyrealtor.com</t>
  </si>
  <si>
    <t>Temecula Valley Real Estate Inc</t>
  </si>
  <si>
    <t>1412 Marinette Rd, Pacific Palisades, CA 90272</t>
  </si>
  <si>
    <t>https://www.realtor.com/realestateandhomes-detail/1412-Marinette-Rd_Pacific-Palisades_CA_90272_M23229-05044</t>
  </si>
  <si>
    <t>Elena Mandeville</t>
  </si>
  <si>
    <t>mandeville.elena@gmail.com</t>
  </si>
  <si>
    <t>12000 Crest Ct, Beverly Hills, CA 90210</t>
  </si>
  <si>
    <t>https://www.realtor.com/realestateandhomes-detail/12000-Crest-Ct_Beverly-Hills_CA_90210_M14066-91582</t>
  </si>
  <si>
    <t>Amir Mostame</t>
  </si>
  <si>
    <t>zac.mostame@gmail.com</t>
  </si>
  <si>
    <t>1641 Monterey Rd Apt 18E, Seal Beach, CA 90740</t>
  </si>
  <si>
    <t>https://www.realtor.com/realestateandhomes-detail/1641-Monterey-Rd-Apt-18E_Seal-Beach_CA_90740_M91284-74379</t>
  </si>
  <si>
    <t>Carol Gasper</t>
  </si>
  <si>
    <t>gcarol1966@aol.com</t>
  </si>
  <si>
    <t>Gasper-Monteer Realty Group</t>
  </si>
  <si>
    <t>2240 Foothill Blvd, Santa Ana, CA 92705</t>
  </si>
  <si>
    <t>https://www.realtor.com/realestateandhomes-detail/2240-Foothill-Blvd_Santa-Ana_CA_92705_M27532-00177</t>
  </si>
  <si>
    <t>Al Ricci</t>
  </si>
  <si>
    <t>AlRicci@RicciRealty.com</t>
  </si>
  <si>
    <t>RICCI REALTY</t>
  </si>
  <si>
    <t>5111 Randall St, Culver City, CA 90230</t>
  </si>
  <si>
    <t>https://www.realtor.com/realestateandhomes-detail/5111-Randall-St_Culver-City_CA_90230_M12364-84724</t>
  </si>
  <si>
    <t>Mark Lima</t>
  </si>
  <si>
    <t>mlima@limarealestategroup.com</t>
  </si>
  <si>
    <t>Lima Real Estate Group</t>
  </si>
  <si>
    <t>8766 Tulare Dr Unit 405B, Huntington Beach, CA 92646</t>
  </si>
  <si>
    <t>https://www.realtor.com/realestateandhomes-detail/8766-Tulare-Dr-Unit-405B_Huntington-Beach_CA_92646_M98963-25428</t>
  </si>
  <si>
    <t>Patricia Vidal</t>
  </si>
  <si>
    <t>patriciavidal@vidalgroupoc.com</t>
  </si>
  <si>
    <t>RE MAX Select One</t>
  </si>
  <si>
    <t>600 W 3rd St Apt A115, Santa Ana, CA 92701</t>
  </si>
  <si>
    <t>https://www.realtor.com/realestateandhomes-detail/600-W-3rd-St-Apt-A115_Santa-Ana_CA_92701_M23180-63437</t>
  </si>
  <si>
    <t>Jesus Morales</t>
  </si>
  <si>
    <t>jesushomes@gmail.com</t>
  </si>
  <si>
    <t>23301 Ridge Route Dr Spc 94, Laguna Hills, CA 92653</t>
  </si>
  <si>
    <t>https://www.realtor.com/realestateandhomes-detail/23301-Ridge-Route-Dr-Spc-94_Laguna-Hills_CA_92653_M22759-43534</t>
  </si>
  <si>
    <t>Clara Swegles</t>
  </si>
  <si>
    <t>enchanted0727@verizon.net</t>
  </si>
  <si>
    <t>Enchanted Homes</t>
  </si>
  <si>
    <t>1501 LA Loma Dr, North Tustin, CA 92705</t>
  </si>
  <si>
    <t>https://www.realtor.com/realestateandhomes-detail/1501-LA-Loma-Dr_Santa-Ana_CA_92705_M26886-92830</t>
  </si>
  <si>
    <t>Lane Stone</t>
  </si>
  <si>
    <t>lane@sackinstoneteam.com</t>
  </si>
  <si>
    <t>2816 Moss Ave, Los Angeles, CA 90065</t>
  </si>
  <si>
    <t>https://www.realtor.com/realestateandhomes-detail/2816-Moss-Ave_Los-Angeles_CA_90065_M11179-99846</t>
  </si>
  <si>
    <t>Edwin Baloloy</t>
  </si>
  <si>
    <t>edwin@midriseliving.com</t>
  </si>
  <si>
    <t>8632 S Fir Ave, Los Angeles, CA 90002</t>
  </si>
  <si>
    <t>https://www.realtor.com/realestateandhomes-detail/8632-S-Fir-Ave_Los-Angeles_CA_90002_M24962-49147</t>
  </si>
  <si>
    <t>Andro Chavez</t>
  </si>
  <si>
    <t>androjc@aol.com</t>
  </si>
  <si>
    <t>Re/Pro Realty</t>
  </si>
  <si>
    <t>23301 Ridge Route Dr Spc 246, Laguna Hills, CA 92653</t>
  </si>
  <si>
    <t>https://www.realtor.com/realestateandhomes-detail/23301-Ridge-Route-Dr-Spc-246_Laguna-Hills_CA_92653_M91410-21183</t>
  </si>
  <si>
    <t>Arthur Cervantes</t>
  </si>
  <si>
    <t>iarthurc@gmail.com</t>
  </si>
  <si>
    <t>Arthur Cervantes, Broker</t>
  </si>
  <si>
    <t>120 Lemon Grv Unit 34, Irvine, CA 92618</t>
  </si>
  <si>
    <t>https://www.realtor.com/realestateandhomes-detail/120-Lemon-Grv-34_Irvine_CA_92618_M23357-01353</t>
  </si>
  <si>
    <t>Nguyen Nguyen</t>
  </si>
  <si>
    <t>tonynguyenstocks@gmail.com</t>
  </si>
  <si>
    <t>1000 W Macarthur Blvd Apt 11, Santa Ana, CA 92707</t>
  </si>
  <si>
    <t>https://www.realtor.com/realestateandhomes-detail/1000-W-Macarthur-Blvd-Apt-11_Santa-Ana_CA_92707_M24577-89627</t>
  </si>
  <si>
    <t>The Drumm Family Real Estate Group</t>
  </si>
  <si>
    <t>kevincdrumm@gmail.com</t>
  </si>
  <si>
    <t>4854 Brewster Dr, Tarzana, CA 91356</t>
  </si>
  <si>
    <t>https://www.realtor.com/realestateandhomes-detail/4854-Brewster-Dr_Tarzana_CA_91356_M20527-30813</t>
  </si>
  <si>
    <t>David Lukan</t>
  </si>
  <si>
    <t>David@DavidLukan.com</t>
  </si>
  <si>
    <t>Cheyenne Womack</t>
  </si>
  <si>
    <t>cheyenne@myunits.com</t>
  </si>
  <si>
    <t>Brandon Melgar</t>
  </si>
  <si>
    <t>brandon.melgar@gmail.com</t>
  </si>
  <si>
    <t>14659 Valley Vista Blvd, Sherman Oaks, CA 91403</t>
  </si>
  <si>
    <t>https://www.realtor.com/realestateandhomes-detail/14659-Valley-Vista-Blvd_Sherman-Oaks_CA_91403_M27049-85231</t>
  </si>
  <si>
    <t>Joseph Harris</t>
  </si>
  <si>
    <t>joseph.harris@redfin.com</t>
  </si>
  <si>
    <t>6320 Beck Ave, North Hollywood, CA 91606</t>
  </si>
  <si>
    <t>https://www.realtor.com/realestateandhomes-detail/6320-Beck-Ave_North-Hollywood_CA_91606_M21741-95041</t>
  </si>
  <si>
    <t>Raffi Soualian</t>
  </si>
  <si>
    <t>raffibroker@gmail.com</t>
  </si>
  <si>
    <t>19970 Greenbriar Dr, Tarzana, CA 91356</t>
  </si>
  <si>
    <t>https://www.realtor.com/realestateandhomes-detail/19970-Greenbriar-Dr_Tarzana_CA_91356_M21313-61952</t>
  </si>
  <si>
    <t>Susanna Nagy</t>
  </si>
  <si>
    <t>znagy@kw.com</t>
  </si>
  <si>
    <t>11231 Otsego St, North Hollywood, CA 91601</t>
  </si>
  <si>
    <t>https://www.realtor.com/realestateandhomes-detail/11231-Otsego-St_North-Hollywood_CA_91601_M26288-40333</t>
  </si>
  <si>
    <t>Daniel Withers</t>
  </si>
  <si>
    <t>daniel.withers@berkadia.com</t>
  </si>
  <si>
    <t>Matthews Real Estate Investment Services</t>
  </si>
  <si>
    <t>5460 White Oak Ave Unit G101, Encino, CA 91316</t>
  </si>
  <si>
    <t>https://www.realtor.com/realestateandhomes-detail/5460-White-Oak-Ave-Unit-G101_Encino_CA_91316_M20450-05390</t>
  </si>
  <si>
    <t>Jeff Russell</t>
  </si>
  <si>
    <t>RRG@RussellRealtyGrp.com</t>
  </si>
  <si>
    <t>7022 Solara Way, Westminster, CA 92683</t>
  </si>
  <si>
    <t>https://www.realtor.com/realestateandhomes-detail/7022-Solara-Way_Westminster_CA_92683_M92527-67235</t>
  </si>
  <si>
    <t>David Barisic</t>
  </si>
  <si>
    <t>dave@seabrightmanagement.com</t>
  </si>
  <si>
    <t>Seabright Management</t>
  </si>
  <si>
    <t>947 W 81st St, Los Angeles, CA 90044</t>
  </si>
  <si>
    <t>https://www.realtor.com/realestateandhomes-detail/947-W-81st-St_Los-Angeles_CA_90044_M14488-75926</t>
  </si>
  <si>
    <t>Truc Doan</t>
  </si>
  <si>
    <t>doanestate@gmail.com</t>
  </si>
  <si>
    <t>Vui Group</t>
  </si>
  <si>
    <t>351 S State St, Los Angeles, CA 90033</t>
  </si>
  <si>
    <t>https://www.realtor.com/realestateandhomes-detail/351-S-State-St_Los-Angeles_CA_90033_M10340-36529</t>
  </si>
  <si>
    <t>Steven W. Gray</t>
  </si>
  <si>
    <t>steven@grayrosemgmt.com</t>
  </si>
  <si>
    <t>eXp Realty of Greater Los Ange</t>
  </si>
  <si>
    <t>13424 Contour Dr, Sherman Oaks, CA 91423</t>
  </si>
  <si>
    <t>https://www.realtor.com/realestateandhomes-detail/13424-Contour-Dr_Sherman-Oaks_CA_91423_M12419-38850</t>
  </si>
  <si>
    <t>Jackie Soto</t>
  </si>
  <si>
    <t>jackiesotobroker@gmail.com</t>
  </si>
  <si>
    <t>eHomes Inc.</t>
  </si>
  <si>
    <t>118 Astronaut E S Onizuka St Apt 804, Los Angeles, CA 90012</t>
  </si>
  <si>
    <t>https://www.realtor.com/realestateandhomes-detail/118-Astronaut-E-S-Onizuka-St-Apt-804_Los-Angeles_CA_90012_M90349-16136</t>
  </si>
  <si>
    <t>Johanna Gunther</t>
  </si>
  <si>
    <t>johannagunther@yahoo.com</t>
  </si>
  <si>
    <t>2nd Avenue Sales &amp; Marketing,</t>
  </si>
  <si>
    <t>121 25th St, Newport Beach, CA 92663</t>
  </si>
  <si>
    <t>https://www.realtor.com/realestateandhomes-detail/121-25th-St_Newport-Beach_CA_92663_M16270-85332</t>
  </si>
  <si>
    <t>Lucas Kinney</t>
  </si>
  <si>
    <t>lucas@balboaislandestates.com</t>
  </si>
  <si>
    <t>Balboa Island Estates</t>
  </si>
  <si>
    <t>2234 Avalon St, Costa Mesa, CA 92627</t>
  </si>
  <si>
    <t>https://www.realtor.com/realestateandhomes-detail/2234-Avalon-St_Costa-Mesa_CA_92627_M25164-23751</t>
  </si>
  <si>
    <t>Jay and John Kelly</t>
  </si>
  <si>
    <t>johnkelly@costamesaliving.com</t>
  </si>
  <si>
    <t>1017 W Bishop St Apt A, Santa Ana, CA 92703</t>
  </si>
  <si>
    <t>https://www.realtor.com/realestateandhomes-detail/1017-W-Bishop-St-Apt-A_Santa-Ana_CA_92703_M12234-23821</t>
  </si>
  <si>
    <t>Sumer Celaya</t>
  </si>
  <si>
    <t>sumercelaya@gmail.com</t>
  </si>
  <si>
    <t>REMAX COASTAL HOMES</t>
  </si>
  <si>
    <t>64 Toulon Ave, Lake Forest, CA 92610</t>
  </si>
  <si>
    <t>https://www.realtor.com/realestateandhomes-detail/64-Toulon-Ave_Foothill-Ranch_CA_92610_M14583-83633</t>
  </si>
  <si>
    <t>Tim Morissette</t>
  </si>
  <si>
    <t>tim.morissette@camoves.com</t>
  </si>
  <si>
    <t>221 S Valencia St, La Habra, CA 90631</t>
  </si>
  <si>
    <t>https://www.realtor.com/realestateandhomes-detail/221-S-Valencia-St-Apt-4_La-Habra_CA_90631_M18237-96741</t>
  </si>
  <si>
    <t>Daniel Blackwell</t>
  </si>
  <si>
    <t>dan.blackwell@cbre.com</t>
  </si>
  <si>
    <t>3 Wintergreen, Irvine, CA 92604</t>
  </si>
  <si>
    <t>https://www.realtor.com/realestateandhomes-detail/3-Wintergreen_Irvine_CA_92604_M96280-71989</t>
  </si>
  <si>
    <t>Chris Kwon</t>
  </si>
  <si>
    <t>chris@kwonhomegroup.com</t>
  </si>
  <si>
    <t>2258 Channel Rd, Newport Beach, CA 92661</t>
  </si>
  <si>
    <t>https://www.realtor.com/realestateandhomes-detail/2258-Channel-Rd_Newport-Beach_CA_92661_M17130-57861</t>
  </si>
  <si>
    <t>Tara Shapiro</t>
  </si>
  <si>
    <t>tshapiro@homgroup.com</t>
  </si>
  <si>
    <t>453 Seaward Rd, Corona Del Mar, CA 92625</t>
  </si>
  <si>
    <t>https://www.realtor.com/realestateandhomes-detail/453-Seaward-Rd_Corona-Del-Mar_CA_92625_M22071-61643</t>
  </si>
  <si>
    <t>Janelle File</t>
  </si>
  <si>
    <t>jfile@surterreproperties.com</t>
  </si>
  <si>
    <t>412 Arenoso Ln Unit 105, San Clemente, CA 92672</t>
  </si>
  <si>
    <t>https://www.realtor.com/realestateandhomes-detail/412-Arenoso-Ln-Unit-105_San-Clemente_CA_92672_M27938-07336</t>
  </si>
  <si>
    <t>Michael Ahumada</t>
  </si>
  <si>
    <t>mahumada@remax.net</t>
  </si>
  <si>
    <t>120 Via Trieste, Newport Beach, CA 92663</t>
  </si>
  <si>
    <t>https://www.realtor.com/realestateandhomes-detail/120-Via-Trieste_Newport-Beach_CA_92663_M27173-61713</t>
  </si>
  <si>
    <t>Jonathan Flagg</t>
  </si>
  <si>
    <t>jon@flaggrealestate.com</t>
  </si>
  <si>
    <t>306 Treble, Irvine, CA 92618</t>
  </si>
  <si>
    <t>https://www.realtor.com/realestateandhomes-detail/306-Treble_Irvine_CA_92618_M98155-67127</t>
  </si>
  <si>
    <t>Frank Wu</t>
  </si>
  <si>
    <t>frank66113333@gmail.com</t>
  </si>
  <si>
    <t>25101 Anvil Cir, Laguna Hills, CA 92653</t>
  </si>
  <si>
    <t>https://www.realtor.com/realestateandhomes-detail/25101-Anvil-Cir_Laguna-Hills_CA_92653_M19055-77266</t>
  </si>
  <si>
    <t>Cotter Tillemans</t>
  </si>
  <si>
    <t>cotter@cottertillemans.com</t>
  </si>
  <si>
    <t>1603 S Coast Hwy Unit F, Laguna Beach, CA 92651</t>
  </si>
  <si>
    <t>https://www.realtor.com/realestateandhomes-detail/1601-S-Coast-Hwy-F1_Laguna-Beach_CA_92651_M22020-62659</t>
  </si>
  <si>
    <t>Andrea Ballesteros</t>
  </si>
  <si>
    <t>andrea@ballesterosgroup.com</t>
  </si>
  <si>
    <t>27281 Calle De La Rosa, San Juan Capistrano, CA 92675</t>
  </si>
  <si>
    <t>https://www.realtor.com/realestateandhomes-detail/27281-Calle-De-La-Rosa_San-Juan-Capistrano_CA_92675_M23515-70288</t>
  </si>
  <si>
    <t>Audra Lambert -  Lambert Group Homes</t>
  </si>
  <si>
    <t>audra@lambertgrouphomes.com</t>
  </si>
  <si>
    <t>Realty ONE Group West</t>
  </si>
  <si>
    <t>22 28th Ave, Venice, CA 90291</t>
  </si>
  <si>
    <t>https://www.realtor.com/realestateandhomes-detail/22-28th-Ave_Venice_CA_90291_M28169-23441</t>
  </si>
  <si>
    <t>Elliot Hassan</t>
  </si>
  <si>
    <t>ehassan@northmarq.com</t>
  </si>
  <si>
    <t>NorthMarq Realty Services, Inc.</t>
  </si>
  <si>
    <t>1 Promesa Ave, Rancho Mission Viejo, CA 92694</t>
  </si>
  <si>
    <t>https://www.realtor.com/realestateandhomes-detail/1-Promesa-Ave_Rancho-Mission-Viejo_CA_92694_M96691-05599</t>
  </si>
  <si>
    <t>Jordan Bennett</t>
  </si>
  <si>
    <t>jordan@jordanbennettonline.com</t>
  </si>
  <si>
    <t>Regency Real Estate Brokers</t>
  </si>
  <si>
    <t>33611 Dana Vista Dr Unit 31, Dana Point, CA 92629</t>
  </si>
  <si>
    <t>https://www.realtor.com/realestateandhomes-detail/33611-Dana-Vista-Dr-Unit-B_Dana-Point_CA_92629_M24260-50323</t>
  </si>
  <si>
    <t>Gaetano Lo Grande</t>
  </si>
  <si>
    <t>Gaetano@bullockrussell.com</t>
  </si>
  <si>
    <t>Bullock Russell RE Services</t>
  </si>
  <si>
    <t>120 Parkland Aly, Lake Forest, CA 92630</t>
  </si>
  <si>
    <t>https://www.realtor.com/realestateandhomes-detail/120-Parkland-Aly_Lake-Forest_CA_92630_M95399-90708</t>
  </si>
  <si>
    <t>Yiming Yu</t>
  </si>
  <si>
    <t>cocoyunewhouse@gmail.com</t>
  </si>
  <si>
    <t>7117 Kester Ave, Van Nuys, CA 91405</t>
  </si>
  <si>
    <t>https://www.realtor.com/realestateandhomes-detail/7117-Kester-Ave_Van-Nuys_CA_91405_M96275-81432</t>
  </si>
  <si>
    <t>Francis Evanisko</t>
  </si>
  <si>
    <t>frank@evaniskorealty.com</t>
  </si>
  <si>
    <t>Evanisko Realty &amp; Investment</t>
  </si>
  <si>
    <t>1508 W Florence Ave, Los Angeles, CA 90047</t>
  </si>
  <si>
    <t>https://www.realtor.com/realestateandhomes-detail/1508-W-Florence-Ave_Los-Angeles_CA_90047_M14918-03693</t>
  </si>
  <si>
    <t>Sam Grayeli</t>
  </si>
  <si>
    <t>sgrayeli@brcadvisors.com</t>
  </si>
  <si>
    <t>BRC Advisors- BH</t>
  </si>
  <si>
    <t>1972 N Marianna Ave, Los Angeles, CA 90032</t>
  </si>
  <si>
    <t>https://www.realtor.com/realestateandhomes-detail/1972-N-Marianna-Ave_Los-Angeles_CA_90032_M18230-68330</t>
  </si>
  <si>
    <t>Carolina Hernandez</t>
  </si>
  <si>
    <t>propertiesbycarolina@gmail.com</t>
  </si>
  <si>
    <t>800 W 1st St Apt 1210, Los Angeles, CA 90012</t>
  </si>
  <si>
    <t>https://www.realtor.com/realestateandhomes-detail/800-W-1st-St-Apt-1210_Los-Angeles_CA_90012_M28721-15983</t>
  </si>
  <si>
    <t>RUSSELL CHAN</t>
  </si>
  <si>
    <t>wilshiremetro@gmail.com</t>
  </si>
  <si>
    <t>Wilshire Metro Realty, Inc.</t>
  </si>
  <si>
    <t>16864 Calle Bellevista, Pacific Palisades, CA 90272</t>
  </si>
  <si>
    <t>https://www.realtor.com/realestateandhomes-detail/16864-Calle-Bellevista_Pacific-Palisades_CA_90272_M12360-03416</t>
  </si>
  <si>
    <t>Anna Solomon</t>
  </si>
  <si>
    <t>anna@theagencyre.com</t>
  </si>
  <si>
    <t>Brentwood</t>
  </si>
  <si>
    <t>10727 Wilshire Blvd Apt 1802, Los Angeles, CA 90024</t>
  </si>
  <si>
    <t>https://www.realtor.com/realestateandhomes-detail/10727-Wilshire-Blvd-Apt-1802_Los-Angeles_CA_90024_M28748-95918</t>
  </si>
  <si>
    <t>Amir Ensani</t>
  </si>
  <si>
    <t>amirensani1@gmail.com</t>
  </si>
  <si>
    <t>7030 DE Longpre Ave, Los Angeles, CA 90028</t>
  </si>
  <si>
    <t>https://www.realtor.com/realestateandhomes-detail/7030-DE-Longpre-Ave_Los-Angeles_CA_90028_M27039-26561</t>
  </si>
  <si>
    <t>Victoria Cruz</t>
  </si>
  <si>
    <t>victoria@victoriacruzhomes.com</t>
  </si>
  <si>
    <t>David Solomon</t>
  </si>
  <si>
    <t>David@SPG83.com</t>
  </si>
  <si>
    <t>2615 Beach Ave, Venice, CA 90291</t>
  </si>
  <si>
    <t>https://www.realtor.com/realestateandhomes-detail/2615-Beach-Ave_Venice_CA_90291_M14295-22307</t>
  </si>
  <si>
    <t>Gavin Fleminger</t>
  </si>
  <si>
    <t>gavpam@sbcglobal.net</t>
  </si>
  <si>
    <t>Nourmand &amp; Associates - Brentwood</t>
  </si>
  <si>
    <t>4408 W 59th St, Los Angeles, CA 90043</t>
  </si>
  <si>
    <t>https://www.realtor.com/realestateandhomes-detail/4408-W-59th-St_Los-Angeles_CA_90043_M25526-88771</t>
  </si>
  <si>
    <t>Yonnine Hawkins Garr</t>
  </si>
  <si>
    <t>yonnine@chaseskyerealty.com</t>
  </si>
  <si>
    <t>Chase Skye Realty Group</t>
  </si>
  <si>
    <t>2177 Fern Dell Pl, Los Angeles, CA 90068</t>
  </si>
  <si>
    <t>https://www.realtor.com/realestateandhomes-detail/2177-Fern-Dell-Pl_Los-Angeles_CA_90068_M14177-18449</t>
  </si>
  <si>
    <t>Bryce Pennel</t>
  </si>
  <si>
    <t>Bryce.Pennel@camoves.com</t>
  </si>
  <si>
    <t>800 El Oro Ln, Pacific Palisades, CA 90272</t>
  </si>
  <si>
    <t>https://www.realtor.com/realestateandhomes-detail/800-El-Oro-Ln_Pacific-Palisades_CA_90272_M10171-03270</t>
  </si>
  <si>
    <t>Dave Caskey</t>
  </si>
  <si>
    <t>dave@caskeyandcaskey.com</t>
  </si>
  <si>
    <t>Exp Realty Of California Inc</t>
  </si>
  <si>
    <t>16881 Oak View Dr, Encino, CA 91436</t>
  </si>
  <si>
    <t>https://www.realtor.com/realestateandhomes-detail/16881-Oak-View-Dr_Encino_CA_91436_M10841-66222</t>
  </si>
  <si>
    <t>John Bercsi</t>
  </si>
  <si>
    <t>jcbbhp@sbcglobal.net</t>
  </si>
  <si>
    <t>2011 S Shenandoah St, Los Angeles, CA 90034</t>
  </si>
  <si>
    <t>https://www.realtor.com/realestateandhomes-detail/2011-S-Shenandoah-St_Los-Angeles_CA_90034_M11800-40028</t>
  </si>
  <si>
    <t>John Stiegler Ii</t>
  </si>
  <si>
    <t>johnnie@lyonstahl.com</t>
  </si>
  <si>
    <t>726 Hartford Ave, Los Angeles, CA 90017</t>
  </si>
  <si>
    <t>https://www.realtor.com/realestateandhomes-detail/726-Hartford-Ave_Los-Angeles_CA_90017_M29143-75562</t>
  </si>
  <si>
    <t>Oron Maher</t>
  </si>
  <si>
    <t>oron@mahercr.com</t>
  </si>
  <si>
    <t>Maher Commercial Realty</t>
  </si>
  <si>
    <t>1617 N Fuller Ave, Los Angeles, CA 90046</t>
  </si>
  <si>
    <t>https://www.realtor.com/realestateandhomes-detail/1617-N-Fuller-Ave_Los-Angeles_CA_90046_M11902-03662</t>
  </si>
  <si>
    <t>Alex Galuz</t>
  </si>
  <si>
    <t>alex@crescentrealtyla.com</t>
  </si>
  <si>
    <t>Keller Williams Realty Calabasas</t>
  </si>
  <si>
    <t>939 N Beverly Glen Blvd, Los Angeles, CA 90077</t>
  </si>
  <si>
    <t>https://www.realtor.com/realestateandhomes-detail/939-N-Beverly-Glen-Blvd_Los-Angeles_CA_90077_M18782-93308</t>
  </si>
  <si>
    <t>Steven Foonberg</t>
  </si>
  <si>
    <t>steven@foonberg.com</t>
  </si>
  <si>
    <t>Westside Realty Group</t>
  </si>
  <si>
    <t>1149 Linda Flora Dr, Los Angeles, CA 90049</t>
  </si>
  <si>
    <t>https://www.realtor.com/realestateandhomes-detail/1149-Linda-Flora-Dr_Los-Angeles_CA_90049_M17980-59733</t>
  </si>
  <si>
    <t>David Yadegaran</t>
  </si>
  <si>
    <t>david.yaddi@evusa.com</t>
  </si>
  <si>
    <t>1 Senderos Cyn, Bel Air, CA 90077</t>
  </si>
  <si>
    <t>https://www.realtor.com/realestateandhomes-detail/1-Senderos-Cyn_Bel-Air_CA_90077_M91539-43579</t>
  </si>
  <si>
    <t>Scott Tamkin NEST Real Estate Group</t>
  </si>
  <si>
    <t>scott@thetamkins.com</t>
  </si>
  <si>
    <t>5112 W Jefferson Blvd, Los Angeles, CA 90016</t>
  </si>
  <si>
    <t>https://www.realtor.com/realestateandhomes-detail/5112-W-Jefferson-Blvd_Los-Angeles_CA_90016_M97548-32499</t>
  </si>
  <si>
    <t>Sam Shakerchi</t>
  </si>
  <si>
    <t>samshakerchi@gmail.com</t>
  </si>
  <si>
    <t>Ian Hollinger</t>
  </si>
  <si>
    <t>HollingerIan@gmail.com</t>
  </si>
  <si>
    <t>Chris Cortazzo</t>
  </si>
  <si>
    <t>Chris@chriscortazzo.com</t>
  </si>
  <si>
    <t>3643 Ballina Canyon Rd, Encino, CA 91436</t>
  </si>
  <si>
    <t>https://www.realtor.com/realestateandhomes-detail/3643-Ballina-Canyon-Rd_Encino_CA_91436_M11596-29756</t>
  </si>
  <si>
    <t>michael Bergin</t>
  </si>
  <si>
    <t>Berginhomes@gmail.com</t>
  </si>
  <si>
    <t>7464 Hillside Ave, Los Angeles, CA 90046</t>
  </si>
  <si>
    <t>https://www.realtor.com/realestateandhomes-detail/7464-Hillside-Ave_Los-Angeles_CA_90046_M11818-25033</t>
  </si>
  <si>
    <t>Brent Watson</t>
  </si>
  <si>
    <t>brent@watsonsalari.com</t>
  </si>
  <si>
    <t>2340 Jupiter Dr, Los Angeles, CA 90046</t>
  </si>
  <si>
    <t>https://www.realtor.com/realestateandhomes-detail/2340-Jupiter-Dr_Los-Angeles_CA_90046_M11548-44491</t>
  </si>
  <si>
    <t>Brian Courville</t>
  </si>
  <si>
    <t>brian@modernlivingla.com</t>
  </si>
  <si>
    <t>20331 Wells Dr, Woodland Hills, CA 91364</t>
  </si>
  <si>
    <t>https://www.realtor.com/realestateandhomes-detail/20331-Wells-Dr_Woodland-Hills_CA_91364_M17253-49508</t>
  </si>
  <si>
    <t>Dezireh Haghayeghi</t>
  </si>
  <si>
    <t>dezireh11@gmail.com</t>
  </si>
  <si>
    <t>2928 Westbrook Ave, Los Angeles, CA 90046</t>
  </si>
  <si>
    <t>https://www.realtor.com/realestateandhomes-detail/2928-Westbrook-Ave_Los-Angeles_CA_90046_M11602-10787</t>
  </si>
  <si>
    <t>Anne Burkin</t>
  </si>
  <si>
    <t>aburkin@theagencyre.com</t>
  </si>
  <si>
    <t>437 Puerto Del Mar, Pacific Palisades, CA 90272</t>
  </si>
  <si>
    <t>https://www.realtor.com/realestateandhomes-detail/437-Puerto-Del-Mar_Pacific-Palisades_CA_90272_M29004-98110</t>
  </si>
  <si>
    <t>Laura Klein</t>
  </si>
  <si>
    <t>Laura@KleinListings.com</t>
  </si>
  <si>
    <t>KRE + Associates</t>
  </si>
  <si>
    <t>1785 Bel Air Rd, Los Angeles, CA 90077</t>
  </si>
  <si>
    <t>https://www.realtor.com/realestateandhomes-detail/1785-Bel-Air-Rd_Los-Angeles_CA_90077_M19717-93557</t>
  </si>
  <si>
    <t>Larry Young</t>
  </si>
  <si>
    <t>larry@larryyoungassociates.com</t>
  </si>
  <si>
    <t>3667 Mentone Ave, Los Angeles, CA 90034</t>
  </si>
  <si>
    <t>https://www.realtor.com/realestateandhomes-detail/3667-Mentone-Ave-Apt-3_Los-Angeles_CA_90034_M20571-06672</t>
  </si>
  <si>
    <t>John Swartz</t>
  </si>
  <si>
    <t>john.swartz@transwestern.com</t>
  </si>
  <si>
    <t>5667 Aladdin St, Los Angeles, CA 90008</t>
  </si>
  <si>
    <t>https://www.realtor.com/realestateandhomes-detail/5667-Aladdin-St_Los-Angeles_CA_90008_M25978-50018</t>
  </si>
  <si>
    <t>Lorin Ruttenberg</t>
  </si>
  <si>
    <t>lorin@aotchomes.com</t>
  </si>
  <si>
    <t>2204 W Slauson Ave, Los Angeles, CA 90043</t>
  </si>
  <si>
    <t>https://www.realtor.com/realestateandhomes-detail/2204-W-Slauson-Ave_Los-Angeles_CA_90043_M20169-53582</t>
  </si>
  <si>
    <t>Brett Lyon</t>
  </si>
  <si>
    <t>brett@lyonstahl.com</t>
  </si>
  <si>
    <t>8261 Rees St, Playa Del Rey, CA 90293</t>
  </si>
  <si>
    <t>https://www.realtor.com/realestateandhomes-detail/8261-Rees-St_Playa-Del-Rey_CA_90293_M17639-32354</t>
  </si>
  <si>
    <t>James Suarez</t>
  </si>
  <si>
    <t>James@TheSuarezTeam.com</t>
  </si>
  <si>
    <t>1301 Electric Ave, Seal Beach, CA 90740</t>
  </si>
  <si>
    <t>https://www.realtor.com/realestateandhomes-detail/1301-Electric-Ave-Apt-B_Seal-Beach_CA_90740_M26480-62984</t>
  </si>
  <si>
    <t>Shana Klisanin</t>
  </si>
  <si>
    <t>shanaleeklisanin@yahoo.com</t>
  </si>
  <si>
    <t>Baytown Realty</t>
  </si>
  <si>
    <t>143 N Reno St, Los Angeles, CA 90026</t>
  </si>
  <si>
    <t>https://www.realtor.com/realestateandhomes-detail/143-N-Reno-St_Los-Angeles_CA_90026_M29600-63607</t>
  </si>
  <si>
    <t>Steven Bogoyevac</t>
  </si>
  <si>
    <t>steve.bogoyevac@marcusmillichap.com</t>
  </si>
  <si>
    <t>Steven M. Bogoyevac, Broker</t>
  </si>
  <si>
    <t>Tyler Dibernardo</t>
  </si>
  <si>
    <t>dibernardo.tyler@gmail.com</t>
  </si>
  <si>
    <t>DIBERNARDO REALTY</t>
  </si>
  <si>
    <t>3215 N Betty Dr, Los Angeles, CA 90032</t>
  </si>
  <si>
    <t>https://www.realtor.com/realestateandhomes-detail/3215-Betty-Dr_Los-Angeles_CA_90032_M98066-17369</t>
  </si>
  <si>
    <t>Paul Luna</t>
  </si>
  <si>
    <t>PLuna@LunaRealtyInc.com</t>
  </si>
  <si>
    <t>Luna Realty</t>
  </si>
  <si>
    <t>10433 Wilshire Blvd Apt 808, Los Angeles, CA 90024</t>
  </si>
  <si>
    <t>https://www.realtor.com/realestateandhomes-detail/10433-Wilshire-Blvd-Apt-808_Los-Angeles_CA_90024_M14202-20342</t>
  </si>
  <si>
    <t>Christiano Sampaio</t>
  </si>
  <si>
    <t>chris@loftway.com</t>
  </si>
  <si>
    <t>Loftway</t>
  </si>
  <si>
    <t>4115 Glencoe Ave Apt 107, Marina del Rey, CA 90292</t>
  </si>
  <si>
    <t>https://www.realtor.com/realestateandhomes-detail/4115-Glencoe-Ave-Apt-107_Marina-Del-Rey_CA_90292_M15889-18036</t>
  </si>
  <si>
    <t>Meredith Gruszka</t>
  </si>
  <si>
    <t>meredith@plgestates.com</t>
  </si>
  <si>
    <t>3305 Hillock Dr, Los Angeles, CA 90068</t>
  </si>
  <si>
    <t>https://www.realtor.com/realestateandhomes-detail/3305-Hillock-Dr_Los-Angeles_CA_90068_M12743-56368</t>
  </si>
  <si>
    <t>Kenya Reeves-Costa</t>
  </si>
  <si>
    <t>info@thelahomegirl.com</t>
  </si>
  <si>
    <t>7060 Morse Ave, North Hollywood, CA 91605</t>
  </si>
  <si>
    <t>https://www.realtor.com/realestateandhomes-detail/7060-Morse-Ave_North-Hollywood_CA_91605_M19175-81761</t>
  </si>
  <si>
    <t>David Zakaryan</t>
  </si>
  <si>
    <t>davidz4re@gmail.com</t>
  </si>
  <si>
    <t>2206 Micheltorena St, Los Angeles, CA 90039</t>
  </si>
  <si>
    <t>https://www.realtor.com/realestateandhomes-detail/2206-Micheltorena-St_Los-Angeles_CA_90039_M23795-24055</t>
  </si>
  <si>
    <t>Laura Marchetti</t>
  </si>
  <si>
    <t>laura.marchetti@sothebyshomes.com</t>
  </si>
  <si>
    <t>1633 HI Point St, Los Angeles, CA 90035</t>
  </si>
  <si>
    <t>https://www.realtor.com/realestateandhomes-detail/1633-HI-Point-St_Los-Angeles_CA_90035_M16427-49806</t>
  </si>
  <si>
    <t>Laura Anderson</t>
  </si>
  <si>
    <t>laura@lauraandersonrealtor.com</t>
  </si>
  <si>
    <t>2160 Winona Blvd, Los Angeles, CA 90027</t>
  </si>
  <si>
    <t>https://www.realtor.com/realestateandhomes-detail/2160-Winona-Blvd_Los-Angeles_CA_90027_M13937-93714</t>
  </si>
  <si>
    <t>Thomas Inatomi</t>
  </si>
  <si>
    <t>thomasinatomi@bhhscal.com</t>
  </si>
  <si>
    <t>224 Linnie Canal, Venice, CA 90291</t>
  </si>
  <si>
    <t>https://www.realtor.com/realestateandhomes-detail/224-Linnie-Canal_Venice_CA_90291_M28254-94608</t>
  </si>
  <si>
    <t>Steven Senigram</t>
  </si>
  <si>
    <t>ssenigram@aol.com</t>
  </si>
  <si>
    <t>14206 Calvert St, Van Nuys, CA 91401</t>
  </si>
  <si>
    <t>https://www.realtor.com/realestateandhomes-detail/14206-Calvert-St_Van-Nuys_CA_91401_M21100-03583</t>
  </si>
  <si>
    <t>Kelly Morgan</t>
  </si>
  <si>
    <t>kelly@kellymorgancommercial.com</t>
  </si>
  <si>
    <t>Houze Real Estate Management</t>
  </si>
  <si>
    <t>20211 W Liverpool Way, Porter Ranch, CA 91326</t>
  </si>
  <si>
    <t>https://www.realtor.com/realestateandhomes-detail/20211-Liverpool-Way_Porter-Ranch_CA_91326_M97629-77123</t>
  </si>
  <si>
    <t>Ra-Son Theus</t>
  </si>
  <si>
    <t>rasontheus@gmail.com</t>
  </si>
  <si>
    <t>Hoffman Theus</t>
  </si>
  <si>
    <t>7933 Alverstone Ave, Los Angeles, CA 90045</t>
  </si>
  <si>
    <t>https://www.realtor.com/realestateandhomes-detail/7933-Alverstone-Ave_Los-Angeles_CA_90045_M13748-38648</t>
  </si>
  <si>
    <t>Steffan Braunlich</t>
  </si>
  <si>
    <t>steffan.braunlich@berkadia.com</t>
  </si>
  <si>
    <t>Berkadia</t>
  </si>
  <si>
    <t>1153 S Ardmore Ave, Los Angeles, CA 90006</t>
  </si>
  <si>
    <t>https://www.realtor.com/realestateandhomes-detail/1153-S-Ardmore-Ave_Los-Angeles_CA_90006_M94840-84133</t>
  </si>
  <si>
    <t>Daniel Lalezari</t>
  </si>
  <si>
    <t>dlalezari@gmail.com</t>
  </si>
  <si>
    <t>Keller Williams Realty Hollywood Hills</t>
  </si>
  <si>
    <t>304 E Whittier Blvd, La Habra, CA 90631</t>
  </si>
  <si>
    <t>https://www.realtor.com/realestateandhomes-detail/304-E-Whittier-Blvd_La-Habra_CA_90631_M92644-56392</t>
  </si>
  <si>
    <t>Stephen Mcadaragh</t>
  </si>
  <si>
    <t>smcadaragh@cityventures.com</t>
  </si>
  <si>
    <t>City Ventures Construction, Inc.</t>
  </si>
  <si>
    <t>Suzanne Fekjar</t>
  </si>
  <si>
    <t>suefekjar@aol.com</t>
  </si>
  <si>
    <t>3122 Ruth Elaine Dr, Rossmoor, CA 90720</t>
  </si>
  <si>
    <t>https://www.realtor.com/realestateandhomes-detail/3122-Ruth-Elaine-Dr_Rossmoor_CA_90720_M12865-00511</t>
  </si>
  <si>
    <t>Philip DeMatteo</t>
  </si>
  <si>
    <t>philipdematteo@firstteam.com</t>
  </si>
  <si>
    <t>3631 Sunswept Dr, Studio City, CA 91604</t>
  </si>
  <si>
    <t>https://www.realtor.com/realestateandhomes-detail/3631-Sunswept-Dr_Studio-City_CA_91604_M12572-92419</t>
  </si>
  <si>
    <t>Kristofer Everett-einarsson</t>
  </si>
  <si>
    <t>kris.everett@theagencyre.com</t>
  </si>
  <si>
    <t>19350 S Ward St Unit 3, Huntington Beach, CA 92646</t>
  </si>
  <si>
    <t>https://www.realtor.com/realestateandhomes-detail/19350-Ward-St-Spc-3_Huntington-Beach_CA_92646_M94552-18089</t>
  </si>
  <si>
    <t>Tina Reese</t>
  </si>
  <si>
    <t>xtinereese@gmail.com</t>
  </si>
  <si>
    <t>414 Main St Unit 420, Huntington Beach, CA 92648</t>
  </si>
  <si>
    <t>https://www.realtor.com/realestateandhomes-detail/414-Main-St-Unit-420_Huntington-Beach_CA_92648_M94005-83530</t>
  </si>
  <si>
    <t>James Ransom</t>
  </si>
  <si>
    <t>james@stanfieldrealestate.com</t>
  </si>
  <si>
    <t>6250 Hollywood Blvd Unit 12F, Los Angeles, CA 90028</t>
  </si>
  <si>
    <t>https://www.realtor.com/realestateandhomes-detail/6250-Hollywood-Blvd-Unit-12F_Los-Angeles_CA_90028_M12981-67654</t>
  </si>
  <si>
    <t>Yong Su Koh</t>
  </si>
  <si>
    <t>kohyongsu@gmail.com</t>
  </si>
  <si>
    <t>Urban Real Estate, Inc.</t>
  </si>
  <si>
    <t>Marcial Vidal</t>
  </si>
  <si>
    <t>marcialvidal@vidalgroupoc.com</t>
  </si>
  <si>
    <t>Re/Max Select One</t>
  </si>
  <si>
    <t>67 Canopy, Irvine, CA 92603</t>
  </si>
  <si>
    <t>https://www.realtor.com/realestateandhomes-detail/67-Canopy_Irvine_CA_92603_M17809-42804</t>
  </si>
  <si>
    <t>Jin Hong</t>
  </si>
  <si>
    <t>jin@jhtrealty.com</t>
  </si>
  <si>
    <t>Jin Hong, Broker</t>
  </si>
  <si>
    <t>639 Channel Way, Costa Mesa, CA 92627</t>
  </si>
  <si>
    <t>https://www.realtor.com/realestateandhomes-detail/639-Channel-Way_Costa-Mesa_CA_92627_M21416-25705</t>
  </si>
  <si>
    <t>Ryan Knapp</t>
  </si>
  <si>
    <t>ryan@torellirealty.com</t>
  </si>
  <si>
    <t>Torelli Realty</t>
  </si>
  <si>
    <t>11755 Collar Ave, Tustin, CA 92782</t>
  </si>
  <si>
    <t>https://www.realtor.com/realestateandhomes-detail/11755-Collar-Ave_Tustin_CA_92782_M28787-11871</t>
  </si>
  <si>
    <t>Nancy Aynehchi</t>
  </si>
  <si>
    <t>nancyaynehchi@firstteam.com</t>
  </si>
  <si>
    <t>1585 S Coast Hwy Apt 65, Laguna Beach, CA 92651</t>
  </si>
  <si>
    <t>https://www.realtor.com/realestateandhomes-detail/1585-S-Coast-Hwy-Apt-65_Laguna-Beach_CA_92651_M16746-19952</t>
  </si>
  <si>
    <t>Jace Horton</t>
  </si>
  <si>
    <t>jhorton@surterreproperties.com</t>
  </si>
  <si>
    <t>Engel &amp; Volkers Laguna Beach</t>
  </si>
  <si>
    <t>1345 Cabrillo Park Dr, Santa Ana, CA 92701</t>
  </si>
  <si>
    <t>https://www.realtor.com/realestateandhomes-detail/1345-Cabrillo-Park-Dr_Santa-Ana_CA_92701_M90962-93814</t>
  </si>
  <si>
    <t>Eric Reichert</t>
  </si>
  <si>
    <t>eric@ocproperties.net</t>
  </si>
  <si>
    <t>Ocproperties</t>
  </si>
  <si>
    <t>539 Tustin Ave, Newport Beach, CA 92663</t>
  </si>
  <si>
    <t>https://www.realtor.com/realestateandhomes-detail/539-Tustin-Ave_Newport-Beach_CA_92663_M16732-95100</t>
  </si>
  <si>
    <t>Jill Lockhart</t>
  </si>
  <si>
    <t>jill@taubproperties.com</t>
  </si>
  <si>
    <t>32822 Brookseed Dr, Trabuco Canyon, CA 92679</t>
  </si>
  <si>
    <t>https://www.realtor.com/realestateandhomes-detail/32822-Brookseed-Dr_Trabuco-Canyon_CA_92679_M28592-24932</t>
  </si>
  <si>
    <t>Nancy Andreason</t>
  </si>
  <si>
    <t>AndreasonGroup@gmail.com</t>
  </si>
  <si>
    <t>14273 Greenleaf St, Sherman Oaks, CA 91423</t>
  </si>
  <si>
    <t>https://www.realtor.com/realestateandhomes-detail/14273-Greenleaf-St_Sherman-Oaks_CA_91423_M24362-60520</t>
  </si>
  <si>
    <t>Lauren Duffy</t>
  </si>
  <si>
    <t>Lauren.Duffy@elliman.com</t>
  </si>
  <si>
    <t>3700 S Bentley Ave, Los Angeles, CA 90034</t>
  </si>
  <si>
    <t>https://www.realtor.com/realestateandhomes-detail/3700-S-Bentley-Ave_Los-Angeles_CA_90034_M22440-44012</t>
  </si>
  <si>
    <t>Fred Sed</t>
  </si>
  <si>
    <t>info@fredsedgroup.com</t>
  </si>
  <si>
    <t>4447 Calhoun Ave, Sherman Oaks, CA 91423</t>
  </si>
  <si>
    <t>https://www.realtor.com/realestateandhomes-detail/4447-Calhoun-Ave_Sherman-Oaks_CA_91423_M24149-81668</t>
  </si>
  <si>
    <t>Rose Fahey</t>
  </si>
  <si>
    <t>rosefahey1@gmail.com</t>
  </si>
  <si>
    <t>3173 Weldon Ave, Los Angeles, CA 90065</t>
  </si>
  <si>
    <t>https://www.realtor.com/realestateandhomes-detail/3173-Weldon-Ave_Los-Angeles_CA_90065_M10939-63313</t>
  </si>
  <si>
    <t>Tereza Toramanyan</t>
  </si>
  <si>
    <t>tereza@soldbytereza.com</t>
  </si>
  <si>
    <t>1224 S Wilton Pl, Los Angeles, CA 90019</t>
  </si>
  <si>
    <t>https://www.realtor.com/realestateandhomes-detail/1224-S-Wilton-Pl_Los-Angeles_CA_90019_M19646-53018</t>
  </si>
  <si>
    <t>Grace Fogg Miranda</t>
  </si>
  <si>
    <t>gracemiranda@kw.com</t>
  </si>
  <si>
    <t>Keller Williams Realty World Media Center</t>
  </si>
  <si>
    <t>16738 Edgar St, Pacific Palisades, CA 90272</t>
  </si>
  <si>
    <t>https://www.realtor.com/realestateandhomes-detail/16738-Edgar-St_Pacific-Palisades_CA_90272_M29116-03361</t>
  </si>
  <si>
    <t>Aaron Shrier</t>
  </si>
  <si>
    <t>aaron@aaronshrier.com</t>
  </si>
  <si>
    <t>10212 Briarwood Dr, Los Angeles, CA 90077</t>
  </si>
  <si>
    <t>https://www.realtor.com/realestateandhomes-detail/10212-Briarwood-Dr_Los-Angeles_CA_90077_M17756-99157</t>
  </si>
  <si>
    <t>Barry Dantagnan</t>
  </si>
  <si>
    <t>barrydantagnan@gmail.com</t>
  </si>
  <si>
    <t>6815 Remmet Ave Unit 311, Canoga Park, CA 91303</t>
  </si>
  <si>
    <t>https://www.realtor.com/realestateandhomes-detail/6815-Remmet-Ave-Unit-311_Canoga-Park_CA_91303_M28075-26584</t>
  </si>
  <si>
    <t>Hooman Zahedi</t>
  </si>
  <si>
    <t>HOOMANZ@aol.com</t>
  </si>
  <si>
    <t>1515 Blake Ave, Los Angeles, CA 90031</t>
  </si>
  <si>
    <t>https://www.realtor.com/realestateandhomes-detail/1515-Blake-Ave_Los-Angeles_CA_90031_M29252-60366</t>
  </si>
  <si>
    <t>Lori Levine Harris</t>
  </si>
  <si>
    <t>lori@brockandlori.com</t>
  </si>
  <si>
    <t>Christine Williams</t>
  </si>
  <si>
    <t>acwilliams@aol.com</t>
  </si>
  <si>
    <t>RE/MAX One</t>
  </si>
  <si>
    <t>Edgar Koenig</t>
  </si>
  <si>
    <t>ed@edkoenig.com</t>
  </si>
  <si>
    <t>Ed Koenig IRE</t>
  </si>
  <si>
    <t>21500 Lassen St Spc 45, Chatsworth, CA 91311</t>
  </si>
  <si>
    <t>https://www.realtor.com/realestateandhomes-detail/21500-Lassen-St-Spc-45_Chatsworth_CA_91311_M94152-97531</t>
  </si>
  <si>
    <t>William Schebeck</t>
  </si>
  <si>
    <t>bill_goldstarca@yahoo.com</t>
  </si>
  <si>
    <t>Gold Star Realty</t>
  </si>
  <si>
    <t>5500 Blanco Ave, Woodland Hills, CA 91367</t>
  </si>
  <si>
    <t>https://www.realtor.com/realestateandhomes-detail/5500-Blanco-Ave_Woodland-Hills_CA_91367_M19894-38721</t>
  </si>
  <si>
    <t>Rosalyne Cohen</t>
  </si>
  <si>
    <t>Rosalynehomes@gmail.com</t>
  </si>
  <si>
    <t>Beverly and Company, Inc.</t>
  </si>
  <si>
    <t>1421 Greenfield Ave, Los Angeles, CA 90025</t>
  </si>
  <si>
    <t>https://www.realtor.com/realestateandhomes-detail/1421-Greenfield-Ave_Los-Angeles_CA_90025_M93179-19781</t>
  </si>
  <si>
    <t>Dillon Perera</t>
  </si>
  <si>
    <t>dillon.perera@meldia.co.jp</t>
  </si>
  <si>
    <t>Meldia Investment Realty of America</t>
  </si>
  <si>
    <t>12601 Van Nuys Blvd Unit 111, Pacoima, CA 91331</t>
  </si>
  <si>
    <t>https://www.realtor.com/realestateandhomes-detail/12601-Van-Nuys-Blvd-Unit-111_Pacoima_CA_91331_M22966-28183</t>
  </si>
  <si>
    <t>RAQUEL MAGRO Real Estate Resource Team</t>
  </si>
  <si>
    <t>Raquel@raquelmagro.com</t>
  </si>
  <si>
    <t>Pinnacle Estate Properties, Inc</t>
  </si>
  <si>
    <t>9831 Sepulveda Blvd Unit 26, North Hills, CA 91343</t>
  </si>
  <si>
    <t>https://www.realtor.com/realestateandhomes-detail/9831-Sepulveda-Blvd-Unit-26_North-Hills_CA_91343_M10145-82484</t>
  </si>
  <si>
    <t>Julio Midolo</t>
  </si>
  <si>
    <t>juliomidolo@gmail.com</t>
  </si>
  <si>
    <t>Re/Max Sky</t>
  </si>
  <si>
    <t>125 Kings Pl, Newport Beach, CA 92663</t>
  </si>
  <si>
    <t>https://www.realtor.com/realestateandhomes-detail/125-Kings-Pl_Newport-Beach_CA_92663_M17663-10893</t>
  </si>
  <si>
    <t>Andrew D'Angelo</t>
  </si>
  <si>
    <t>drew@thehd.team</t>
  </si>
  <si>
    <t>317 S Flower St, Santa Ana, CA 92703</t>
  </si>
  <si>
    <t>https://www.realtor.com/realestateandhomes-detail/317-S-Flower-St_Santa-Ana_CA_92703_M14670-13587</t>
  </si>
  <si>
    <t>Ruben Khorsandi</t>
  </si>
  <si>
    <t>Ruben@AllianceIRE.com</t>
  </si>
  <si>
    <t>Alliance Investment Re Group</t>
  </si>
  <si>
    <t>1655 W 110th, Los Angeles, CA 90047</t>
  </si>
  <si>
    <t>https://www.realtor.com/realestateandhomes-detail/1655-W-110th_Los-Angeles_CA_90047_M97233-59389</t>
  </si>
  <si>
    <t>Shawn Faramarzi</t>
  </si>
  <si>
    <t>shawnfaramarzi@gmail.com</t>
  </si>
  <si>
    <t>Bullock Russell Real Estate Services</t>
  </si>
  <si>
    <t>26600 Paseo Retirada, San Juan Capistrano, CA 92675</t>
  </si>
  <si>
    <t>https://www.realtor.com/realestateandhomes-detail/26600-Paseo-Retirada_San-Juan-Capistrano_CA_92675_M26694-26916</t>
  </si>
  <si>
    <t>Robyn Robinson</t>
  </si>
  <si>
    <t>Robyn@RobynRobinson.com</t>
  </si>
  <si>
    <t>12 Encore Ct, Newport Beach, CA 92663</t>
  </si>
  <si>
    <t>https://www.realtor.com/realestateandhomes-detail/12-Encore-Ct_Newport-Beach_CA_92663_M11260-77229</t>
  </si>
  <si>
    <t>Nicolai Glazer</t>
  </si>
  <si>
    <t>nicolai@nicolaiglazer.com</t>
  </si>
  <si>
    <t>20 Highpoint, Rancho Santa Margarita, CA 92679</t>
  </si>
  <si>
    <t>https://www.realtor.com/realestateandhomes-detail/20-Highpoint_Trabuco-Canyon_CA_92679_M14203-17161</t>
  </si>
  <si>
    <t>Debra Douglass</t>
  </si>
  <si>
    <t>debra.douglass@pacificsir.com</t>
  </si>
  <si>
    <t>2123 Ronda Granada Unit G, Laguna Woods, CA 92637</t>
  </si>
  <si>
    <t>https://www.realtor.com/realestateandhomes-detail/2123-Ronda-Granada-Unit-G_Laguna-Woods_CA_92637_M17328-67843</t>
  </si>
  <si>
    <t>Dave Dyssegard</t>
  </si>
  <si>
    <t>ddyssegard@me.com</t>
  </si>
  <si>
    <t>Surterre Properties | Dana Point</t>
  </si>
  <si>
    <t>30802 Coast Hwy Unit K53, Laguna Beach, CA 92651</t>
  </si>
  <si>
    <t>https://www.realtor.com/realestateandhomes-detail/30802-Coast-Hwy-K53_Laguna-Beach_CA_92651_M92479-18368</t>
  </si>
  <si>
    <t>Patty McMillan</t>
  </si>
  <si>
    <t>pattymcmillan@bhhscal.com</t>
  </si>
  <si>
    <t>Trent Mason</t>
  </si>
  <si>
    <t>trent.mason@elliman.com</t>
  </si>
  <si>
    <t>31062 Casa Grande Dr, San Juan Capistrano, CA 92675</t>
  </si>
  <si>
    <t>https://www.realtor.com/realestateandhomes-detail/31062-Casa-Grande-Dr_San-Juan-Capistrano_CA_92675_M95438-40638</t>
  </si>
  <si>
    <t>Katie Machoskie</t>
  </si>
  <si>
    <t>katie.machoskie@compass.com</t>
  </si>
  <si>
    <t>1585 S Coast Hwy Apt 47, Laguna Beach, CA 92651</t>
  </si>
  <si>
    <t>https://www.realtor.com/realestateandhomes-detail/1585-S-Coast-Hwy-Apt-47_Laguna-Beach_CA_92651_M11641-34899</t>
  </si>
  <si>
    <t>Kevin Aaronson</t>
  </si>
  <si>
    <t>info@previewochomes.com</t>
  </si>
  <si>
    <t>19 Rosana Way, Coto de Caza, CA 92679</t>
  </si>
  <si>
    <t>https://www.realtor.com/realestateandhomes-detail/19-Rosana-Way_Coto-De-Caza_CA_92679_M22752-28299</t>
  </si>
  <si>
    <t>Alex Celani</t>
  </si>
  <si>
    <t>alex@tritechsales.net</t>
  </si>
  <si>
    <t>First Title Realty Inc</t>
  </si>
  <si>
    <t>1232 S Country Glen Way, Anaheim, CA 92808</t>
  </si>
  <si>
    <t>https://www.realtor.com/realestateandhomes-detail/1232-S-Country-Glen-Way_Anaheim_CA_92808_M13139-43988</t>
  </si>
  <si>
    <t>Teresa Gorman</t>
  </si>
  <si>
    <t>teresa@fiduciaryrealestateservices.com</t>
  </si>
  <si>
    <t>Fiduciary Real Estate Services</t>
  </si>
  <si>
    <t>Tracey Ireland</t>
  </si>
  <si>
    <t>tracey@tritechsales.net</t>
  </si>
  <si>
    <t>1100 Wilshire Blvd Apt 2707, Los Angeles, CA 90017</t>
  </si>
  <si>
    <t>https://www.realtor.com/realestateandhomes-detail/1100-Wilshire-Blvd-Apt-2707_Los-Angeles_CA_90017_M27153-40853</t>
  </si>
  <si>
    <t>Yaz Haddad</t>
  </si>
  <si>
    <t>y@directpads.com</t>
  </si>
  <si>
    <t>E Realty</t>
  </si>
  <si>
    <t>3072 Scholarship, Irvine, CA 92612</t>
  </si>
  <si>
    <t>https://www.realtor.com/realestateandhomes-detail/3072-Scholarship_Irvine_CA_92612_M16611-57102</t>
  </si>
  <si>
    <t>MIKE DUNN</t>
  </si>
  <si>
    <t>mikesold@earthlink.net</t>
  </si>
  <si>
    <t>Coldwell Banker Platinum Prop</t>
  </si>
  <si>
    <t>22 Ridge Vly, Irvine, CA 92618</t>
  </si>
  <si>
    <t>https://www.realtor.com/realestateandhomes-detail/22-Ridge-Vly_Irvine_CA_92618_M28239-82569</t>
  </si>
  <si>
    <t>Michael Mei</t>
  </si>
  <si>
    <t>michael@PreviewIrvine.com</t>
  </si>
  <si>
    <t>12 Pickney Close, Laguna Niguel, CA 92677</t>
  </si>
  <si>
    <t>https://www.realtor.com/realestateandhomes-detail/12-Pickney-Close_Laguna-Niguel_CA_92677_M91575-28158</t>
  </si>
  <si>
    <t>Sari Ward</t>
  </si>
  <si>
    <t>sari@sariandteam.com</t>
  </si>
  <si>
    <t>First Team Real Estste</t>
  </si>
  <si>
    <t>Michael Balliet</t>
  </si>
  <si>
    <t>michael@daftariangroup.com</t>
  </si>
  <si>
    <t>1124 S Citron St, Anaheim, CA 92805</t>
  </si>
  <si>
    <t>https://www.realtor.com/realestateandhomes-detail/1124-S-Citron-St_Anaheim_CA_92805_M93244-80495</t>
  </si>
  <si>
    <t>Missy Sandefur</t>
  </si>
  <si>
    <t>Missy@MissyRealEstate.com</t>
  </si>
  <si>
    <t>Jason Mitchell R. E. Calif.</t>
  </si>
  <si>
    <t>3936 Mont Clair St, Los Angeles, CA 90018</t>
  </si>
  <si>
    <t>https://www.realtor.com/realestateandhomes-detail/3936-Mont-Clair-St_Los-Angeles_CA_90018_M91817-40235</t>
  </si>
  <si>
    <t>Darrell Burns</t>
  </si>
  <si>
    <t>dburns9731@savient.me</t>
  </si>
  <si>
    <t>Savient Financial, Inc.</t>
  </si>
  <si>
    <t>4328 Wilkinson Ave, Studio City, CA 91604</t>
  </si>
  <si>
    <t>https://www.realtor.com/realestateandhomes-detail/4328-Wilkinson-Ave_Studio-City_CA_91604_M10598-20189</t>
  </si>
  <si>
    <t>Jamele Mason</t>
  </si>
  <si>
    <t>jmason@tjh.com</t>
  </si>
  <si>
    <t>134 S Pritchard Ave, Fullerton, CA 92833</t>
  </si>
  <si>
    <t>https://www.realtor.com/realestateandhomes-detail/134-S-Pritchard-Ave_Fullerton_CA_92833_M90100-96977</t>
  </si>
  <si>
    <t>Mark Bridge</t>
  </si>
  <si>
    <t>Mark.Bridge@matthews.com</t>
  </si>
  <si>
    <t>Mark Bridge, Broker</t>
  </si>
  <si>
    <t>6 Midsummer, Newport Coast, CA 92657</t>
  </si>
  <si>
    <t>https://www.realtor.com/realestateandhomes-detail/6-Midsummer_Newport-Coast_CA_92657_M14444-77442</t>
  </si>
  <si>
    <t>Rex McKown</t>
  </si>
  <si>
    <t>rmckown@surterreproperties.com</t>
  </si>
  <si>
    <t>3141 Michelson Dr Unit 1302, Irvine, CA 92612</t>
  </si>
  <si>
    <t>https://www.realtor.com/realestateandhomes-detail/3141-Michelson-Dr-Unit-1302_Irvine_CA_92612_M24625-95008</t>
  </si>
  <si>
    <t>Kamran Montazami</t>
  </si>
  <si>
    <t>kamranm@remax.net</t>
  </si>
  <si>
    <t>RE MAX Premier Realty</t>
  </si>
  <si>
    <t>76 Bianco, Irvine, CA 92618</t>
  </si>
  <si>
    <t>https://www.realtor.com/realestateandhomes-detail/76-Bianco_Irvine_CA_92618_M22174-21392</t>
  </si>
  <si>
    <t>Joshua Liang</t>
  </si>
  <si>
    <t>joshua.liang@pandarealtygroup.com</t>
  </si>
  <si>
    <t>Harvest Realty Development</t>
  </si>
  <si>
    <t>521 Kings Rd, Newport Beach, CA 92663</t>
  </si>
  <si>
    <t>https://www.realtor.com/realestateandhomes-detail/521-Kings-Rd_Newport-Beach_CA_92663_M17105-98309</t>
  </si>
  <si>
    <t>Tristan Sinkinson</t>
  </si>
  <si>
    <t>tristan@yourdraketeam.com</t>
  </si>
  <si>
    <t>111 Bowery, Irvine, CA 92612</t>
  </si>
  <si>
    <t>https://www.realtor.com/realestateandhomes-detail/111-Bowery_Irvine_CA_92612_M97537-07013</t>
  </si>
  <si>
    <t>Christian Stubbs</t>
  </si>
  <si>
    <t>Contact@OnyxHomes.com</t>
  </si>
  <si>
    <t>Onyx Homes</t>
  </si>
  <si>
    <t>332 Culver Blvd, Playa Del Rey, CA 90293</t>
  </si>
  <si>
    <t>https://www.realtor.com/realestateandhomes-detail/332-Culver-Blvd_Playa-del-Rey_CA_90293_M17690-63681</t>
  </si>
  <si>
    <t>Benjamin J. Hsiang</t>
  </si>
  <si>
    <t>bhsiang@remaxcir.com</t>
  </si>
  <si>
    <t>Realty Investment Advisors, Inc.</t>
  </si>
  <si>
    <t>818 N Curson Ave, Los Angeles, CA 90046</t>
  </si>
  <si>
    <t>https://www.realtor.com/realestateandhomes-detail/818-N-Curson-Ave_Los-Angeles_CA_90046_M23283-97659</t>
  </si>
  <si>
    <t>Greg Stangl</t>
  </si>
  <si>
    <t>greg@prebrokerage.com</t>
  </si>
  <si>
    <t>4209 Sea View Ln, Los Angeles, CA 90065</t>
  </si>
  <si>
    <t>https://www.realtor.com/realestateandhomes-detail/4209-Sea-View-Ln_Los-Angeles_CA_90065_M10179-52314</t>
  </si>
  <si>
    <t>David Shin</t>
  </si>
  <si>
    <t>agentdavidshin@gmail.com</t>
  </si>
  <si>
    <t>Dream Realty &amp; Investments Inc</t>
  </si>
  <si>
    <t>11209 Sardis Ave, Los Angeles, CA 90064</t>
  </si>
  <si>
    <t>https://www.realtor.com/realestateandhomes-detail/11209-Sardis-Ave-Apt-102_Los-Angeles_CA_90064_M22444-91204</t>
  </si>
  <si>
    <t>Andrew C Lee</t>
  </si>
  <si>
    <t>aclee.aig@sbcglobal.net</t>
  </si>
  <si>
    <t>Andrew C. Lee</t>
  </si>
  <si>
    <t>2741 Inez Pl, Fullerton, CA 92835</t>
  </si>
  <si>
    <t>https://www.realtor.com/realestateandhomes-detail/2741-Inez-Pl_Fullerton_CA_92835_M93318-15925</t>
  </si>
  <si>
    <t>Caroline Lee</t>
  </si>
  <si>
    <t>carolinelee1122@gmail.com</t>
  </si>
  <si>
    <t>Real Brokerage Technologies</t>
  </si>
  <si>
    <t>209 Junco, Irvine, CA 92618</t>
  </si>
  <si>
    <t>https://www.realtor.com/realestateandhomes-detail/209-Junco_Irvine_CA_92618_M97012-19373</t>
  </si>
  <si>
    <t>Wanying Zhang</t>
  </si>
  <si>
    <t>heatherzhangwy@gmail.com</t>
  </si>
  <si>
    <t>JC Pacific Corp</t>
  </si>
  <si>
    <t>E Manitou Ave, Los Angeles, CA 90031</t>
  </si>
  <si>
    <t>https://www.realtor.com/realestateandhomes-detail/Holgate_Los-Angeles_CA_90031_M91080-42916</t>
  </si>
  <si>
    <t>Chana Firestone</t>
  </si>
  <si>
    <t>chana@chanafirestone.com</t>
  </si>
  <si>
    <t>1609 N Coronado St, Los Angeles, CA 90026</t>
  </si>
  <si>
    <t>https://www.realtor.com/realestateandhomes-detail/1609-N-Coronado-St_Los-Angeles_CA_90026_M95497-04822</t>
  </si>
  <si>
    <t>Silke Fernald</t>
  </si>
  <si>
    <t>silke@acme-re.com</t>
  </si>
  <si>
    <t>2026 Greenfield Ave, Los Angeles, CA 90025</t>
  </si>
  <si>
    <t>https://www.realtor.com/realestateandhomes-detail/2026-Greenfield-Ave_Los-Angeles_CA_90025_M23506-50501</t>
  </si>
  <si>
    <t>Jennifer Okhovat</t>
  </si>
  <si>
    <t>office@jennyohomes.com</t>
  </si>
  <si>
    <t>1785 Summitridge Dr, Beverly Hills Post Office, CA 90210</t>
  </si>
  <si>
    <t>https://www.realtor.com/realestateandhomes-detail/1785-Summitridge-Dr_Beverly-Hills_CA_90210_M19936-21951</t>
  </si>
  <si>
    <t>Tyrone McKillen</t>
  </si>
  <si>
    <t>tyronemckillen@me.com</t>
  </si>
  <si>
    <t>Plus Real Estate Group</t>
  </si>
  <si>
    <t>10445 Wilshire Blvd Apt 1806, Los Angeles, CA 90024</t>
  </si>
  <si>
    <t>https://www.realtor.com/realestateandhomes-detail/10445-Wilshire-Blvd-Apt-1806_Los-Angeles_CA_90024_M23119-95814</t>
  </si>
  <si>
    <t>Todd Marks</t>
  </si>
  <si>
    <t>toddmarksestates@gmail.com</t>
  </si>
  <si>
    <t>8008 El Manor Ave, Los Angeles, CA 90045</t>
  </si>
  <si>
    <t>https://www.realtor.com/realestateandhomes-detail/8008-El-Manor-Ave_Los-Angeles_CA_90045_M14236-94298</t>
  </si>
  <si>
    <t>Robin Zacha</t>
  </si>
  <si>
    <t>zachahomes@gmail.com</t>
  </si>
  <si>
    <t>Power Brokers</t>
  </si>
  <si>
    <t>432 S Willaman Dr Apt 401, Los Angeles, CA 90048</t>
  </si>
  <si>
    <t>https://www.realtor.com/realestateandhomes-detail/432-S-Willaman-Dr-Apt-401_Los-Angeles_CA_90048_M27631-86745</t>
  </si>
  <si>
    <t>Elisa Ritt</t>
  </si>
  <si>
    <t>eritt@rsrrealestate.com</t>
  </si>
  <si>
    <t>Erica Lockhart</t>
  </si>
  <si>
    <t>homesbyerica@gmail.com</t>
  </si>
  <si>
    <t>1308 Pacific Ave, Venice, CA 90291</t>
  </si>
  <si>
    <t>https://www.realtor.com/realestateandhomes-detail/1308-Pacific-Ave_Venice_CA_90291_M17093-78803</t>
  </si>
  <si>
    <t>Alex Baker</t>
  </si>
  <si>
    <t>alex@pardeeproperties.com</t>
  </si>
  <si>
    <t>608 Westminster Ave, Venice, CA 90291</t>
  </si>
  <si>
    <t>https://www.realtor.com/realestateandhomes-detail/608-Westminster-Ave_Venice_CA_90291_M28929-45964</t>
  </si>
  <si>
    <t>Brad Keyes</t>
  </si>
  <si>
    <t>brad@keyesla.com</t>
  </si>
  <si>
    <t>Keyes Real Estate</t>
  </si>
  <si>
    <t>1239 W 30th St, Los Angeles, CA 90007</t>
  </si>
  <si>
    <t>https://www.realtor.com/realestateandhomes-detail/1239-W-30th-St_Los-Angeles_CA_90007_M29294-91103</t>
  </si>
  <si>
    <t>Davis Saadian</t>
  </si>
  <si>
    <t>davis.saadian@camoves.com</t>
  </si>
  <si>
    <t>Stephen Takahashi</t>
  </si>
  <si>
    <t>stephen@lyonstahl.com</t>
  </si>
  <si>
    <t>9976 Westwanda Dr, Beverly Hills, CA 90210</t>
  </si>
  <si>
    <t>https://www.realtor.com/realestateandhomes-detail/9976-Westwanda-Dr_Beverly-Hills_CA_90210_M24340-40307</t>
  </si>
  <si>
    <t>Angel Collins</t>
  </si>
  <si>
    <t>team@sellinglaluxury.com</t>
  </si>
  <si>
    <t>2207 Bowmont Dr, Beverly Hills, CA 90210</t>
  </si>
  <si>
    <t>https://www.realtor.com/realestateandhomes-detail/2207-Bowmont-Dr_Beverly-Hills_CA_90210_M24465-24398</t>
  </si>
  <si>
    <t>Thomas Davila</t>
  </si>
  <si>
    <t>tom@rarepropertiesinc.com</t>
  </si>
  <si>
    <t>David Martinez</t>
  </si>
  <si>
    <t>david@leeziff.com</t>
  </si>
  <si>
    <t>5435 W 64th St, Los Angeles, CA 90056</t>
  </si>
  <si>
    <t>https://www.realtor.com/realestateandhomes-detail/5435-W-64th-St_Los-Angeles_CA_90056_M11355-91297</t>
  </si>
  <si>
    <t>Carla Lowe</t>
  </si>
  <si>
    <t>clowe@coldwellbanker.com</t>
  </si>
  <si>
    <t>2859 Coldwater Canyon Dr, Beverly Hills, CA 90210</t>
  </si>
  <si>
    <t>https://www.realtor.com/realestateandhomes-detail/2859-Coldwater-Canyon-Dr_Beverly-Hills_CA_90210_M24994-04771</t>
  </si>
  <si>
    <t>Cooper Mount</t>
  </si>
  <si>
    <t>coopermount@gmail.com</t>
  </si>
  <si>
    <t>11970 Aneta St, Culver City, CA 90230</t>
  </si>
  <si>
    <t>https://www.realtor.com/realestateandhomes-detail/11970-Aneta-St_Culver-City_CA_90230_M12296-27791</t>
  </si>
  <si>
    <t>Dana Brody</t>
  </si>
  <si>
    <t>dana.brody@am.jll.com</t>
  </si>
  <si>
    <t>1742 Preuss Rd, Los Angeles, CA 90035</t>
  </si>
  <si>
    <t>https://www.realtor.com/realestateandhomes-detail/1742-Preuss-Rd_Los-Angeles_CA_90035_M18139-46397</t>
  </si>
  <si>
    <t>Adam Glick</t>
  </si>
  <si>
    <t>adamrglick@gmail.com</t>
  </si>
  <si>
    <t>8828 Zeiler Ave, Arleta, CA 91331</t>
  </si>
  <si>
    <t>https://www.realtor.com/realestateandhomes-detail/8828-Zeiler-Ave_Arleta_CA_91331_M25208-08720</t>
  </si>
  <si>
    <t>Tiffany Mcguinness</t>
  </si>
  <si>
    <t>tiffanymcguinness@remax.net</t>
  </si>
  <si>
    <t>10636 Ayres Ave, Los Angeles, CA 90064</t>
  </si>
  <si>
    <t>https://www.realtor.com/realestateandhomes-detail/10636-Ayres-Ave_Los-Angeles_CA_90064_M24030-20523</t>
  </si>
  <si>
    <t>Kevin Da Silva</t>
  </si>
  <si>
    <t>kdasilva@kmdlosangeles.com</t>
  </si>
  <si>
    <t>eXp Realty of Greater Los Angeles, Inc.</t>
  </si>
  <si>
    <t>Zack Grakal</t>
  </si>
  <si>
    <t>realestateguy247@yahoo.com</t>
  </si>
  <si>
    <t>Dana Coronado Income Properties LA</t>
  </si>
  <si>
    <t>dana@incomepropertiesla.com</t>
  </si>
  <si>
    <t>4671 Bedel St, Woodland Hills, CA 91364</t>
  </si>
  <si>
    <t>https://www.realtor.com/realestateandhomes-detail/4671-Bedel-St_Woodland-Hills_CA_91364_M11359-42679</t>
  </si>
  <si>
    <t>Dennis Adelpour</t>
  </si>
  <si>
    <t>dennis@dennisadelpour.com</t>
  </si>
  <si>
    <t>1605 S Bonnie Brae St, Los Angeles, CA 90006</t>
  </si>
  <si>
    <t>https://www.realtor.com/realestateandhomes-detail/1605-S-Bonnie-Brae-St_Los-Angeles_CA_90006_M28335-08466</t>
  </si>
  <si>
    <t>Joseph Bolognese</t>
  </si>
  <si>
    <t>joe@saxumwest.com</t>
  </si>
  <si>
    <t>JB Real Estate</t>
  </si>
  <si>
    <t>120 Sumac Ln, Fountain Valley, CA 92708</t>
  </si>
  <si>
    <t>https://www.realtor.com/realestateandhomes-detail/120-Sumac-Ln_Fountain-Valley_CA_92708_M14058-32660</t>
  </si>
  <si>
    <t>Angela Black</t>
  </si>
  <si>
    <t>angelab133@gmail.com</t>
  </si>
  <si>
    <t>Angela Black, Broker</t>
  </si>
  <si>
    <t>224 Quadro Vecchio Dr, Pacific Palisades, CA 90272</t>
  </si>
  <si>
    <t>https://www.realtor.com/realestateandhomes-detail/224-Quadro-Vecchio-Dr_Pacific-Palisades_CA_90272_M29923-58658</t>
  </si>
  <si>
    <t>Laura Brau</t>
  </si>
  <si>
    <t>laura.brau@thepartnerstrust.com</t>
  </si>
  <si>
    <t>2801 Belden Dr, Los Angeles, CA 90068</t>
  </si>
  <si>
    <t>https://www.realtor.com/realestateandhomes-detail/2801-Belden-Dr_Los-Angeles_CA_90068_M13195-22691</t>
  </si>
  <si>
    <t>Mike Nourmand</t>
  </si>
  <si>
    <t>mnourmand@nourmand.com</t>
  </si>
  <si>
    <t>Nourmand &amp; Associates - Beverly Hills</t>
  </si>
  <si>
    <t>33 Basilica Pl, Ladera Ranch, CA 92694</t>
  </si>
  <si>
    <t>https://www.realtor.com/realestateandhomes-detail/33-Basilica-Pl_Ladera-Ranch_CA_92694_M19354-87632</t>
  </si>
  <si>
    <t>Melissa Esnal Olguin</t>
  </si>
  <si>
    <t>melissa.esnal@harcourtsprime.com</t>
  </si>
  <si>
    <t>1017 N Croft Ave Apt 201, Los Angeles, CA 90069</t>
  </si>
  <si>
    <t>https://www.realtor.com/realestateandhomes-detail/1017-N-Croft-Ave-Apt-201_Los-Angeles_CA_90069_M97982-02332</t>
  </si>
  <si>
    <t>Azy Farahmand</t>
  </si>
  <si>
    <t>afarahmand@theagencyre.com</t>
  </si>
  <si>
    <t>506 N Sycamore Ave, Los Angeles, CA 90036</t>
  </si>
  <si>
    <t>https://www.realtor.com/realestateandhomes-detail/506-N-Sycamore-Ave_Los-Angeles_CA_90036_M23033-54946</t>
  </si>
  <si>
    <t>The Holcomb+Durkovic Group at Douglas Elliman Real Estate</t>
  </si>
  <si>
    <t>Tim.Durkovic@Elliman.com</t>
  </si>
  <si>
    <t>4732 Del Moreno Dr, Woodland Hills, CA 91364</t>
  </si>
  <si>
    <t>https://www.realtor.com/realestateandhomes-detail/4732-Del-Moreno-Dr_Woodland-Hills_CA_91364_M19396-65943</t>
  </si>
  <si>
    <t>Todd Bernstein</t>
  </si>
  <si>
    <t>todd@toddbernstein.com</t>
  </si>
  <si>
    <t>Coldwell Banker Realty - Calabasas</t>
  </si>
  <si>
    <t>403 E 91st St, Los Angeles, CA 90003</t>
  </si>
  <si>
    <t>https://www.realtor.com/realestateandhomes-detail/403-E-91st-St_Los-Angeles_CA_90003_M17730-52360</t>
  </si>
  <si>
    <t>Jason Lee</t>
  </si>
  <si>
    <t>jason@calkorproperties.com</t>
  </si>
  <si>
    <t>Team Spirit Realty</t>
  </si>
  <si>
    <t>215 W 7th St Apt 1302, Los Angeles, CA 90014</t>
  </si>
  <si>
    <t>https://www.realtor.com/realestateandhomes-detail/215-W-7th-St-Apt-1302_Los-Angeles_CA_90014_M29826-60831</t>
  </si>
  <si>
    <t>Elias Tebache</t>
  </si>
  <si>
    <t>elias@kaserealestate.com</t>
  </si>
  <si>
    <t>Coldwell Banker Realty - Pasadena</t>
  </si>
  <si>
    <t>3685 Mandeville Canyon Rd, Los Angeles, CA 90049</t>
  </si>
  <si>
    <t>https://www.realtor.com/realestateandhomes-detail/3685-Mandeville-Canyon-Rd_Los-Angeles_CA_90049_M24399-04357</t>
  </si>
  <si>
    <t>Sergio Guadarrama Trejo</t>
  </si>
  <si>
    <t>sguadarrama@gmail.com</t>
  </si>
  <si>
    <t>Rodeo Realty- Brentwood</t>
  </si>
  <si>
    <t>14840 W Sunset Blvd, Pacific Palisades, CA 90272</t>
  </si>
  <si>
    <t>https://www.realtor.com/realestateandhomes-detail/14840-W-Sunset-Blvd_Pacific-Palisades_CA_90272_M28261-15289</t>
  </si>
  <si>
    <t>Heather Bell</t>
  </si>
  <si>
    <t>heather.bell@theagencyre.com</t>
  </si>
  <si>
    <t>2980 Hollyridge Dr, Los Angeles, CA 90068</t>
  </si>
  <si>
    <t>https://www.realtor.com/realestateandhomes-detail/2980-Hollyridge-Dr_Los-Angeles_CA_90068_M13439-69149</t>
  </si>
  <si>
    <t>Lauren Ravitz</t>
  </si>
  <si>
    <t>lauren@laurenravitz.com</t>
  </si>
  <si>
    <t>1904 S Robertson Blvd, Los Angeles, CA 90034</t>
  </si>
  <si>
    <t>https://www.realtor.com/realestateandhomes-detail/1904-S-Robertson-Blvd_Los-Angeles_CA_90034_M16547-36752</t>
  </si>
  <si>
    <t>Chandler Rockwell</t>
  </si>
  <si>
    <t>chandler@fredleedsproperties.com</t>
  </si>
  <si>
    <t>Fred Leeds Asset Group Inc.</t>
  </si>
  <si>
    <t>Ahra Jessica Shin</t>
  </si>
  <si>
    <t>jessshin1234@gmail.com</t>
  </si>
  <si>
    <t>Jeong Kim</t>
  </si>
  <si>
    <t>1000 Stradella Rd, Los Angeles, CA 90077</t>
  </si>
  <si>
    <t>https://www.realtor.com/realestateandhomes-detail/1000-Stradella-Rd_Los-Angeles_CA_90077_M23153-40058</t>
  </si>
  <si>
    <t>Rita Benelian.  TOP 1.5% NATIONWIDE</t>
  </si>
  <si>
    <t>ritabenelian@gmail.com</t>
  </si>
  <si>
    <t>10950 Bellagio Rd, Los Angeles, CA 90077</t>
  </si>
  <si>
    <t>https://www.realtor.com/realestateandhomes-detail/10950-Bellagio-Rd_Los-Angeles_CA_90077_M16309-96513</t>
  </si>
  <si>
    <t>Trey Alligood</t>
  </si>
  <si>
    <t>Trey@TheAlligoodGroup.com</t>
  </si>
  <si>
    <t>629 Traction Ave Apt 257, Los Angeles, CA 90013</t>
  </si>
  <si>
    <t>https://www.realtor.com/realestateandhomes-detail/629-Traction-Ave-Apt-257_Los-Angeles_CA_90013_M15723-95006</t>
  </si>
  <si>
    <t>Deborah Bush</t>
  </si>
  <si>
    <t>deborah@deborah-bush.com</t>
  </si>
  <si>
    <t>Jason Mitchell Real Estate CA</t>
  </si>
  <si>
    <t>6440 Petit Ave, Van Nuys, CA 91406</t>
  </si>
  <si>
    <t>https://www.realtor.com/realestateandhomes-detail/6440-Petit-Ave_Van-Nuys_CA_91406_M12816-49824</t>
  </si>
  <si>
    <t>Felix Hung</t>
  </si>
  <si>
    <t>felix.hung@gmail.com</t>
  </si>
  <si>
    <t>9921 Tower Ln, Beverly Hills, CA 90210</t>
  </si>
  <si>
    <t>https://www.realtor.com/realestateandhomes-detail/9921-Tower-Ln_Beverly-Hills_CA_90210_M92472-76570</t>
  </si>
  <si>
    <t>Josh Flagg</t>
  </si>
  <si>
    <t>josh@joshflagg.com</t>
  </si>
  <si>
    <t>Ryan Manavi</t>
  </si>
  <si>
    <t>ryan.manavi@camoves.com</t>
  </si>
  <si>
    <t>23340 Collins St, Woodland Hills, CA 91367</t>
  </si>
  <si>
    <t>https://www.realtor.com/realestateandhomes-detail/23340-Collins-St_Woodland-Hills_CA_91367_M13554-58982</t>
  </si>
  <si>
    <t>David Shemesh</t>
  </si>
  <si>
    <t>David@iknowyourhomevalue.com</t>
  </si>
  <si>
    <t>5345 Village Grn, Los Angeles, CA 90016</t>
  </si>
  <si>
    <t>https://www.realtor.com/realestateandhomes-detail/5345-Village-Grn_Los-Angeles_CA_90016_M24978-28229</t>
  </si>
  <si>
    <t>Emilia Arau</t>
  </si>
  <si>
    <t>emilia@emiliaarau.com</t>
  </si>
  <si>
    <t>1296 Capri Dr, Pacific Palisades, CA 90272</t>
  </si>
  <si>
    <t>https://www.realtor.com/realestateandhomes-detail/1296-Capri-Dr_Pacific-Palisades_CA_90272_M23225-69651</t>
  </si>
  <si>
    <t>Shaun Alan-Lee</t>
  </si>
  <si>
    <t>shaun.alanlee@compass.com</t>
  </si>
  <si>
    <t>1225 Rimmer Ave, Pacific Palisades, CA 90272</t>
  </si>
  <si>
    <t>https://www.realtor.com/realestateandhomes-detail/1225-Rimmer-Ave_Pacific-Palisades_CA_90272_M10470-27822</t>
  </si>
  <si>
    <t>Tracey Becker</t>
  </si>
  <si>
    <t>tracey.becker@compass.com</t>
  </si>
  <si>
    <t>1531 Camden Ave Apt 106, Los Angeles, CA 90025</t>
  </si>
  <si>
    <t>https://www.realtor.com/realestateandhomes-detail/1531-Camden-Ave-Apt-106_Los-Angeles_CA_90025_M23690-22611</t>
  </si>
  <si>
    <t>Raymond A. Lyon</t>
  </si>
  <si>
    <t>ray@raylyonrealty.com</t>
  </si>
  <si>
    <t>6001 Manton Ave, Woodland Hills, CA 91367</t>
  </si>
  <si>
    <t>https://www.realtor.com/realestateandhomes-detail/6001-Manton-Ave_Woodland-Hills_CA_91367_M17122-91907</t>
  </si>
  <si>
    <t>Shelton Wilder</t>
  </si>
  <si>
    <t>shelton.wilder@sothebys.realty</t>
  </si>
  <si>
    <t>1523 Highgate Ave, Los Angeles, CA 90042</t>
  </si>
  <si>
    <t>https://www.realtor.com/realestateandhomes-detail/1523-Highgate-Ave_Los-Angeles_CA_90042_M17020-68963</t>
  </si>
  <si>
    <t>Brandon Harnsberger</t>
  </si>
  <si>
    <t>brandon@harnsberger.com</t>
  </si>
  <si>
    <t>Harnsberger Realty 1924</t>
  </si>
  <si>
    <t>Michelle Harnsberger</t>
  </si>
  <si>
    <t>sales@harnsberger.com</t>
  </si>
  <si>
    <t>731 Record Dr, Los Angeles, CA 90063</t>
  </si>
  <si>
    <t>https://www.realtor.com/realestateandhomes-detail/731-Record-Dr_Los-Angeles_CA_90063_M17563-10413</t>
  </si>
  <si>
    <t>Anabella Perez Jimenez</t>
  </si>
  <si>
    <t>anasellmeahome@gmail.com</t>
  </si>
  <si>
    <t>Century 21 Realty Masters</t>
  </si>
  <si>
    <t>10132 Hollow Glen Cir, Los Angeles, CA 90077</t>
  </si>
  <si>
    <t>https://www.realtor.com/realestateandhomes-detail/10132-Hollow-Glen-Cir_Los-Angeles_CA_90077_M23784-39522</t>
  </si>
  <si>
    <t>Lorena Costino</t>
  </si>
  <si>
    <t>lcostino@gmail.com</t>
  </si>
  <si>
    <t>7449-7451 Alabama Ave, Canoga Park, CA 91303</t>
  </si>
  <si>
    <t>https://www.realtor.com/realestateandhomes-detail/7449-7451-Alabama-Ave_Canoga-Park_CA_91303_M94077-05456</t>
  </si>
  <si>
    <t>Levon Dzhabrayan</t>
  </si>
  <si>
    <t>ldzhabrayan@yahoo.com</t>
  </si>
  <si>
    <t>Manjeet Bhasin</t>
  </si>
  <si>
    <t>mb@manjeetbhasin.com</t>
  </si>
  <si>
    <t>12263 Laurel Terrace Dr, Studio City, CA 91604</t>
  </si>
  <si>
    <t>https://www.realtor.com/realestateandhomes-detail/12263-Laurel-Terrace-Dr_Studio-City_CA_91604_M11926-36008</t>
  </si>
  <si>
    <t>Kyle Draper</t>
  </si>
  <si>
    <t>kyle@sereneteam.com</t>
  </si>
  <si>
    <t>16015 Jeanne Ln, Encino, CA 91436</t>
  </si>
  <si>
    <t>https://www.realtor.com/realestateandhomes-detail/16015-Jeanne-Ln_Encino_CA_91436_M11800-88758</t>
  </si>
  <si>
    <t>Martin Karamanoukian</t>
  </si>
  <si>
    <t>homesforsalebymartin@gmail.com</t>
  </si>
  <si>
    <t>Realty Squad Inc.</t>
  </si>
  <si>
    <t>1150 E 80th St, Los Angeles, CA 90001</t>
  </si>
  <si>
    <t>https://www.realtor.com/realestateandhomes-detail/1150-E-80th-St_Los-Angeles_CA_90001_M13766-91795</t>
  </si>
  <si>
    <t>Bob Day</t>
  </si>
  <si>
    <t>bobday@coldwellbanker.com</t>
  </si>
  <si>
    <t>3334 Oak Glen Dr, Los Angeles, CA 90068</t>
  </si>
  <si>
    <t>https://www.realtor.com/realestateandhomes-detail/3334-Oak-Glen-Dr_Los-Angeles_CA_90068_M21222-34945</t>
  </si>
  <si>
    <t>Yoori Park</t>
  </si>
  <si>
    <t>yoori@yooripark.com</t>
  </si>
  <si>
    <t>2026 Louella Ave, Venice, CA 90291</t>
  </si>
  <si>
    <t>https://www.realtor.com/realestateandhomes-detail/2026-Louella-Ave_Venice_CA_90291_M18902-41154</t>
  </si>
  <si>
    <t>Claire Burns</t>
  </si>
  <si>
    <t>claire.burns@telesproperties.com</t>
  </si>
  <si>
    <t>5711 Marmion Way, Los Angeles, CA 90042</t>
  </si>
  <si>
    <t>https://www.realtor.com/realestateandhomes-detail/5711-Marmion-Way_Los-Angeles_CA_90042_M92574-70065</t>
  </si>
  <si>
    <t>Cesar Leyva</t>
  </si>
  <si>
    <t>cleyva@avenuehomes.com</t>
  </si>
  <si>
    <t>Avenue Homes</t>
  </si>
  <si>
    <t>11542 Encino Ave, Granada Hills, CA 91344</t>
  </si>
  <si>
    <t>https://www.realtor.com/realestateandhomes-detail/11542-Encino-Ave_Granada-Hills_CA_91344_M16181-53061</t>
  </si>
  <si>
    <t>Anita Stephan</t>
  </si>
  <si>
    <t>anita@sfjgroup.com</t>
  </si>
  <si>
    <t>2275 W 25th St Spc 114, San Pedro, CA 90732</t>
  </si>
  <si>
    <t>https://www.realtor.com/realestateandhomes-detail/2275-W-25th-St-Spc-114_San-Pedro_CA_90732_M93183-83734</t>
  </si>
  <si>
    <t>Amy Tardugno</t>
  </si>
  <si>
    <t>amy.r.tardugno@gmail.com</t>
  </si>
  <si>
    <t>Christopher Shahinian</t>
  </si>
  <si>
    <t>cshahinian@theagencyre.com</t>
  </si>
  <si>
    <t>3803 S Verona Ct, Los Angeles, CA 90066</t>
  </si>
  <si>
    <t>https://www.realtor.com/realestateandhomes-detail/3803-Verona-Ct_Los-Angeles_CA_90066_M90106-19117</t>
  </si>
  <si>
    <t>Diane Marie Brito</t>
  </si>
  <si>
    <t>brito1507@aol.com</t>
  </si>
  <si>
    <t>5126 6th Ave, Los Angeles, CA 90043</t>
  </si>
  <si>
    <t>https://www.realtor.com/realestateandhomes-detail/5126-6th-Ave_Los-Angeles_CA_90043_M21537-14516</t>
  </si>
  <si>
    <t>Joshua Lee Glaz</t>
  </si>
  <si>
    <t>joshua@theave.agency</t>
  </si>
  <si>
    <t>The Ave</t>
  </si>
  <si>
    <t>223 E 55th St, Los Angeles, CA 90011</t>
  </si>
  <si>
    <t>https://www.realtor.com/realestateandhomes-detail/223-E-55th-St_Los-Angeles_CA_90011_M23223-31534</t>
  </si>
  <si>
    <t>Miguel Belmonte</t>
  </si>
  <si>
    <t>miguelbelmonte@aol.com</t>
  </si>
  <si>
    <t>82 Winslow Ln, Irvine, CA 92620</t>
  </si>
  <si>
    <t>https://www.realtor.com/realestateandhomes-detail/82-Winslow-Ln_Irvine_CA_92620_M13149-84286</t>
  </si>
  <si>
    <t>Tracy Guo</t>
  </si>
  <si>
    <t>guo.shuqin@gmail.com</t>
  </si>
  <si>
    <t>25191 Via Piedra Blanca, Laguna Niguel, CA 92677</t>
  </si>
  <si>
    <t>https://www.realtor.com/realestateandhomes-detail/25191-Via-Piedra-Blanca_Laguna-Niguel_CA_92677_M11227-55182</t>
  </si>
  <si>
    <t>Jason Nagy</t>
  </si>
  <si>
    <t>soldbyjasonnagy@gmail.com</t>
  </si>
  <si>
    <t>2234 Midvale Ave, Los Angeles, CA 90064</t>
  </si>
  <si>
    <t>https://www.realtor.com/realestateandhomes-detail/2234-Midvale-Ave_Los-Angeles_CA_90064_M23162-54036</t>
  </si>
  <si>
    <t>Angela von Detten</t>
  </si>
  <si>
    <t>angela@angelavondetten.com</t>
  </si>
  <si>
    <t>8100 Foothill Blvd Spc 1, Sunland, CA 91040</t>
  </si>
  <si>
    <t>https://www.realtor.com/realestateandhomes-detail/8100-Foothill-Blvd-Spc-1_Sunland_CA_91040_M97238-81882</t>
  </si>
  <si>
    <t>Mary Bizzy</t>
  </si>
  <si>
    <t>marybizzy@msn.com</t>
  </si>
  <si>
    <t>Executive Homes</t>
  </si>
  <si>
    <t>22020 W Tulsa St, Chatsworth, CA 91311</t>
  </si>
  <si>
    <t>https://www.realtor.com/realestateandhomes-detail/22020-Tulsa-St_Chatsworth_CA_91311_M90048-23083</t>
  </si>
  <si>
    <t>James Baker</t>
  </si>
  <si>
    <t>avjames@live.com</t>
  </si>
  <si>
    <t>James Baker Realty, Inc.</t>
  </si>
  <si>
    <t>1121 5th Ave, Los Angeles, CA 90019</t>
  </si>
  <si>
    <t>https://www.realtor.com/realestateandhomes-detail/1121-5th-Ave_Los-Angeles_CA_90019_M19178-46994</t>
  </si>
  <si>
    <t>Alan Cruz</t>
  </si>
  <si>
    <t>alancruz.realtor@gmail.com</t>
  </si>
  <si>
    <t>Equity Smart Re Services</t>
  </si>
  <si>
    <t>570 W 8th St, San Pedro, CA 90731</t>
  </si>
  <si>
    <t>https://www.realtor.com/realestateandhomes-detail/570-W-8th-St_San-Pedro_CA_90731_M26026-56346</t>
  </si>
  <si>
    <t>Justin White</t>
  </si>
  <si>
    <t>thesbgbp@gmail.com</t>
  </si>
  <si>
    <t>105 Lugo Ln, Mission Viejo, CA 92692</t>
  </si>
  <si>
    <t>https://www.realtor.com/realestateandhomes-detail/105-Lugo-Ln_Mission-Viejo_CA_92692_M90187-23925</t>
  </si>
  <si>
    <t>Stephanie Young</t>
  </si>
  <si>
    <t>Stephanie@StephanieYoungGroup.com</t>
  </si>
  <si>
    <t>2869 W Stonybrook Dr, Anaheim, CA 92804</t>
  </si>
  <si>
    <t>https://www.realtor.com/realestateandhomes-detail/2869-W-Stonybrook-Dr_Anaheim_CA_92804_M13483-50603</t>
  </si>
  <si>
    <t>Michele Steggell</t>
  </si>
  <si>
    <t>michele@steggell.com</t>
  </si>
  <si>
    <t>Allianz Capital Group, Inc.</t>
  </si>
  <si>
    <t>1919 Sherry Ln Apt 46, Santa Ana, CA 92705</t>
  </si>
  <si>
    <t>https://www.realtor.com/realestateandhomes-detail/1919-Sherry-Ln-Apt-46_Santa-Ana_CA_92705_M14397-16544</t>
  </si>
  <si>
    <t>Yolanda Solorio</t>
  </si>
  <si>
    <t>yolnadas@sevengables.com</t>
  </si>
  <si>
    <t>6600 Warner Ave Unit 162, Huntington Beach, CA 92647</t>
  </si>
  <si>
    <t>https://www.realtor.com/realestateandhomes-detail/6600-Warner-Ave-Unit-162_Huntington-Beach_CA_92647_M20029-79893</t>
  </si>
  <si>
    <t>Robert van der Goes</t>
  </si>
  <si>
    <t>Robert@Robertvandergoes.com</t>
  </si>
  <si>
    <t>33041 Lighthouse Ct, San Juan Capistrano, CA 92675</t>
  </si>
  <si>
    <t>https://www.realtor.com/realestateandhomes-detail/33041-Lighthouse-Ct_San-Juan-Capistrano_CA_92675_M29649-64583</t>
  </si>
  <si>
    <t>Sean Ryan</t>
  </si>
  <si>
    <t>Sean@CoastRealtySolutions.com</t>
  </si>
  <si>
    <t>Coast Realty Solutions, Inc.</t>
  </si>
  <si>
    <t>704 Grandview Ave, Fullerton, CA 92832</t>
  </si>
  <si>
    <t>https://www.realtor.com/realestateandhomes-detail/704-Grandview-Ave_Fullerton_CA_92832_M23068-27496</t>
  </si>
  <si>
    <t>MARTINA BOBBETT</t>
  </si>
  <si>
    <t>MARTINABOBBETT@YAHOO.COM</t>
  </si>
  <si>
    <t>Circa Properties, Inc.</t>
  </si>
  <si>
    <t>Sean Drumm</t>
  </si>
  <si>
    <t>seantdrumm@gmail.com</t>
  </si>
  <si>
    <t>753 Spring Gdn, Irvine, CA 92618</t>
  </si>
  <si>
    <t>https://www.realtor.com/realestateandhomes-detail/753-Spring-Gdn_Irvine_CA_92618_M98062-93524</t>
  </si>
  <si>
    <t>Dakoda Muta</t>
  </si>
  <si>
    <t>dakodamuta@gmail.com</t>
  </si>
  <si>
    <t>Realty One Group West</t>
  </si>
  <si>
    <t>3105 Scholarship, Irvine, CA 92612</t>
  </si>
  <si>
    <t>https://www.realtor.com/realestateandhomes-detail/3105-Scholarship_Irvine_CA_92612_M15586-26235</t>
  </si>
  <si>
    <t>Jim Watson</t>
  </si>
  <si>
    <t>jim@watson-team.com</t>
  </si>
  <si>
    <t>18642 Silver Maple Way, North Tustin, CA 92705</t>
  </si>
  <si>
    <t>https://www.realtor.com/realestateandhomes-detail/18642-Silver-Maple-Way_Santa-Ana_CA_92705_M14672-38406</t>
  </si>
  <si>
    <t>Lars Nordstrom</t>
  </si>
  <si>
    <t>homesbynordstrom@gmail.com</t>
  </si>
  <si>
    <t>4 San Pedro, Rancho Santa Margarita, CA 92688</t>
  </si>
  <si>
    <t>https://www.realtor.com/realestateandhomes-detail/4-San-Pedro_Rancho-Santa-Margarita_CA_92688_M23664-94641</t>
  </si>
  <si>
    <t>Ryan Argue</t>
  </si>
  <si>
    <t>ryan@planarealestate.com</t>
  </si>
  <si>
    <t>Plan A Real Estate</t>
  </si>
  <si>
    <t>13523 Cobblestone Ln, Westminster, CA 92683</t>
  </si>
  <si>
    <t>https://www.realtor.com/realestateandhomes-detail/13523-Cobblestone-Ln_Westminster_CA_92683_M29003-06522</t>
  </si>
  <si>
    <t>Tuan Nguyen</t>
  </si>
  <si>
    <t>totalfunding2000@yahoo.com</t>
  </si>
  <si>
    <t>Total Funding &amp; Realty</t>
  </si>
  <si>
    <t>6301 Warner Ave Spc 88, Huntington Beach, CA 92647</t>
  </si>
  <si>
    <t>https://www.realtor.com/realestateandhomes-detail/6301-Warner-Ave-Spc-88_Huntington-Beach_CA_92647_M11315-23592</t>
  </si>
  <si>
    <t>Josh Lukasiewicz</t>
  </si>
  <si>
    <t>mrjoshualukasiewicz@gmail.com</t>
  </si>
  <si>
    <t>Premiere Housing Group</t>
  </si>
  <si>
    <t>10947 Carrillo Ct, Cypress, CA 90720</t>
  </si>
  <si>
    <t>https://www.realtor.com/realestateandhomes-detail/10947-Carrillo-Ct_Cypress_CA_90720_M93660-95500</t>
  </si>
  <si>
    <t>Laurie Chrispen</t>
  </si>
  <si>
    <t>darylandlaurie@chrispen.com</t>
  </si>
  <si>
    <t>RE MAX Tiffany Real Estate</t>
  </si>
  <si>
    <t>607 Murfield Ct, Fullerton, CA 92835</t>
  </si>
  <si>
    <t>https://www.realtor.com/realestateandhomes-detail/607-Murfield-Ct_Fullerton_CA_92835_M10860-15763</t>
  </si>
  <si>
    <t>Jamie Lee</t>
  </si>
  <si>
    <t>spring4jlee@gmail.com</t>
  </si>
  <si>
    <t>Newcastle Realty, Inc.</t>
  </si>
  <si>
    <t>2552 E Terrace St, Anaheim, CA 92806</t>
  </si>
  <si>
    <t>https://www.realtor.com/realestateandhomes-detail/2552-E-Terrace-St_Anaheim_CA_92806_M28562-37359</t>
  </si>
  <si>
    <t>CHAD LANGSETH</t>
  </si>
  <si>
    <t>re524chad@earthlink.net</t>
  </si>
  <si>
    <t>Angel Nicanor</t>
  </si>
  <si>
    <t>info@angelnicanor.com</t>
  </si>
  <si>
    <t>66 Eider Run, Irvine, CA 92618</t>
  </si>
  <si>
    <t>https://www.realtor.com/realestateandhomes-detail/66-Eider-Run_Irvine_CA_92618_M97017-15688</t>
  </si>
  <si>
    <t>Jay Jung</t>
  </si>
  <si>
    <t>BestAgentJay@Gmail.com</t>
  </si>
  <si>
    <t>Coldwell Banker Platinum Prop.</t>
  </si>
  <si>
    <t>Sarah Park</t>
  </si>
  <si>
    <t>bestagentsarah@gmail.com</t>
  </si>
  <si>
    <t>1000 W Macarthur Blvd Apt 67, Santa Ana, CA 92707</t>
  </si>
  <si>
    <t>https://www.realtor.com/realestateandhomes-detail/1000-W-Macarthur-Blvd-Apt-67_Santa-Ana_CA_92707_M20555-62138</t>
  </si>
  <si>
    <t>Sean Dezahd</t>
  </si>
  <si>
    <t>sean@cahome.net</t>
  </si>
  <si>
    <t xml:space="preserve">First Team Real Estate Huntington Beach South </t>
  </si>
  <si>
    <t>Bonnie Beach Pl, Los Angeles, CA 90063</t>
  </si>
  <si>
    <t>https://www.realtor.com/realestateandhomes-detail/Bonnie-Beach-Pl_Los-Angeles_CA_90063_M99438-60275</t>
  </si>
  <si>
    <t>James Perez</t>
  </si>
  <si>
    <t>James@ownitnowrealty.com</t>
  </si>
  <si>
    <t>Own It Now Realty Team</t>
  </si>
  <si>
    <t>2949 S Harcourt Ave, Los Angeles, CA 90016</t>
  </si>
  <si>
    <t>https://www.realtor.com/realestateandhomes-detail/2949-S-Harcourt-Ave_Los-Angeles_CA_90016_M13505-10285</t>
  </si>
  <si>
    <t>Sam Beshara</t>
  </si>
  <si>
    <t>sambesharaslimo@gmail.com</t>
  </si>
  <si>
    <t>RE MAX Terrasol</t>
  </si>
  <si>
    <t>1324 W Balboa Blvd, Newport Beach, CA 92661</t>
  </si>
  <si>
    <t>https://www.realtor.com/realestateandhomes-detail/1324-W-Balboa-Blvd_Newport-Beach_CA_92661_M26456-90070</t>
  </si>
  <si>
    <t>Brandon Hobbs</t>
  </si>
  <si>
    <t>brandon@reasonre.com</t>
  </si>
  <si>
    <t>Arbor Real Estate Professional</t>
  </si>
  <si>
    <t>923 E 97th St, Los Angeles, CA 90002</t>
  </si>
  <si>
    <t>https://www.realtor.com/realestateandhomes-detail/923-E-97th-St_Los-Angeles_CA_90002_M25631-08255</t>
  </si>
  <si>
    <t>Malcolm Scatliffe</t>
  </si>
  <si>
    <t>malcolm.scatliffe@gmail.com</t>
  </si>
  <si>
    <t>CHAMPIONS REAL ESTATE</t>
  </si>
  <si>
    <t>139 S Manhattan Pl, Los Angeles, CA 90004</t>
  </si>
  <si>
    <t>https://www.realtor.com/realestateandhomes-detail/139-S-Manhattan-Pl_Los-Angeles_CA_90004_M20400-33796</t>
  </si>
  <si>
    <t>Ethan Baik</t>
  </si>
  <si>
    <t>Ethan.Baik@baikhome.com</t>
  </si>
  <si>
    <t>7161 Little Harbor Dr, Huntington Beach, CA 92648</t>
  </si>
  <si>
    <t>https://www.realtor.com/realestateandhomes-detail/7161-Little-Harbor-Dr_Huntington-Beach_CA_92648_M12486-61058</t>
  </si>
  <si>
    <t>Suzie Malerbe</t>
  </si>
  <si>
    <t>suziemalerbe@live.com</t>
  </si>
  <si>
    <t>2005 Via Mariposa W Unit B, Laguna Woods, CA 92637</t>
  </si>
  <si>
    <t>https://www.realtor.com/realestateandhomes-detail/2005-Via-Mariposa-W-Unit-B_Laguna-Woods_CA_92637_M15747-19741</t>
  </si>
  <si>
    <t>David Letourneau</t>
  </si>
  <si>
    <t>david@inspiragroup.com</t>
  </si>
  <si>
    <t>19582 Crestknoll Dr, Yorba Linda, CA 92886</t>
  </si>
  <si>
    <t>https://www.realtor.com/realestateandhomes-detail/19582-Crestknoll-Dr_Yorba-Linda_CA_92886_M29998-60302</t>
  </si>
  <si>
    <t>Mike Weller</t>
  </si>
  <si>
    <t>mls@wellerrealtygroup.com</t>
  </si>
  <si>
    <t>7369 Cartwright Ave, Sun Valley, CA 91352</t>
  </si>
  <si>
    <t>https://www.realtor.com/realestateandhomes-detail/7369-Cartwright-Ave_Sun-Valley_CA_91352_M18314-11529</t>
  </si>
  <si>
    <t>Sem Gulinyan</t>
  </si>
  <si>
    <t>SemGulinyanRE@gmail.com</t>
  </si>
  <si>
    <t>MBE Realty, Inc.</t>
  </si>
  <si>
    <t>746 S Los Angeles St Apt 607, Los Angeles, CA 90014</t>
  </si>
  <si>
    <t>https://www.realtor.com/realestateandhomes-detail/746-S-Los-Angeles-St-Apt-607_Los-Angeles_CA_90014_M13751-65665</t>
  </si>
  <si>
    <t>Jim Bottrell</t>
  </si>
  <si>
    <t>listings@bottrellteam.com</t>
  </si>
  <si>
    <t>The Jim Bottrell Real Estate Team</t>
  </si>
  <si>
    <t>Beach St, Los Angeles, CA 90002</t>
  </si>
  <si>
    <t>https://www.realtor.com/realestateandhomes-detail/Beach-St_Los-Angeles_CA_90002_M96772-74032</t>
  </si>
  <si>
    <t>STEVE WELTY</t>
  </si>
  <si>
    <t>STEVEWELTY@HOTMAIL.COM</t>
  </si>
  <si>
    <t>Steve Welty &amp; Associates Inc</t>
  </si>
  <si>
    <t>23755 Clarendon St, Woodland Hills, CA 91367</t>
  </si>
  <si>
    <t>https://www.realtor.com/realestateandhomes-detail/23755-Clarendon-St_Woodland-Hills_CA_91367_M19453-15845</t>
  </si>
  <si>
    <t>Carl Wuestehube</t>
  </si>
  <si>
    <t>carl@homelisters.org</t>
  </si>
  <si>
    <t>Tri Star Realty</t>
  </si>
  <si>
    <t>Mary Bell, Shadow Hills, CA 91040</t>
  </si>
  <si>
    <t>https://www.realtor.com/realestateandhomes-detail/Mary-Bell-Lot-61_Shadow-Hills_CA_M18844-58327</t>
  </si>
  <si>
    <t>Amir Maloumi</t>
  </si>
  <si>
    <t>amirmaloumi@firstteam.com</t>
  </si>
  <si>
    <t>2723 Pirtle St, Los Angeles, CA 90039</t>
  </si>
  <si>
    <t>https://www.realtor.com/realestateandhomes-detail/2723-Pirtle-St_Los-Angeles_CA_90039_M29174-34518</t>
  </si>
  <si>
    <t>Heather Barkley-Kilpatrick</t>
  </si>
  <si>
    <t>heather@heatherkilpatrick.com</t>
  </si>
  <si>
    <t>Keller Williams Exclusive Properties</t>
  </si>
  <si>
    <t>10501 Forbes Ave, Granada Hills, CA 91344</t>
  </si>
  <si>
    <t>https://www.realtor.com/realestateandhomes-detail/10501-Forbes-Ave_Granada-Hills_CA_91344_M15908-63019</t>
  </si>
  <si>
    <t>Carey Eckert</t>
  </si>
  <si>
    <t>carey.eckert@gmail.com</t>
  </si>
  <si>
    <t>Park Regency Realty</t>
  </si>
  <si>
    <t>2453 Creston Way, Los Angeles, CA 90068</t>
  </si>
  <si>
    <t>https://www.realtor.com/realestateandhomes-detail/2453-Creston-Way_Los-Angeles_CA_90068_M13614-84142</t>
  </si>
  <si>
    <t>Anita Richards</t>
  </si>
  <si>
    <t>anita.richards@redfin.com</t>
  </si>
  <si>
    <t>20624 Oxnard St, Woodland Hills, CA 91367</t>
  </si>
  <si>
    <t>https://www.realtor.com/realestateandhomes-detail/20624-Oxnard-St_Woodland-Hills_CA_91367_M10683-13675</t>
  </si>
  <si>
    <t>Scott Himelstein</t>
  </si>
  <si>
    <t>Scott@ScottWorks4u.com</t>
  </si>
  <si>
    <t>9301 Darby Ave, Northridge, CA 91325</t>
  </si>
  <si>
    <t>https://www.realtor.com/realestateandhomes-detail/9301-Darby-Ave_Northridge_CA_91325_M26507-06423</t>
  </si>
  <si>
    <t>Kevin Driscoll</t>
  </si>
  <si>
    <t>kevindriscollhomes@gmail.com</t>
  </si>
  <si>
    <t>3833 Goodland Ave, Studio City, CA 91604</t>
  </si>
  <si>
    <t>https://www.realtor.com/realestateandhomes-detail/3833-Goodland-Ave_Studio-City_CA_91604_M14136-60314</t>
  </si>
  <si>
    <t>Tim Hyde</t>
  </si>
  <si>
    <t>timhyde@coldwellbanker.com</t>
  </si>
  <si>
    <t>4195 Alonzo Ave, Encino, CA 91316</t>
  </si>
  <si>
    <t>https://www.realtor.com/realestateandhomes-detail/4195-Alonzo-Ave_Encino_CA_91316_M22029-12561</t>
  </si>
  <si>
    <t>Dee Celik</t>
  </si>
  <si>
    <t>deecelik@hotmail.com</t>
  </si>
  <si>
    <t>1545 Kelton Ave, Los Angeles, CA 90024</t>
  </si>
  <si>
    <t>https://www.realtor.com/realestateandhomes-detail/1545-Kelton-Ave_Los-Angeles_CA_90024_M24096-79754</t>
  </si>
  <si>
    <t>Andrew Spitz</t>
  </si>
  <si>
    <t>Andrew@AndrewSpitz.com</t>
  </si>
  <si>
    <t>5064 Encino Ave, Encino, CA 91316</t>
  </si>
  <si>
    <t>https://www.realtor.com/realestateandhomes-detail/5064-Encino-Ave_Encino_CA_91316_M20618-49596</t>
  </si>
  <si>
    <t>Ron Maman</t>
  </si>
  <si>
    <t>rmaman00@hotmail.com</t>
  </si>
  <si>
    <t>Rodeo Realty, Inc.</t>
  </si>
  <si>
    <t>Anahit Yeghiazaryan</t>
  </si>
  <si>
    <t>yeghiazaryan.anahit@gmail.com</t>
  </si>
  <si>
    <t>18371 Lahey St, Porter Ranch, CA 91326</t>
  </si>
  <si>
    <t>https://www.realtor.com/realestateandhomes-detail/18371-Lahey-St_Porter-Ranch_CA_91326_M20444-64071</t>
  </si>
  <si>
    <t>Mona Golastani</t>
  </si>
  <si>
    <t>mona.golastanigroup@gmail.com</t>
  </si>
  <si>
    <t>5717 Melvin Ave, Tarzana, CA 91356</t>
  </si>
  <si>
    <t>https://www.realtor.com/realestateandhomes-detail/5717-Melvin-Ave_Tarzana_CA_91356_M10993-56206</t>
  </si>
  <si>
    <t>Hanna Massachi</t>
  </si>
  <si>
    <t>HANNAMASSACHI@YAHOO.COM</t>
  </si>
  <si>
    <t>12800 N Watt Ln Unit D, Sylmar, CA 91342</t>
  </si>
  <si>
    <t>https://www.realtor.com/realestateandhomes-detail/12800-N-Watt-Ln-Unit-D_Sylmar_CA_91342_M99200-81047</t>
  </si>
  <si>
    <t>Leo Bato</t>
  </si>
  <si>
    <t>leobato.realtor@gmail.com</t>
  </si>
  <si>
    <t>The ONE Luxury Properties</t>
  </si>
  <si>
    <t>24008 Schoenborn St, West Hills, CA 91304</t>
  </si>
  <si>
    <t>https://www.realtor.com/realestateandhomes-detail/24008-Schoenborn-St_West-Hills_CA_91304_M15797-83690</t>
  </si>
  <si>
    <t>Jim Sandoval</t>
  </si>
  <si>
    <t>jsandoval@parkregency.com</t>
  </si>
  <si>
    <t>Alex Carranza</t>
  </si>
  <si>
    <t>alex.carranza@camoves.com</t>
  </si>
  <si>
    <t>5000 Petit Ave, Encino, CA 91436</t>
  </si>
  <si>
    <t>https://www.realtor.com/realestateandhomes-detail/5000-Petit-Ave_Encino_CA_91436_M21641-44609</t>
  </si>
  <si>
    <t>Angel Salvador</t>
  </si>
  <si>
    <t>angelgsalvador@gmail.com</t>
  </si>
  <si>
    <t>2608 Carman Crest Dr, Los Angeles, CA 90068</t>
  </si>
  <si>
    <t>https://www.realtor.com/realestateandhomes-detail/2608-Carman-Crest-Dr_Los-Angeles_CA_90068_M11697-50868</t>
  </si>
  <si>
    <t>Mike Bary</t>
  </si>
  <si>
    <t>mikebaryre@gmail.com</t>
  </si>
  <si>
    <t>9506 Hunt Club Ln, Chatsworth, CA 91311</t>
  </si>
  <si>
    <t>https://www.realtor.com/realestateandhomes-detail/9506-Hunt-Club-Ln_Chatsworth_CA_91311_M21725-09850</t>
  </si>
  <si>
    <t>Oren David Mordkowitz</t>
  </si>
  <si>
    <t>oren@orenestates.com</t>
  </si>
  <si>
    <t>7692 9th St Unit 105, Buena Park, CA 90621</t>
  </si>
  <si>
    <t>https://www.realtor.com/realestateandhomes-detail/7692-9th-St-105_Buena-Park_CA_90621_M92008-45606</t>
  </si>
  <si>
    <t>Jiayu Lin</t>
  </si>
  <si>
    <t>janinelin711@gmail.com</t>
  </si>
  <si>
    <t>SALA Homes &amp; Associates</t>
  </si>
  <si>
    <t>2388 Via Mariposa W Unit 3E, Laguna Woods, CA 92637</t>
  </si>
  <si>
    <t>https://www.realtor.com/realestateandhomes-detail/2388-Via-Mariposa-W-Unit-3E_Laguna-Woods_CA_92637_M23828-59190</t>
  </si>
  <si>
    <t>Trevor Craig</t>
  </si>
  <si>
    <t>trevorcraigre@gmail.com</t>
  </si>
  <si>
    <t>534 S Coronado St, Los Angeles, CA 90057</t>
  </si>
  <si>
    <t>https://www.realtor.com/realestateandhomes-detail/534-S-Coronado-St_Los-Angeles_CA_90057_M26607-06199</t>
  </si>
  <si>
    <t>Raymond A. Rodriguez IV</t>
  </si>
  <si>
    <t>ray@lucrumre.com</t>
  </si>
  <si>
    <t>3617 Ocean View Ave, Los Angeles, CA 90066</t>
  </si>
  <si>
    <t>https://www.realtor.com/realestateandhomes-detail/3617-Ocean-View-Ave_Los-Angeles_CA_90066_M20915-14510</t>
  </si>
  <si>
    <t>Clarence Clemons</t>
  </si>
  <si>
    <t>cclemons@tjh.com</t>
  </si>
  <si>
    <t>5104 Solace Dr, Rancho Mission Viejo, CA 92694</t>
  </si>
  <si>
    <t>https://www.realtor.com/realestateandhomes-detail/5104-Solace-Dr_Rancho-Mission-Viejo_CA_92694_M99752-99730</t>
  </si>
  <si>
    <t>Diana Maldonado</t>
  </si>
  <si>
    <t>dmaldonado@trumarkco.com</t>
  </si>
  <si>
    <t>Trumark Construction Services Inc</t>
  </si>
  <si>
    <t>11 Shoreview, Newport Coast, CA 92657</t>
  </si>
  <si>
    <t>https://www.realtor.com/realestateandhomes-detail/11-Shoreview_Newport-Coast_CA_92657_M15114-51802</t>
  </si>
  <si>
    <t>Joe Poppingo</t>
  </si>
  <si>
    <t>joe@daftariangroup.com</t>
  </si>
  <si>
    <t>Roxanne Ellison</t>
  </si>
  <si>
    <t>roxanne@thebowenteam.com</t>
  </si>
  <si>
    <t>2121 Valhalla Dr, North Tustin, CA 92705</t>
  </si>
  <si>
    <t>https://www.realtor.com/realestateandhomes-detail/2121-Valhalla-Dr_North-Tustin_CA_92705_M25206-36728</t>
  </si>
  <si>
    <t>Charlie Price</t>
  </si>
  <si>
    <t>charlie@harcourtspremier.com</t>
  </si>
  <si>
    <t>511 Seaward Rd, Corona Del Mar, CA 92625</t>
  </si>
  <si>
    <t>https://www.realtor.com/realestateandhomes-detail/511-Seaward-Rd_Corona-Del-Mar_CA_92625_M21764-72451</t>
  </si>
  <si>
    <t>Jason Foreman</t>
  </si>
  <si>
    <t>jason@valiaoc.com</t>
  </si>
  <si>
    <t>Lisa Post-Letourneau</t>
  </si>
  <si>
    <t>lisalagunawoods@gmail.com</t>
  </si>
  <si>
    <t>28291 Williams Canyon Rd, Silverado, CA 92676</t>
  </si>
  <si>
    <t>https://www.realtor.com/realestateandhomes-detail/28291-Williams-Canyon-Rd_Silverado_CA_92676_M92754-57936</t>
  </si>
  <si>
    <t>Rob Weiss</t>
  </si>
  <si>
    <t>robweisshomes@gmail.com</t>
  </si>
  <si>
    <t>77 Calle Aragon Unit C, Laguna Woods, CA 92637</t>
  </si>
  <si>
    <t>https://www.realtor.com/realestateandhomes-detail/77-Calle-Aragon-Unit-C_Laguna-Woods_CA_92637_M90167-15619</t>
  </si>
  <si>
    <t>Jill Daley-Burnett</t>
  </si>
  <si>
    <t>jill@jillburnett.com</t>
  </si>
  <si>
    <t>11441 Stanford Ave, Garden Grove, CA 92840</t>
  </si>
  <si>
    <t>https://www.realtor.com/realestateandhomes-detail/11441-Stanford-Ave_Garden-Grove_CA_92840_M14354-15217</t>
  </si>
  <si>
    <t>Harold L Crook</t>
  </si>
  <si>
    <t>harry.parkplace@gmail.com</t>
  </si>
  <si>
    <t>Homesmart, Evergreen Realty</t>
  </si>
  <si>
    <t>Tina Ahmed</t>
  </si>
  <si>
    <t>tmf11567@gmail.com</t>
  </si>
  <si>
    <t>30932 Steeplechase Dr, San Juan Capistrano, CA 92675</t>
  </si>
  <si>
    <t>https://www.realtor.com/realestateandhomes-detail/30932-Steeplechase-Dr_San-Juan-Capistrano_CA_92675_M16338-20318</t>
  </si>
  <si>
    <t>Carter Kaufman</t>
  </si>
  <si>
    <t>carter@carterkaufman.com</t>
  </si>
  <si>
    <t>31502 Mar Vista Ave, Laguna Beach, CA 92651</t>
  </si>
  <si>
    <t>https://www.realtor.com/realestateandhomes-detail/31502-Mar-Vista-Ave_Laguna-Beach_CA_92651_M20466-62578</t>
  </si>
  <si>
    <t>Marcus Skenderian</t>
  </si>
  <si>
    <t>Marcus@MarcusSkenderian.com</t>
  </si>
  <si>
    <t>115 Della, Irvine, CA 92602</t>
  </si>
  <si>
    <t>https://www.realtor.com/realestateandhomes-detail/115-Della_Irvine_CA_92602_M90153-47492</t>
  </si>
  <si>
    <t>Dan Liu</t>
  </si>
  <si>
    <t>1780313757@qq.com</t>
  </si>
  <si>
    <t>2214 Rutgers Dr, Costa Mesa, CA 92627</t>
  </si>
  <si>
    <t>https://www.realtor.com/realestateandhomes-detail/2214-Rutgers-Dr_Costa-Mesa_CA_92627_M23528-32805</t>
  </si>
  <si>
    <t>Nicholas Skawinski</t>
  </si>
  <si>
    <t>nickskawinski@firstteam.com</t>
  </si>
  <si>
    <t>22839 Ridge Route Ln, Lake Forest, CA 92630</t>
  </si>
  <si>
    <t>https://www.realtor.com/realestateandhomes-detail/22839-Ridge-Route-Ln_Lake-Forest_CA_92630_M22114-53799</t>
  </si>
  <si>
    <t>Aren Kizirian</t>
  </si>
  <si>
    <t>kiziriana03@gmail.com</t>
  </si>
  <si>
    <t>George Barr</t>
  </si>
  <si>
    <t>barrteam@earthlink.net</t>
  </si>
  <si>
    <t>Eric Perez</t>
  </si>
  <si>
    <t>Homes@OwnItNowRealty.com</t>
  </si>
  <si>
    <t>40 Waterspout, Irvine, CA 92620</t>
  </si>
  <si>
    <t>https://www.realtor.com/realestateandhomes-detail/40-Waterspout_Irvine_CA_92620_M23316-31083</t>
  </si>
  <si>
    <t>Meredith Drews</t>
  </si>
  <si>
    <t>mdrews@meredithdrews.com</t>
  </si>
  <si>
    <t>Jennifer Cahill</t>
  </si>
  <si>
    <t>jennifercahill@aaroe.com</t>
  </si>
  <si>
    <t>201 E 21st St # 92627, Ca, CA 92627</t>
  </si>
  <si>
    <t>https://www.realtor.com/realestateandhomes-detail/201-E-21st-St-92627_Costa-Mesa_CA_92627_M94221-77237</t>
  </si>
  <si>
    <t>Stephanie Peterson</t>
  </si>
  <si>
    <t>speterson@arborrealestate.com</t>
  </si>
  <si>
    <t>Arbor Real Estate</t>
  </si>
  <si>
    <t>Micah Flores</t>
  </si>
  <si>
    <t>micahjflores@gmail.com</t>
  </si>
  <si>
    <t>Amanda Horton</t>
  </si>
  <si>
    <t>amanda@amandahorton.com</t>
  </si>
  <si>
    <t>10181 Overhill Dr, North Tustin, CA 92705</t>
  </si>
  <si>
    <t>https://www.realtor.com/realestateandhomes-detail/10181-Overhill-Dr_North-Tustin_CA_92705_M28653-70664</t>
  </si>
  <si>
    <t>Cindi Karamzadeh</t>
  </si>
  <si>
    <t>cindi@realestatebycindi.com</t>
  </si>
  <si>
    <t>2 Agostino, Newport Coast, CA 92657</t>
  </si>
  <si>
    <t>https://www.realtor.com/realestateandhomes-detail/2-Agostino_Newport-Coast_CA_92657_M22284-20564</t>
  </si>
  <si>
    <t>Jason Bradshaw</t>
  </si>
  <si>
    <t>jason.bradshaw@camoves.com</t>
  </si>
  <si>
    <t>25713 Sycamore Pointe, Lake Forest, CA 92630</t>
  </si>
  <si>
    <t>https://www.realtor.com/realestateandhomes-detail/25713-Sycamore-Pointe_Lake-Forest_CA_92630_M98504-39863</t>
  </si>
  <si>
    <t>Mike and Mary Jafarkhani Team</t>
  </si>
  <si>
    <t>info@mikeandmary.com</t>
  </si>
  <si>
    <t>RE/MAX Connections</t>
  </si>
  <si>
    <t>208 Radial, Irvine, CA 92618</t>
  </si>
  <si>
    <t>https://www.realtor.com/realestateandhomes-detail/208-Radial_Irvine_CA_92618_M22713-59823</t>
  </si>
  <si>
    <t>Zujie Yan</t>
  </si>
  <si>
    <t>zujieyan@gmail.com</t>
  </si>
  <si>
    <t>Golden Orange Realty Inc.</t>
  </si>
  <si>
    <t>Shant Kizirian</t>
  </si>
  <si>
    <t>shant@kizirianproperties.com</t>
  </si>
  <si>
    <t>4825 Galendo St, Woodland Hills, CA 91364</t>
  </si>
  <si>
    <t>https://www.realtor.com/realestateandhomes-detail/4825-Galendo-St_Woodland-Hills_CA_91364_M18962-51120</t>
  </si>
  <si>
    <t>Deanna D'Egidio</t>
  </si>
  <si>
    <t>dd@harcourtsusa.com</t>
  </si>
  <si>
    <t>Harcourts Plus</t>
  </si>
  <si>
    <t>Leon Li</t>
  </si>
  <si>
    <t>leon.lee@pandarealtygroup.com</t>
  </si>
  <si>
    <t>23502 White Dove Dr, Lake Forest, CA 92630</t>
  </si>
  <si>
    <t>https://www.realtor.com/realestateandhomes-detail/23502-White-Dove-Dr_Lake-Forest_CA_92630_M22470-80040</t>
  </si>
  <si>
    <t>Kevin Hill</t>
  </si>
  <si>
    <t>kevinhill@bhhscal.com</t>
  </si>
  <si>
    <t>21466 Cypresswood, Lake Forest, CA 92630</t>
  </si>
  <si>
    <t>https://www.realtor.com/realestateandhomes-detail/21466-Cypresswood_Lake-Forest_CA_92630_M16462-96185</t>
  </si>
  <si>
    <t>Brian Morales</t>
  </si>
  <si>
    <t>brian.morales@redfin.com</t>
  </si>
  <si>
    <t>1130 S Urbana St, Anaheim, CA 92805</t>
  </si>
  <si>
    <t>https://www.realtor.com/realestateandhomes-detail/1130-S-Urbana-St_Anaheim_CA_92805_M97423-30964</t>
  </si>
  <si>
    <t>Peter Au</t>
  </si>
  <si>
    <t>peterau@bhhscal.com</t>
  </si>
  <si>
    <t>1612 W 226th St, Torrance, CA 90501</t>
  </si>
  <si>
    <t>https://www.realtor.com/realestateandhomes-detail/1612-W-226th-St_Torrance_CA_90501_M18169-86980</t>
  </si>
  <si>
    <t>Lou Wu</t>
  </si>
  <si>
    <t>lou@lou-edwards.com</t>
  </si>
  <si>
    <t>LOU EDWARDS FINANCIAL INC.</t>
  </si>
  <si>
    <t>4033 Moore St, Los Angeles, CA 90066</t>
  </si>
  <si>
    <t>https://www.realtor.com/realestateandhomes-detail/4033-Moore-St_Los-Angeles_CA_90066_M14769-99117</t>
  </si>
  <si>
    <t>Suihan (Sue) Liu</t>
  </si>
  <si>
    <t>1230lsh@gmail.com</t>
  </si>
  <si>
    <t>Pacific Sterling Realty</t>
  </si>
  <si>
    <t>2408 Watermarke Pl, Irvine, CA 92612</t>
  </si>
  <si>
    <t>https://www.realtor.com/realestateandhomes-detail/2408-Watermarke-Pl_Irvine_CA_92612_M20289-50831</t>
  </si>
  <si>
    <t>Duy Nguyen</t>
  </si>
  <si>
    <t>duynguyenrealtor@yahoo.com</t>
  </si>
  <si>
    <t>Superior Real Estate Group</t>
  </si>
  <si>
    <t>9 Leesbury Ct, Newport Beach, CA 92660</t>
  </si>
  <si>
    <t>https://www.realtor.com/realestateandhomes-detail/9-Leesbury-Ct_Newport-Beach_CA_92660_M12712-82708</t>
  </si>
  <si>
    <t>Garrett Rau</t>
  </si>
  <si>
    <t>grau@compass.com</t>
  </si>
  <si>
    <t>221 Stage, Irvine, CA 92618</t>
  </si>
  <si>
    <t>https://www.realtor.com/realestateandhomes-detail/221-Stage_Irvine_CA_92618_M93220-29012</t>
  </si>
  <si>
    <t>Liping Yi</t>
  </si>
  <si>
    <t>yilicoffee@gmail.com</t>
  </si>
  <si>
    <t>REAL BROKER, LLC</t>
  </si>
  <si>
    <t>34096 Alcazar Dr, Dana Point, CA 92629</t>
  </si>
  <si>
    <t>https://www.realtor.com/realestateandhomes-detail/34096-Alcazar-Dr_Dana-Point_CA_92629_M10805-63563</t>
  </si>
  <si>
    <t>Richie Dobbs</t>
  </si>
  <si>
    <t>richiedobbs1@gmail.com</t>
  </si>
  <si>
    <t>Re/Max First Class</t>
  </si>
  <si>
    <t>421 N Rose St, Anaheim, CA 92805</t>
  </si>
  <si>
    <t>https://www.realtor.com/realestateandhomes-detail/421-N-Rose-St_Anaheim_CA_92805_M28646-98654</t>
  </si>
  <si>
    <t>Jason Kirklen</t>
  </si>
  <si>
    <t>jason@vantiscap.com</t>
  </si>
  <si>
    <t>Kirklen Investment Group</t>
  </si>
  <si>
    <t>1210 Kings Rd, Newport Beach, CA 92663</t>
  </si>
  <si>
    <t>https://www.realtor.com/realestateandhomes-detail/1210-Kings-Rd_Newport-Beach_CA_92663_M16931-20582</t>
  </si>
  <si>
    <t>Aideen Makky</t>
  </si>
  <si>
    <t>aideen@westleywilliams.com</t>
  </si>
  <si>
    <t>Harcourts Prime Properties</t>
  </si>
  <si>
    <t>629 Balboa Ave, Laguna Beach, CA 92651</t>
  </si>
  <si>
    <t>https://www.realtor.com/realestateandhomes-detail/629-Balboa-Ave_Laguna-Beach_CA_92651_M90260-08475</t>
  </si>
  <si>
    <t>Amy Calvert</t>
  </si>
  <si>
    <t>amy@timsmithgroup.com</t>
  </si>
  <si>
    <t>12545 N Silver Spur Ct, Porter Ranch, CA 91326</t>
  </si>
  <si>
    <t>https://www.realtor.com/realestateandhomes-detail/12545-N-Silver-Spur-Ct_Porter-Ranch_CA_91326_M93840-20683</t>
  </si>
  <si>
    <t>Jie Zheng</t>
  </si>
  <si>
    <t>zhengjie1983@gmail.com</t>
  </si>
  <si>
    <t>1354 E 108th St, Los Angeles, CA 90059</t>
  </si>
  <si>
    <t>https://www.realtor.com/realestateandhomes-detail/1354-E-108th-St_Los-Angeles_CA_90059_M25215-01549</t>
  </si>
  <si>
    <t>Barbara Isabel</t>
  </si>
  <si>
    <t>barbara.isabel@theagencyre.com</t>
  </si>
  <si>
    <t>421 S La Fayette Park Pl Apt 711, Los Angeles, CA 90057</t>
  </si>
  <si>
    <t>https://www.realtor.com/realestateandhomes-detail/421-S-La-Fayette-Park-Pl-Apt-711_Los-Angeles_CA_90057_M16544-64152</t>
  </si>
  <si>
    <t>Isaac Song</t>
  </si>
  <si>
    <t>isaacsong1@gmail.com</t>
  </si>
  <si>
    <t>Level Real Estate</t>
  </si>
  <si>
    <t>877 Francisco St Apt 1207, Los Angeles, CA 90017</t>
  </si>
  <si>
    <t>https://www.realtor.com/realestateandhomes-detail/877-Francisco-St-Apt-1207_Los-Angeles_CA_90017_M29668-28886</t>
  </si>
  <si>
    <t>Cheong Lee</t>
  </si>
  <si>
    <t>yourrealtorclaire@gmail.com</t>
  </si>
  <si>
    <t>Keller Williams Luxury</t>
  </si>
  <si>
    <t>4412 Lockwood Ave, Los Angeles, CA 90029</t>
  </si>
  <si>
    <t>https://www.realtor.com/realestateandhomes-detail/4412-Lockwood-Ave_Los-Angeles_CA_90029_M23777-93833</t>
  </si>
  <si>
    <t>Josh Kaplan</t>
  </si>
  <si>
    <t>josh.kaplan@transwestern.com</t>
  </si>
  <si>
    <t>1251 S Wilton Pl, Los Angeles, CA 90019</t>
  </si>
  <si>
    <t>https://www.realtor.com/realestateandhomes-detail/1251-S-Wilton-Pl_Los-Angeles_CA_90019_M19416-22665</t>
  </si>
  <si>
    <t>KISEON IM</t>
  </si>
  <si>
    <t>ym6077@gmail.com</t>
  </si>
  <si>
    <t>Ivy Realty Co.</t>
  </si>
  <si>
    <t>400 S Broadway Apt 2010, Los Angeles, CA 90013</t>
  </si>
  <si>
    <t>https://www.realtor.com/realestateandhomes-detail/400-S-Broadway-Apt-2010_Los-Angeles_CA_90013_M99246-88950</t>
  </si>
  <si>
    <t>Tim Rojas</t>
  </si>
  <si>
    <t>timrojas@nestseekers.com</t>
  </si>
  <si>
    <t>Nest Seekers Beverly Hills</t>
  </si>
  <si>
    <t>1850 E Industrial St Apt 211, Los Angeles, CA 90021</t>
  </si>
  <si>
    <t>https://www.realtor.com/realestateandhomes-detail/1850-E-Industrial-St-Apt-211_Los-Angeles_CA_90021_M14720-92974</t>
  </si>
  <si>
    <t>Michael Robleto</t>
  </si>
  <si>
    <t>michael.robleto@compass.com</t>
  </si>
  <si>
    <t>12215 San Fernando Rd, Sylmar, CA 91342</t>
  </si>
  <si>
    <t>https://www.realtor.com/realestateandhomes-detail/12215-San-Fernando-Rd_Sylmar_CA_91342_M15363-47408</t>
  </si>
  <si>
    <t>Jesse Munoz</t>
  </si>
  <si>
    <t>jesse.munoz@colliers.com</t>
  </si>
  <si>
    <t>Lee &amp; Associates Investments Services Group Inc</t>
  </si>
  <si>
    <t>177 S Gardner St, Los Angeles, CA 90036</t>
  </si>
  <si>
    <t>https://www.realtor.com/realestateandhomes-detail/177-S-Gardner-St_Los-Angeles_CA_90036_M19210-06375</t>
  </si>
  <si>
    <t>Kay Kyung Park</t>
  </si>
  <si>
    <t>kaypark777@yahoo.com</t>
  </si>
  <si>
    <t>2010 Ridgeview Ave, Los Angeles, CA 90041</t>
  </si>
  <si>
    <t>https://www.realtor.com/realestateandhomes-detail/2010-Ridgeview-Ave_Los-Angeles_CA_90041_M13053-87526</t>
  </si>
  <si>
    <t>Dave Robles – Think Real Estate Group</t>
  </si>
  <si>
    <t>dave@daverobles.com</t>
  </si>
  <si>
    <t>861 S Windsor Blvd Apt 103, Los Angeles, CA 90005</t>
  </si>
  <si>
    <t>https://www.realtor.com/realestateandhomes-detail/861-S-Windsor-Blvd-Apt-103_Los-Angeles_CA_90005_M22358-37281</t>
  </si>
  <si>
    <t>Arthur Yoon</t>
  </si>
  <si>
    <t>ayoonhome@gmail.com</t>
  </si>
  <si>
    <t>851 Crenshaw Blvd, Los Angeles, CA 90005</t>
  </si>
  <si>
    <t>https://www.realtor.com/realestateandhomes-detail/851-Crenshaw-Blvd_Los-Angeles_CA_90005_M22526-06955</t>
  </si>
  <si>
    <t>Young Hong</t>
  </si>
  <si>
    <t>younghong@newstarrealty.com</t>
  </si>
  <si>
    <t>NEW STAR REALTY &amp; INVESTMENTS</t>
  </si>
  <si>
    <t>Brock Harris</t>
  </si>
  <si>
    <t>brock@brockandlori.com</t>
  </si>
  <si>
    <t>4632 Lexington Ave Unit 5, Los Angeles, CA 90029</t>
  </si>
  <si>
    <t>https://www.realtor.com/realestateandhomes-detail/4632-Lexington-Ave-5_Los-Angeles_CA_90029_M11768-62455</t>
  </si>
  <si>
    <t>Jon Emrani</t>
  </si>
  <si>
    <t>jon.emrani@marcusmillichap.com</t>
  </si>
  <si>
    <t>1912 W Liberty Ct, Los Angeles, CA 90026</t>
  </si>
  <si>
    <t>https://www.realtor.com/realestateandhomes-detail/1912-W-Liberty-Ct_Los-Angeles_CA_90026_M15386-22493</t>
  </si>
  <si>
    <t>Reza Badakhshan</t>
  </si>
  <si>
    <t>Reza.Badakhshan@engelvoelkers.com</t>
  </si>
  <si>
    <t>7080 Mulholland Dr, Los Angeles, CA 90068</t>
  </si>
  <si>
    <t>https://www.realtor.com/realestateandhomes-detail/7080-Mulholland-Dr_Los-Angeles_CA_90068_M26576-42350</t>
  </si>
  <si>
    <t>Merse Kollo</t>
  </si>
  <si>
    <t>mkollo@remax.net</t>
  </si>
  <si>
    <t>Forward One</t>
  </si>
  <si>
    <t>3451 E 14th St, Los Angeles, CA 90023</t>
  </si>
  <si>
    <t>https://www.realtor.com/realestateandhomes-detail/3451-E-14th-St_Los-Angeles_CA_90023_M95236-60036</t>
  </si>
  <si>
    <t>Bill Gross</t>
  </si>
  <si>
    <t>Bill@BillGrossProbate.com</t>
  </si>
  <si>
    <t>eXp Realty of California Inc</t>
  </si>
  <si>
    <t>11749 Goshen Ave Apt 102, Los Angeles, CA 90049</t>
  </si>
  <si>
    <t>https://www.realtor.com/realestateandhomes-detail/11749-Goshen-Ave-Apt-102_Los-Angeles_CA_90049_M15119-26294</t>
  </si>
  <si>
    <t>Nanette S Iggulden</t>
  </si>
  <si>
    <t>nanette@nanetteiggulden.com</t>
  </si>
  <si>
    <t>1781 S Garth Ave, Los Angeles, CA 90035</t>
  </si>
  <si>
    <t>https://www.realtor.com/realestateandhomes-detail/1781-S-Garth-Ave_Los-Angeles_CA_90035_M18587-77326</t>
  </si>
  <si>
    <t>Rebecca Davis</t>
  </si>
  <si>
    <t>rebecca@sfjgroup.com</t>
  </si>
  <si>
    <t>1113 Palms Blvd, Venice, CA 90291</t>
  </si>
  <si>
    <t>https://www.realtor.com/realestateandhomes-detail/1113-Palms-Blvd_Venice_CA_90291_M18798-81222</t>
  </si>
  <si>
    <t>Trevor Levin</t>
  </si>
  <si>
    <t>tlevin@nourmand.com</t>
  </si>
  <si>
    <t>1239 Gordon St, Los Angeles, CA 90038</t>
  </si>
  <si>
    <t>https://www.realtor.com/realestateandhomes-detail/1239-Gordon-St_Los-Angeles_CA_90038_M25217-70634</t>
  </si>
  <si>
    <t>Melissa Zee Group</t>
  </si>
  <si>
    <t>melissa@melissazeegroup.com</t>
  </si>
  <si>
    <t>8217 Billowvista Dr, Playa Del Rey, CA 90293</t>
  </si>
  <si>
    <t>https://www.realtor.com/realestateandhomes-detail/8217-Billowvista-Dr_Playa-Del-Rey_CA_90293_M18005-64775</t>
  </si>
  <si>
    <t>Vineendra Jain</t>
  </si>
  <si>
    <t>vinny@virainvestments.com</t>
  </si>
  <si>
    <t>Ingenious Asset Group, Inc.</t>
  </si>
  <si>
    <t>1333 S Beverly Glen Blvd Ph A, Los Angeles, CA 90024</t>
  </si>
  <si>
    <t>https://www.realtor.com/realestateandhomes-detail/1333-S-Beverly-Glen-Blvd-Ph-A_Los-Angeles_CA_90024_M27736-82197</t>
  </si>
  <si>
    <t>Lucas Cintra</t>
  </si>
  <si>
    <t>lucas@aaronkirman.com</t>
  </si>
  <si>
    <t>1727 Bellevue Ave, Los Angeles, CA 90026</t>
  </si>
  <si>
    <t>https://www.realtor.com/realestateandhomes-detail/1727-Bellevue-Ave_Los-Angeles_CA_90026_M29626-21567</t>
  </si>
  <si>
    <t>Jennifer Avellan</t>
  </si>
  <si>
    <t>Jennifer@TheAvellanGroup.com</t>
  </si>
  <si>
    <t>Keller Williams Realty Downey</t>
  </si>
  <si>
    <t>313 E 36th St, Los Angeles, CA 90011</t>
  </si>
  <si>
    <t>https://www.realtor.com/realestateandhomes-detail/313-E-36th-St_Los-Angeles_CA_90011_M27003-57254</t>
  </si>
  <si>
    <t>Ellie Kohansedgh</t>
  </si>
  <si>
    <t>ellie.kohansedgh@camoves.com</t>
  </si>
  <si>
    <t>2510 3rd Ave, Los Angeles, CA 90018</t>
  </si>
  <si>
    <t>https://www.realtor.com/realestateandhomes-detail/2510-3rd-Ave_Los-Angeles_CA_90018_M14122-97218</t>
  </si>
  <si>
    <t>Courtney Self</t>
  </si>
  <si>
    <t>courtney@huntermason.com</t>
  </si>
  <si>
    <t>Harcourts Hunter Mason Realty</t>
  </si>
  <si>
    <t>1058 Vista Grande Dr, Pacific Palisades, CA 90272</t>
  </si>
  <si>
    <t>https://www.realtor.com/realestateandhomes-detail/1058-Vista-Grande-Dr_Pacific-Palisades_CA_90272_M10374-13208</t>
  </si>
  <si>
    <t>Ali Rassekhi</t>
  </si>
  <si>
    <t>ali.rassekhi@camoves.com</t>
  </si>
  <si>
    <t>6882 Arizona Ave, Los Angeles, CA 90045</t>
  </si>
  <si>
    <t>https://www.realtor.com/realestateandhomes-detail/6882-Arizona-Ave_Los-Angeles_CA_90045_M14663-63803</t>
  </si>
  <si>
    <t>Rosanna Eusebio</t>
  </si>
  <si>
    <t>rosanna@rosannaeusebio.com</t>
  </si>
  <si>
    <t>Harrison Trachman</t>
  </si>
  <si>
    <t>Harrison@TrachmanRealty.com</t>
  </si>
  <si>
    <t>238 N Gower St, Los Angeles, CA 90004</t>
  </si>
  <si>
    <t>https://www.realtor.com/realestateandhomes-detail/238-N-Gower-St_Los-Angeles_CA_90004_M20470-77059</t>
  </si>
  <si>
    <t>Keyanna Rees</t>
  </si>
  <si>
    <t>keyanna.rees@sothebys.realty</t>
  </si>
  <si>
    <t>222 N Manhattan Pl, Los Angeles, CA 90004</t>
  </si>
  <si>
    <t>https://www.realtor.com/realestateandhomes-detail/222-N-Manhattan-Pl_Los-Angeles_CA_90004_M93966-47887</t>
  </si>
  <si>
    <t>David Abas</t>
  </si>
  <si>
    <t>david@davidabas.com</t>
  </si>
  <si>
    <t>Naomi Kalkanoff</t>
  </si>
  <si>
    <t>Naomi.Kalkanoff@evrealestate.com</t>
  </si>
  <si>
    <t>877 Francisco St Apt 2811, Los Angeles, CA 90017</t>
  </si>
  <si>
    <t>https://www.realtor.com/realestateandhomes-detail/877-Francisco-St-Apt-2811_Los-Angeles_CA_90017_M94689-82368</t>
  </si>
  <si>
    <t>Anh Tran</t>
  </si>
  <si>
    <t>anh@dlxco.com</t>
  </si>
  <si>
    <t>16767 Bollinger Dr, Pacific Palisades, CA 90272</t>
  </si>
  <si>
    <t>https://www.realtor.com/realestateandhomes-detail/16767-Bollinger-Dr_Pacific-Palisades_CA_90272_M17377-25683</t>
  </si>
  <si>
    <t>Nick Collins</t>
  </si>
  <si>
    <t>nick@theagencyre.com</t>
  </si>
  <si>
    <t>1545 Amalfi Dr, Pacific Palisades, CA 90272</t>
  </si>
  <si>
    <t>https://www.realtor.com/realestateandhomes-detail/1545-Amalfi-Dr_Pacific-Palisades_CA_90272_M25729-31943</t>
  </si>
  <si>
    <t>Chih-Hua Kuo</t>
  </si>
  <si>
    <t>amy21369@gmail.com</t>
  </si>
  <si>
    <t>8790 Appian Way, Los Angeles, CA 90046</t>
  </si>
  <si>
    <t>https://www.realtor.com/realestateandhomes-detail/8790-Appian-Way_Los-Angeles_CA_90046_M93983-50703</t>
  </si>
  <si>
    <t>Jake Hurwitz</t>
  </si>
  <si>
    <t>jake@hurwitzjamesco.com</t>
  </si>
  <si>
    <t>Hurwitz James Company</t>
  </si>
  <si>
    <t>1398 Miller Dr, Los Angeles, CA 90069</t>
  </si>
  <si>
    <t>https://www.realtor.com/realestateandhomes-detail/1398-Miller-Dr_Los-Angeles_CA_90069_M29077-34000</t>
  </si>
  <si>
    <t>Spencer Payson</t>
  </si>
  <si>
    <t>spencer.payson1@gmail.com</t>
  </si>
  <si>
    <t>20340 W Aberdeen Ln, Porter Ranch, CA 91326</t>
  </si>
  <si>
    <t>https://www.realtor.com/realestateandhomes-detail/20340-W-Aberdeen-Ln_Porter-Ranch_CA_91326_M94914-71217</t>
  </si>
  <si>
    <t>Omar Helmand</t>
  </si>
  <si>
    <t>labroker@ajicorporate.com</t>
  </si>
  <si>
    <t>1000 N Norman Pl, Los Angeles, CA 90049</t>
  </si>
  <si>
    <t>https://www.realtor.com/realestateandhomes-detail/1000-N-Norman-Pl_Los-Angeles_CA_90049_M25823-97492</t>
  </si>
  <si>
    <t>Ashkan Ghovanlo</t>
  </si>
  <si>
    <t>ashkan@ashkang.com</t>
  </si>
  <si>
    <t>932 Fedora St, Los Angeles, CA 90006</t>
  </si>
  <si>
    <t>https://www.realtor.com/realestateandhomes-detail/932-Fedora-St_Los-Angeles_CA_90006_M20436-30830</t>
  </si>
  <si>
    <t>Yong Woo Steven Bae</t>
  </si>
  <si>
    <t>sswbae@gmail.com</t>
  </si>
  <si>
    <t>High Equity Real Estate Service, Inc.</t>
  </si>
  <si>
    <t>23003 Mariano St, Woodland Hills, CA 91367</t>
  </si>
  <si>
    <t>https://www.realtor.com/realestateandhomes-detail/23003-Mariano-St_Woodland-Hills_CA_91367_M19040-62447</t>
  </si>
  <si>
    <t>Ron Galam Real Estate Group</t>
  </si>
  <si>
    <t>rongalam@gmail.com</t>
  </si>
  <si>
    <t>1868 N Doheny Dr, Los Angeles, CA 90069</t>
  </si>
  <si>
    <t>https://www.realtor.com/realestateandhomes-detail/1868-N-Doheny-Dr_Los-Angeles_CA_90069_M94107-08586</t>
  </si>
  <si>
    <t>Andrew Hurley</t>
  </si>
  <si>
    <t>ajwhurley@gmail.com</t>
  </si>
  <si>
    <t>20226 Lorenzana Dr, Woodland Hills, CA 91364</t>
  </si>
  <si>
    <t>https://www.realtor.com/realestateandhomes-detail/20226-Lorenzana-Dr_Woodland-Hills_CA_91364_M17174-49128</t>
  </si>
  <si>
    <t>Tracy Tutor</t>
  </si>
  <si>
    <t>Tracy.Tutor@elliman.com</t>
  </si>
  <si>
    <t>4540 Wawona St, Los Angeles, CA 90065</t>
  </si>
  <si>
    <t>https://www.realtor.com/realestateandhomes-detail/4540-Wawona-St_Los-Angeles_CA_90065_M12242-96835</t>
  </si>
  <si>
    <t>David Lee Ruest</t>
  </si>
  <si>
    <t>David@JohnnyAndDavidTeam.com</t>
  </si>
  <si>
    <t>108 S Formosa Ave, Los Angeles, CA 90036</t>
  </si>
  <si>
    <t>https://www.realtor.com/realestateandhomes-detail/108-S-Formosa-Ave_Los-Angeles_CA_90036_M20129-04190</t>
  </si>
  <si>
    <t>Laura Barton</t>
  </si>
  <si>
    <t>laura@rossandbarton.com</t>
  </si>
  <si>
    <t>2904 Beach Ave, Venice, CA 90291</t>
  </si>
  <si>
    <t>https://www.realtor.com/realestateandhomes-detail/2904-Beach-Ave_Venice_CA_90291_M14191-62375</t>
  </si>
  <si>
    <t>Dena Luciano</t>
  </si>
  <si>
    <t>Dena.Luciano@elliman.com</t>
  </si>
  <si>
    <t>269 S Norton Ave, Los Angeles, CA 90004</t>
  </si>
  <si>
    <t>https://www.realtor.com/realestateandhomes-detail/269-S-Norton-Ave_Los-Angeles_CA_90004_M20205-80974</t>
  </si>
  <si>
    <t>John Kostrey - The Kostrey Collection</t>
  </si>
  <si>
    <t>john@thekostreycollection.com</t>
  </si>
  <si>
    <t>Nourmand &amp; Associates - Hollywood</t>
  </si>
  <si>
    <t>11531 Orum Rd, Los Angeles, CA 90049</t>
  </si>
  <si>
    <t>https://www.realtor.com/realestateandhomes-detail/11531-Orum-Rd_Los-Angeles_CA_90049_M17980-96999</t>
  </si>
  <si>
    <t>Stefan Pommpuy</t>
  </si>
  <si>
    <t>stefan@kw.com</t>
  </si>
  <si>
    <t>4333 Vantage Ave, Studio City, CA 91604</t>
  </si>
  <si>
    <t>https://www.realtor.com/realestateandhomes-detail/4333-Vantage-Ave_Studio-City_CA_91604_M10787-14022</t>
  </si>
  <si>
    <t>Peter Maurice</t>
  </si>
  <si>
    <t>peter@petermaurice.com</t>
  </si>
  <si>
    <t>Tregg Rustad</t>
  </si>
  <si>
    <t>tregg@treggrustad.com</t>
  </si>
  <si>
    <t>658 California Ave, Venice, CA 90291</t>
  </si>
  <si>
    <t>https://www.realtor.com/realestateandhomes-detail/658-California-Ave_Venice_CA_90291_M97589-55110</t>
  </si>
  <si>
    <t>Adam Katz</t>
  </si>
  <si>
    <t>Aumi.Katz@CAMoves.com</t>
  </si>
  <si>
    <t>15649 Woodfield Pl, Sherman Oaks, CA 91403</t>
  </si>
  <si>
    <t>https://www.realtor.com/realestateandhomes-detail/15649-Woodfield-Pl_Sherman-Oaks_CA_91403_M28363-10413</t>
  </si>
  <si>
    <t>Shokoh Nasab</t>
  </si>
  <si>
    <t>snhrealty@gmail.com</t>
  </si>
  <si>
    <t>4343 Forman Ave, Toluca Lake, CA 91602</t>
  </si>
  <si>
    <t>https://www.realtor.com/realestateandhomes-detail/4343-Forman-Ave_Toluca-Lake_CA_91602_M20948-81743</t>
  </si>
  <si>
    <t>Jonathan Mogharrabi</t>
  </si>
  <si>
    <t>jonathanmogharrabi@yahoo.com</t>
  </si>
  <si>
    <t>11827 Wagner St, Culver City, CA 90230</t>
  </si>
  <si>
    <t>https://www.realtor.com/realestateandhomes-detail/11827-Wagner-St_Culver-City_CA_90230_M11956-78517</t>
  </si>
  <si>
    <t>Christopher Soffer</t>
  </si>
  <si>
    <t>csoffer@kw.com</t>
  </si>
  <si>
    <t>11408 W Calvert St, North Hollywood, CA 91606</t>
  </si>
  <si>
    <t>https://www.realtor.com/realestateandhomes-detail/11408-Calvert-St_North-Hollywood_CA_91606_M95436-31563</t>
  </si>
  <si>
    <t>Lori Mikell</t>
  </si>
  <si>
    <t>lori@oneavenueproperties.com</t>
  </si>
  <si>
    <t>933 S Sycamore Ave, Los Angeles, CA 90036</t>
  </si>
  <si>
    <t>https://www.realtor.com/realestateandhomes-detail/933-S-Sycamore-Ave_Los-Angeles_CA_90036_M19766-15385</t>
  </si>
  <si>
    <t>Megan Charboneau</t>
  </si>
  <si>
    <t>megancharboneau@aaroe.com</t>
  </si>
  <si>
    <t>12320 Stanwood Dr, Los Angeles, CA 90066</t>
  </si>
  <si>
    <t>https://www.realtor.com/realestateandhomes-detail/12320-Stanwood-Dr_Los-Angeles_CA_90066_M21738-72243</t>
  </si>
  <si>
    <t>Diana Tangalakis</t>
  </si>
  <si>
    <t>d7tangalakis@yahoo.com</t>
  </si>
  <si>
    <t>Cavanaugh Realtors</t>
  </si>
  <si>
    <t>738 Palms Blvd, Venice, CA 90291</t>
  </si>
  <si>
    <t>https://www.realtor.com/realestateandhomes-detail/738-Palms-Blvd_Venice_CA_90291_M18809-99200</t>
  </si>
  <si>
    <t>Scott Moore</t>
  </si>
  <si>
    <t>Scott.Moore@elliman.com</t>
  </si>
  <si>
    <t>9600 Van Nuys Blvd Unit 210, Panorama City, CA 91402</t>
  </si>
  <si>
    <t>https://www.realtor.com/realestateandhomes-detail/9600-Van-Nuys-Blvd-Unit-210_Panorama-City_CA_91402_M26548-17049</t>
  </si>
  <si>
    <t>Rodrigo Suerte Felipe</t>
  </si>
  <si>
    <t>mydreamhouse777@gmail.com</t>
  </si>
  <si>
    <t>1200 Bel Air Rd, Los Angeles, CA 90077</t>
  </si>
  <si>
    <t>https://www.realtor.com/realestateandhomes-detail/1200-Bel-Air-Rd_Los-Angeles_CA_90077_M17839-35941</t>
  </si>
  <si>
    <t>Nicole DeLeo</t>
  </si>
  <si>
    <t>NICOLE@SFJGROUP.COM</t>
  </si>
  <si>
    <t>714 N LA Jolla Ave, Los Angeles, CA 90046</t>
  </si>
  <si>
    <t>https://www.realtor.com/realestateandhomes-detail/714-N-LA-Jolla-Ave_Los-Angeles_CA_90046_M24165-31613</t>
  </si>
  <si>
    <t>Lea Porter</t>
  </si>
  <si>
    <t>lea@leaporter.com</t>
  </si>
  <si>
    <t>Rick Tyberg</t>
  </si>
  <si>
    <t>Rick.Tyberg@elliman.com</t>
  </si>
  <si>
    <t>1937 Delta St, Los Angeles, CA 90026</t>
  </si>
  <si>
    <t>https://www.realtor.com/realestateandhomes-detail/1937-Delta-St_Los-Angeles_CA_90026_M23349-30571</t>
  </si>
  <si>
    <t>ANGEL HERNANDEZ</t>
  </si>
  <si>
    <t>ajhernandez861@att.net</t>
  </si>
  <si>
    <t>Berkshire Hathaway HomeServices California Properties -</t>
  </si>
  <si>
    <t>10550 Western Ave Spc 86, Stanton, CA 90680</t>
  </si>
  <si>
    <t>https://www.realtor.com/realestateandhomes-detail/10550-Western-Ave-Spc-86_Stanton_CA_90680_M22613-42287</t>
  </si>
  <si>
    <t>Corey Crawford</t>
  </si>
  <si>
    <t>corey@bearflagbrokers.com</t>
  </si>
  <si>
    <t>Bear Flag Broker</t>
  </si>
  <si>
    <t>Levik Stephan</t>
  </si>
  <si>
    <t>levik.stephan@camoves.com</t>
  </si>
  <si>
    <t>100 S Doheny Dr Apt 501, Los Angeles, CA 90048</t>
  </si>
  <si>
    <t>https://www.realtor.com/realestateandhomes-detail/100-S-Doheny-Dr-Apt-501_Los-Angeles_CA_90048_M20440-53688</t>
  </si>
  <si>
    <t>Cesar Melendrez</t>
  </si>
  <si>
    <t>Cmelendrez@Jasonmitchellgroup.com</t>
  </si>
  <si>
    <t>8000 Oceanus Dr, Los Angeles, CA 90046</t>
  </si>
  <si>
    <t>https://www.realtor.com/realestateandhomes-detail/8000-Oceanus-Dr_Los-Angeles_CA_90046_M95110-33948</t>
  </si>
  <si>
    <t>Kirby Gillon</t>
  </si>
  <si>
    <t>kirbygillon@gmail.com</t>
  </si>
  <si>
    <t>8621 Lookout Mountain Ave, Los Angeles, CA 90046</t>
  </si>
  <si>
    <t>https://www.realtor.com/realestateandhomes-detail/8621-Lookout-Mountain-Ave_Los-Angeles_CA_90046_M12107-27202</t>
  </si>
  <si>
    <t>Thomas O'Rourke</t>
  </si>
  <si>
    <t>torourkela@gmail.com</t>
  </si>
  <si>
    <t>4609 Goodland Ave, Studio City, CA 91604</t>
  </si>
  <si>
    <t>https://www.realtor.com/realestateandhomes-detail/4609-Goodland-Ave_Studio-City_CA_91604_M29844-31162</t>
  </si>
  <si>
    <t>Dustin Nicholas</t>
  </si>
  <si>
    <t>dustin@nicholaspropertygroup.com</t>
  </si>
  <si>
    <t>Nicholas Property Group</t>
  </si>
  <si>
    <t>12047 Summit Cir, Beverly Hills, CA 90210</t>
  </si>
  <si>
    <t>https://www.realtor.com/realestateandhomes-detail/12047-Summit-Cir_Beverly-Hills_CA_90210_M13954-00002</t>
  </si>
  <si>
    <t>Michael Maguire</t>
  </si>
  <si>
    <t>michael.maguire@compass.com</t>
  </si>
  <si>
    <t>11709 Wetherby Ln, Los Angeles, CA 90077</t>
  </si>
  <si>
    <t>https://www.realtor.com/realestateandhomes-detail/11709-Wetherby-Ln_Los-Angeles_CA_90077_M19590-85871</t>
  </si>
  <si>
    <t>Hosana Saputra</t>
  </si>
  <si>
    <t>hsaputra@surterreproperties.com</t>
  </si>
  <si>
    <t>Surterre Properties - Newport Beach</t>
  </si>
  <si>
    <t>Lulu Knowlton</t>
  </si>
  <si>
    <t>luluxu518@yahoo.com</t>
  </si>
  <si>
    <t>8346 Manitoba St Apt 11, Playa Del Rey, CA 90293</t>
  </si>
  <si>
    <t>https://www.realtor.com/realestateandhomes-detail/8346-Manitoba-St-Apt-11_Playa-Del-Rey_CA_90293_M21087-12390</t>
  </si>
  <si>
    <t>Robert Renshaw</t>
  </si>
  <si>
    <t>rob@robrenshaw.com</t>
  </si>
  <si>
    <t>REMAX COMMERCIAL &amp; INVESTMENT REALTY</t>
  </si>
  <si>
    <t>2654 Roscomare Rd, Los Angeles, CA 90077</t>
  </si>
  <si>
    <t>https://www.realtor.com/realestateandhomes-detail/2654-Roscomare-Rd_Los-Angeles_CA_90077_M22288-91295</t>
  </si>
  <si>
    <t>Nadia Saad</t>
  </si>
  <si>
    <t>nadia@jnsaad.com</t>
  </si>
  <si>
    <t>1042 S Crescent Heights Blvd, Los Angeles, CA 90035</t>
  </si>
  <si>
    <t>https://www.realtor.com/realestateandhomes-detail/1042-S-Crescent-Heights-Blvd_Los-Angeles_CA_90035_M20992-94868</t>
  </si>
  <si>
    <t>Daniel Banchik</t>
  </si>
  <si>
    <t>d.banchik@att.net</t>
  </si>
  <si>
    <t>10634 Whipple St, Toluca Lake, CA 91602</t>
  </si>
  <si>
    <t>https://www.realtor.com/realestateandhomes-detail/10634-Whipple-St_Toluca-Lake_CA_91602_M20658-51574</t>
  </si>
  <si>
    <t>Michelle Schwartz</t>
  </si>
  <si>
    <t>mschwartz@theagencyre.com</t>
  </si>
  <si>
    <t>12963 Runway Rd Apt 121, Playa Vista, CA 90094</t>
  </si>
  <si>
    <t>https://www.realtor.com/realestateandhomes-detail/12963-Runway-Rd-Apt-121_Playa-Vista_CA_90094_M19877-85232</t>
  </si>
  <si>
    <t>Ziari Aguilar</t>
  </si>
  <si>
    <t>ziari@ziarirealesate.com</t>
  </si>
  <si>
    <t>10517 Cushdon Ave, Los Angeles, CA 90064</t>
  </si>
  <si>
    <t>https://www.realtor.com/realestateandhomes-detail/10517-Cushdon-Ave_Los-Angeles_CA_90064_M21951-39723</t>
  </si>
  <si>
    <t>Derek Hirano</t>
  </si>
  <si>
    <t>derek@hiranohomes.com</t>
  </si>
  <si>
    <t>7 Latimer Rd, Santa Monica, CA 90402</t>
  </si>
  <si>
    <t>https://www.realtor.com/realestateandhomes-detail/7-Latimer-Rd_Santa-Monica_CA_90402_M27508-75351</t>
  </si>
  <si>
    <t>David Offer</t>
  </si>
  <si>
    <t>doffer@davidoffer.com</t>
  </si>
  <si>
    <t>5000 S Centinela Ave Apt 236, Los Angeles, CA 90066</t>
  </si>
  <si>
    <t>https://www.realtor.com/realestateandhomes-detail/5000-S-Centinela-Ave-Apt-236_Los-Angeles_CA_90066_M12618-25565</t>
  </si>
  <si>
    <t>Amerigo Furlan</t>
  </si>
  <si>
    <t>amerigofurlan@hotmail.com</t>
  </si>
  <si>
    <t>If Realty</t>
  </si>
  <si>
    <t>Stephen Shapiro</t>
  </si>
  <si>
    <t>ss@weahomes.com</t>
  </si>
  <si>
    <t>620 S Gramercy Pl Apt 130, Los Angeles, CA 90005</t>
  </si>
  <si>
    <t>https://www.realtor.com/realestateandhomes-detail/620-S-Gramercy-Pl-Apt-130_Los-Angeles_CA_90005_M12800-90982</t>
  </si>
  <si>
    <t>Christina Blue</t>
  </si>
  <si>
    <t>CBlueHomes@gmail.com</t>
  </si>
  <si>
    <t>Schick Ave, Los Angeles, CA 90063</t>
  </si>
  <si>
    <t>https://www.realtor.com/realestateandhomes-detail/Schick-Ave_Los-Angeles-City_CA_90063_M24228-51077</t>
  </si>
  <si>
    <t>Dean A Thomas</t>
  </si>
  <si>
    <t>dean@erealestatecorporation.com</t>
  </si>
  <si>
    <t>E Real Estate Corp.</t>
  </si>
  <si>
    <t>265 Shoveler, Irvine, CA 92618</t>
  </si>
  <si>
    <t>https://www.realtor.com/realestateandhomes-detail/265-Shoveler_Irvine_CA_92618_M95259-64969</t>
  </si>
  <si>
    <t>Caroline Jin</t>
  </si>
  <si>
    <t>carolinejinhome@gmail.com</t>
  </si>
  <si>
    <t>7619 W 85th St, Playa Del Rey, CA 90293</t>
  </si>
  <si>
    <t>https://www.realtor.com/realestateandhomes-detail/7619-W-85th-St_Playa-Del-Rey_CA_90293_M17559-57442</t>
  </si>
  <si>
    <t>Will Robertson</t>
  </si>
  <si>
    <t>wrobertsonhomes@gmail.com</t>
  </si>
  <si>
    <t>1054 W 23rd St, San Pedro, CA 90731</t>
  </si>
  <si>
    <t>https://www.realtor.com/realestateandhomes-detail/1054-W-23rd-St_San-Pedro_CA_90731_M11860-51829</t>
  </si>
  <si>
    <t>Riley Eastman</t>
  </si>
  <si>
    <t>riley@rileyeastmanrealty.com</t>
  </si>
  <si>
    <t>440 E 27th St, Los Angeles, CA 90011</t>
  </si>
  <si>
    <t>https://www.realtor.com/realestateandhomes-detail/440-E-27th-St_Los-Angeles_CA_90011_M27876-71357</t>
  </si>
  <si>
    <t>Logan Altman</t>
  </si>
  <si>
    <t>logan@altmanapartments.com</t>
  </si>
  <si>
    <t>Altman Apartments Llc</t>
  </si>
  <si>
    <t>51 27th Ave, Venice, CA 90291</t>
  </si>
  <si>
    <t>https://www.realtor.com/realestateandhomes-detail/51-27th-Ave_Venice_CA_90291_M13473-50903</t>
  </si>
  <si>
    <t>Denise Moreno</t>
  </si>
  <si>
    <t>denise@privatebeverlyhills.com</t>
  </si>
  <si>
    <t>Private Beverly Hills</t>
  </si>
  <si>
    <t>16472 W Sunset Blvd, Pacific Palisades, CA 90272</t>
  </si>
  <si>
    <t>https://www.realtor.com/realestateandhomes-detail/16472-W-Sunset-Blvd_Pacific-Palisades_CA_90272_M28379-28592</t>
  </si>
  <si>
    <t>Sergio Flores</t>
  </si>
  <si>
    <t>Sergio.Flores@camoves.com</t>
  </si>
  <si>
    <t>7681 Willow Glen Rd, Los Angeles, CA 90046</t>
  </si>
  <si>
    <t>https://www.realtor.com/realestateandhomes-detail/7681-Willow-Glen-Rd_Los-Angeles_CA_90046_M10886-60177</t>
  </si>
  <si>
    <t>Benjamin Bacal</t>
  </si>
  <si>
    <t>benbacal@gmail.com</t>
  </si>
  <si>
    <t>Revel Real Estate</t>
  </si>
  <si>
    <t>229 E 75th St, Los Angeles, CA 90003</t>
  </si>
  <si>
    <t>https://www.realtor.com/realestateandhomes-detail/229-E-75th-St_Los-Angeles_CA_90003_M12230-81580</t>
  </si>
  <si>
    <t>Melissa Urena</t>
  </si>
  <si>
    <t>melissa@jhhre.com</t>
  </si>
  <si>
    <t>2275 W 25th St Spc 18, San Pedro, CA 90732</t>
  </si>
  <si>
    <t>https://www.realtor.com/realestateandhomes-detail/2275-W-25th-St-Spc-18_San-Pedro_CA_90732_M90790-92241</t>
  </si>
  <si>
    <t>SHERI McHALE</t>
  </si>
  <si>
    <t>sherimchale10@gmail.com</t>
  </si>
  <si>
    <t>900 S Longwood Ave, Los Angeles, CA 90019</t>
  </si>
  <si>
    <t>https://www.realtor.com/realestateandhomes-detail/900-S-Longwood-Ave_Los-Angeles_CA_90019_M21617-89854</t>
  </si>
  <si>
    <t>Jennifer Winston</t>
  </si>
  <si>
    <t>jen@jenwinston.com</t>
  </si>
  <si>
    <t>60 Rotunda, Irvine, CA 92620</t>
  </si>
  <si>
    <t>https://www.realtor.com/realestateandhomes-detail/60-Rotunda_Irvine_CA_92620_M93251-25723</t>
  </si>
  <si>
    <t>Yanmeng Lu</t>
  </si>
  <si>
    <t>yolandalurealty@gmail.com</t>
  </si>
  <si>
    <t>12426 Woodgreen St, Los Angeles, CA 90066</t>
  </si>
  <si>
    <t>https://www.realtor.com/realestateandhomes-detail/12426-Woodgreen-St_Los-Angeles_CA_90066_M19906-72869</t>
  </si>
  <si>
    <t>Ron Wynn</t>
  </si>
  <si>
    <t>ron@ronwynnsells.com</t>
  </si>
  <si>
    <t>1123 E 67th St, Los Angeles, CA 90001</t>
  </si>
  <si>
    <t>https://www.realtor.com/realestateandhomes-detail/1123-E-67th-St_Los-Angeles_CA_90001_M28130-44389</t>
  </si>
  <si>
    <t>Roxana Solis</t>
  </si>
  <si>
    <t>roxy@ernest-cooper.com</t>
  </si>
  <si>
    <t>Ernest &amp; Cooper Realty</t>
  </si>
  <si>
    <t>2275 W 25th St Spc 12, San Pedro, CA 90732</t>
  </si>
  <si>
    <t>https://www.realtor.com/realestateandhomes-detail/2275-W-25th-St-Spc-12_San-Pedro_CA_90732_M10884-32208</t>
  </si>
  <si>
    <t>Danielle Whitney Moore</t>
  </si>
  <si>
    <t>Danielle.Whitney@TeamWhitney.com</t>
  </si>
  <si>
    <t>439 N Commonwealth Ave, Los Angeles, CA 90004</t>
  </si>
  <si>
    <t>https://www.realtor.com/realestateandhomes-detail/439-N-Commonwealth-Ave_Los-Angeles_CA_90004_M19582-67854</t>
  </si>
  <si>
    <t>Atsuko Kimoto</t>
  </si>
  <si>
    <t>Atsu@SellsHomesLA.com</t>
  </si>
  <si>
    <t>Sotheby's International Realty - Los Feliz Brokerage</t>
  </si>
  <si>
    <t>6202 Pacific Ave, Playa Del Rey, CA 90293</t>
  </si>
  <si>
    <t>https://www.realtor.com/realestateandhomes-detail/6202-Pacific-Ave_Playa-Del-Rey_CA_90293_M20613-26221</t>
  </si>
  <si>
    <t>Michael Libow</t>
  </si>
  <si>
    <t>mjlibow@gmail.com</t>
  </si>
  <si>
    <t>11813 Woodbine Ave, Los Angeles, CA 90066</t>
  </si>
  <si>
    <t>https://www.realtor.com/realestateandhomes-detail/11813-Woodbine-St_Los-Angeles_CA_90066_M99739-45666</t>
  </si>
  <si>
    <t>Tyler Kunkle</t>
  </si>
  <si>
    <t>tylerk@haltonpardee.com</t>
  </si>
  <si>
    <t>3644 Almeria St, San Pedro, CA 90731</t>
  </si>
  <si>
    <t>https://www.realtor.com/realestateandhomes-detail/3644-Almeria-St_San-Pedro_CA_90731_M13019-48910</t>
  </si>
  <si>
    <t>Gary Krill</t>
  </si>
  <si>
    <t>gary@sellnsp.com</t>
  </si>
  <si>
    <t>5424 Franklin Ave, Los Angeles, CA 90027</t>
  </si>
  <si>
    <t>https://www.realtor.com/realestateandhomes-detail/5424-Franklin-Ave_Los-Angeles_CA_90027_M90192-63096</t>
  </si>
  <si>
    <t>Tamas Batyi</t>
  </si>
  <si>
    <t>tamas.batyi@compass.com</t>
  </si>
  <si>
    <t>1016 Stradella Rd, Los Angeles, CA 90077</t>
  </si>
  <si>
    <t>https://www.realtor.com/realestateandhomes-detail/1016-Stradella-Rd_Los-Angeles_CA_90077_M28191-83913</t>
  </si>
  <si>
    <t>LUXERNR</t>
  </si>
  <si>
    <t>inquire@laluxuries.com</t>
  </si>
  <si>
    <t>LA Luxuries</t>
  </si>
  <si>
    <t>1357 N Las Palmas Ave, Los Angeles, CA 90028</t>
  </si>
  <si>
    <t>https://www.realtor.com/realestateandhomes-detail/1357-N-Las-Palmas-Ave_Los-Angeles_CA_90028_M26641-26534</t>
  </si>
  <si>
    <t>Mark Cianciulli</t>
  </si>
  <si>
    <t>mark@cremgroupre.com</t>
  </si>
  <si>
    <t>The CREM Group</t>
  </si>
  <si>
    <t>Marci Kays</t>
  </si>
  <si>
    <t>mkays@TheAgencyRE.com</t>
  </si>
  <si>
    <t>4063 Abourne Rd Apt B, Los Angeles, CA 90008</t>
  </si>
  <si>
    <t>https://www.realtor.com/realestateandhomes-detail/4063-Abourne-Rd-Apt-B_Los-Angeles_CA_90008_M25971-79231</t>
  </si>
  <si>
    <t>Andre Morgan</t>
  </si>
  <si>
    <t>morganandrem@aol.com</t>
  </si>
  <si>
    <t>11202 Canton Dr, Studio City, CA 91604</t>
  </si>
  <si>
    <t>https://www.realtor.com/realestateandhomes-detail/11202-Canton-Dr_Studio-City_CA_91604_M12944-09297</t>
  </si>
  <si>
    <t>Sara Franco</t>
  </si>
  <si>
    <t>sara.franco@compass.com</t>
  </si>
  <si>
    <t>Julie A. Mollo</t>
  </si>
  <si>
    <t>julie.mollo@compass.com</t>
  </si>
  <si>
    <t>8106 S Normandie Ave, Los Angeles, CA 90044</t>
  </si>
  <si>
    <t>https://www.realtor.com/realestateandhomes-detail/8106-S-Normandie-Ave_Los-Angeles_CA_90044_M15459-16440</t>
  </si>
  <si>
    <t>Erica Carter Walden</t>
  </si>
  <si>
    <t>ericacarterrealestate@gmail.com</t>
  </si>
  <si>
    <t>Jennifer Eckert</t>
  </si>
  <si>
    <t>jeneckert1@gmail.com</t>
  </si>
  <si>
    <t>6763 Case Ave, North Hollywood, CA 91606</t>
  </si>
  <si>
    <t>https://www.realtor.com/realestateandhomes-detail/6763-Case-Ave_North-Hollywood_CA_91606_M16512-42069</t>
  </si>
  <si>
    <t>Tyler Neale</t>
  </si>
  <si>
    <t>tyler@tylerneale.com</t>
  </si>
  <si>
    <t>225 W Adams Blvd, Los Angeles, CA 90007</t>
  </si>
  <si>
    <t>https://www.realtor.com/realestateandhomes-detail/225-W-Adams-Blvd_Los-Angeles_CA_90007_M27601-69092</t>
  </si>
  <si>
    <t>George Morales</t>
  </si>
  <si>
    <t>georgemoralesrealty@gmail.com</t>
  </si>
  <si>
    <t>7044 Scarborough Peak Dr, West Hills, CA 91307</t>
  </si>
  <si>
    <t>https://www.realtor.com/realestateandhomes-detail/7044-Scarborough-Peak-Dr_West-Hills_CA_91307_M15115-03009</t>
  </si>
  <si>
    <t>Michael and Kara Katz</t>
  </si>
  <si>
    <t>Michael@KatzGroupLA.com</t>
  </si>
  <si>
    <t>4451 Coronet Dr, Encino, CA 91316</t>
  </si>
  <si>
    <t>https://www.realtor.com/realestateandhomes-detail/4451-Coronet-Dr_Encino_CA_91316_M22250-11265</t>
  </si>
  <si>
    <t>Jose Prats</t>
  </si>
  <si>
    <t>jose@acme-re.com</t>
  </si>
  <si>
    <t>Character Homes</t>
  </si>
  <si>
    <t>Victoria Massengale</t>
  </si>
  <si>
    <t>victoriam@compass.com</t>
  </si>
  <si>
    <t>1215 W 39th Pl, Los Angeles, CA 90037</t>
  </si>
  <si>
    <t>https://www.realtor.com/realestateandhomes-detail/1215-W-39th-Pl_Los-Angeles_CA_90037_M28025-89107</t>
  </si>
  <si>
    <t>Justin Borges</t>
  </si>
  <si>
    <t>JustinBorges@kw.com</t>
  </si>
  <si>
    <t>eXp Realty of Greater Los Angeles</t>
  </si>
  <si>
    <t>620 S Gramercy Pl Apt 135, Los Angeles, CA 90005</t>
  </si>
  <si>
    <t>https://www.realtor.com/realestateandhomes-detail/620-S-Gramercy-Pl-Apt-135_Los-Angeles_CA_90005_M10062-50199</t>
  </si>
  <si>
    <t>Roddy de la Garza</t>
  </si>
  <si>
    <t>roddy@roddydelagarza.com</t>
  </si>
  <si>
    <t>Epique Realty</t>
  </si>
  <si>
    <t>4411 Los Feliz Blvd Apt 1104, Los Angeles, CA 90027</t>
  </si>
  <si>
    <t>https://www.realtor.com/realestateandhomes-detail/4411-Los-Feliz-Blvd-Apt-1104_Los-Angeles_CA_90027_M14308-73327</t>
  </si>
  <si>
    <t>Claudia Hipolito</t>
  </si>
  <si>
    <t>claudia.hipolito@camoves.com</t>
  </si>
  <si>
    <t>9 Macarthur Pl Unit 403, Santa Ana, CA 92707</t>
  </si>
  <si>
    <t>https://www.realtor.com/realestateandhomes-detail/9-Macarthur-Pl-Unit-403_Santa-Ana_CA_92707_M96306-31140</t>
  </si>
  <si>
    <t>Erin OConnor</t>
  </si>
  <si>
    <t>erin@theagencyre.com</t>
  </si>
  <si>
    <t>4314 LA Salle Ave, Los Angeles, CA 90062</t>
  </si>
  <si>
    <t>https://www.realtor.com/realestateandhomes-detail/4314-LA-Salle-Ave_Los-Angeles_CA_90062_M23619-93869</t>
  </si>
  <si>
    <t>Fernando Aguilar Jr.</t>
  </si>
  <si>
    <t>feraguilarjr@aol.com</t>
  </si>
  <si>
    <t>Keller Williams Pacific Estate</t>
  </si>
  <si>
    <t>8506 Oak Ct, Los Angeles, CA 90046</t>
  </si>
  <si>
    <t>https://www.realtor.com/realestateandhomes-detail/8506-Oak-Ct_Los-Angeles_CA_90046_M29401-18104</t>
  </si>
  <si>
    <t>Drew Smyth</t>
  </si>
  <si>
    <t>drew@smyth-properties.com</t>
  </si>
  <si>
    <t>4417 Gentry Ave, Valley Village, CA 91607</t>
  </si>
  <si>
    <t>https://www.realtor.com/realestateandhomes-detail/4417-Gentry-Ave_Valley-Village_CA_91607_M10114-11730</t>
  </si>
  <si>
    <t>Angelo Fierro</t>
  </si>
  <si>
    <t>asklosangelo@gmail.com</t>
  </si>
  <si>
    <t>2605 Forest Park Dr, Los Angeles, CA 90032</t>
  </si>
  <si>
    <t>https://www.realtor.com/realestateandhomes-detail/2605-Forest-Park-Dr_Los-Angeles_CA_90032_M94779-68798</t>
  </si>
  <si>
    <t>Victor Jackson</t>
  </si>
  <si>
    <t>victor@victorjackson.net</t>
  </si>
  <si>
    <t>Jackson Property Advisors</t>
  </si>
  <si>
    <t>3664 Oakfield Dr, Sherman Oaks, CA 91423</t>
  </si>
  <si>
    <t>https://www.realtor.com/realestateandhomes-detail/3664-Oakfield-Dr_Sherman-Oaks_CA_91423_M22812-81677</t>
  </si>
  <si>
    <t>Melodie Hart</t>
  </si>
  <si>
    <t>melodiehart@earthlink.net</t>
  </si>
  <si>
    <t>1624 Westerly Ter, Los Angeles, CA 90026</t>
  </si>
  <si>
    <t>https://www.realtor.com/realestateandhomes-detail/1624-Westerly-Ter_Los-Angeles_CA_90026_M29712-14255</t>
  </si>
  <si>
    <t>Viktor Aberg</t>
  </si>
  <si>
    <t>viktor.aaberg@elliman.com</t>
  </si>
  <si>
    <t>Jonathan Broberg</t>
  </si>
  <si>
    <t>jbroberg@theagencyre.com</t>
  </si>
  <si>
    <t>8118 S Western Ave, Los Angeles, CA 90047</t>
  </si>
  <si>
    <t>https://www.realtor.com/realestateandhomes-detail/8118-S-Western-Ave_Los-Angeles_CA_90047_M15442-02207</t>
  </si>
  <si>
    <t>Stefan Ignjatovic</t>
  </si>
  <si>
    <t>stefan.ignjatovic@marcusmillichap.com</t>
  </si>
  <si>
    <t>11222 Bellagio Rd, Los Angeles, CA 90049</t>
  </si>
  <si>
    <t>https://www.realtor.com/realestateandhomes-detail/11222-Bellagio-Rd_Los-Angeles_CA_90049_M17124-22598</t>
  </si>
  <si>
    <t>Brielle Bacal</t>
  </si>
  <si>
    <t>brielle@ciresocal.com</t>
  </si>
  <si>
    <t>1290 Angelo Dr, Beverly Hills, CA 90210</t>
  </si>
  <si>
    <t>https://www.realtor.com/realestateandhomes-detail/1290-Angelo-Dr_Beverly-Hills_CA_90210_M25590-83900</t>
  </si>
  <si>
    <t>Sam Collins</t>
  </si>
  <si>
    <t>sama2607@gmail.com</t>
  </si>
  <si>
    <t>24055 Paseo Del Lago Unit 1257, Laguna Woods, CA 92637</t>
  </si>
  <si>
    <t>https://www.realtor.com/realestateandhomes-detail/24055-Paseo-Del-Lago-Unit-1257_Laguna-Woods_CA_92637_M17073-06522</t>
  </si>
  <si>
    <t>Edward Renteria</t>
  </si>
  <si>
    <t>edrent123@gmail.com</t>
  </si>
  <si>
    <t>Pacific West Associates</t>
  </si>
  <si>
    <t>1213 W Brook St, Santa Ana, CA 92703</t>
  </si>
  <si>
    <t>https://www.realtor.com/realestateandhomes-detail/1213-W-Brook-St_Santa-Ana_CA_92703_M28138-35961</t>
  </si>
  <si>
    <t>Mike Marcu</t>
  </si>
  <si>
    <t>mike@mogharebi.com</t>
  </si>
  <si>
    <t>Mike Marcu, Broker</t>
  </si>
  <si>
    <t>415 E Vernon Ave, Los Angeles, CA 90011</t>
  </si>
  <si>
    <t>https://www.realtor.com/realestateandhomes-detail/415-E-Vernon-Ave_Los-Angeles_CA_90011_M25145-11999</t>
  </si>
  <si>
    <t>Vilma Flores</t>
  </si>
  <si>
    <t>vflores@calhomesrealty.com</t>
  </si>
  <si>
    <t>Calhomes Realty</t>
  </si>
  <si>
    <t>919 Glencliff St, La Habra, CA 90631</t>
  </si>
  <si>
    <t>https://www.realtor.com/realestateandhomes-detail/919-Glencliff-St_La-Habra_CA_90631_M28690-70142</t>
  </si>
  <si>
    <t>Ray Fernandez</t>
  </si>
  <si>
    <t>Ray@NextMoveCA.com</t>
  </si>
  <si>
    <t>NextMove Real Estate</t>
  </si>
  <si>
    <t>1418 Lindacrest Dr, Beverly Hills, CA 90210</t>
  </si>
  <si>
    <t>https://www.realtor.com/realestateandhomes-detail/1418-Lindacrest-Dr_Beverly-Hills_CA_90210_M17170-98661</t>
  </si>
  <si>
    <t>Aaron Mejia</t>
  </si>
  <si>
    <t>aaronmcmgmt@yahoo.com</t>
  </si>
  <si>
    <t>1460 Pelham Rd Unit M5106, Seal Beach, CA 90740</t>
  </si>
  <si>
    <t>https://www.realtor.com/realestateandhomes-detail/1460-Pelham-Rd-M5-106F_Seal-Beach_CA_90740_M92155-99667</t>
  </si>
  <si>
    <t>Gina Rojas</t>
  </si>
  <si>
    <t>ginamrojas@gmail.com</t>
  </si>
  <si>
    <t>1434 Scholarship, Irvine, CA 92612</t>
  </si>
  <si>
    <t>https://www.realtor.com/realestateandhomes-detail/1434-Scholarship_Irvine_CA_92612_M22085-10523</t>
  </si>
  <si>
    <t>FILIPINA OPENA</t>
  </si>
  <si>
    <t>Filipina.Opena@CBRealty.com</t>
  </si>
  <si>
    <t>13360 Del Monte Dr Unit M152, Seal Beach, CA 90740</t>
  </si>
  <si>
    <t>https://www.realtor.com/realestateandhomes-detail/13360-Del-Monte-Dr-M15-2C_Seal-Beach_CA_90740_M98950-46013</t>
  </si>
  <si>
    <t>John Webster</t>
  </si>
  <si>
    <t>johnwebster@firstteam.com</t>
  </si>
  <si>
    <t>1441 Homewood Rd # M596, Seal Beach, CA 90740</t>
  </si>
  <si>
    <t>https://www.realtor.com/realestateandhomes-detail/1441-Homewood-Rd-M5-96D_Seal-Beach_CA_90740_M97210-09510</t>
  </si>
  <si>
    <t>the SISTERS Leisure World Seal Beach</t>
  </si>
  <si>
    <t>guptonkw@aol.com</t>
  </si>
  <si>
    <t>11337 Nebraska Ave, Los Angeles, CA 90025</t>
  </si>
  <si>
    <t>https://www.realtor.com/realestateandhomes-detail/11337-Nebraska-Ave_Los-Angeles_CA_90025_M94761-57105</t>
  </si>
  <si>
    <t>Alvin Mullins</t>
  </si>
  <si>
    <t>alvinmullinsbroker@gmail.com</t>
  </si>
  <si>
    <t>Your Home Team Real Estate</t>
  </si>
  <si>
    <t>2981 Passmore Dr, Los Angeles, CA 90068</t>
  </si>
  <si>
    <t>https://www.realtor.com/realestateandhomes-detail/2981-Passmore-Dr_Los-Angeles_CA_90068_M24786-08477</t>
  </si>
  <si>
    <t>Edmar Costa</t>
  </si>
  <si>
    <t>Edmar.Costa@engelvoelkers.com</t>
  </si>
  <si>
    <t>Engel &amp; Volkers Beverly Hills</t>
  </si>
  <si>
    <t>17179-17181 Kingsbury, Granada Hills, CA 91344</t>
  </si>
  <si>
    <t>https://www.realtor.com/realestateandhomes-detail/17179-17181-Kingsbury_Granada-Hills_CA_91344_M93361-76488</t>
  </si>
  <si>
    <t>Nahed Benyamein</t>
  </si>
  <si>
    <t>nahedb1@msn.com</t>
  </si>
  <si>
    <t>Allstars Realty</t>
  </si>
  <si>
    <t>1 La Tuna Canyon Rd, Los Angeles, CA 91352</t>
  </si>
  <si>
    <t>https://www.realtor.com/realestateandhomes-detail/1-La-Tuna-Canyon-Rd_Los-Angeles_CA_91352_M94251-12132</t>
  </si>
  <si>
    <t>Albert Napitupulu</t>
  </si>
  <si>
    <t>albertpulusellshomes@gmail.com</t>
  </si>
  <si>
    <t>JASON MITCHELL REAL ESTATE CA.</t>
  </si>
  <si>
    <t>13044 Sky Valley Rd, Los Angeles, CA 90049</t>
  </si>
  <si>
    <t>https://www.realtor.com/realestateandhomes-detail/13044-Sky-Valley-Rd_Los-Angeles_CA_90049_M16905-73383</t>
  </si>
  <si>
    <t>Joaquin Padilla</t>
  </si>
  <si>
    <t>joaquin@alphonsobjorn.com</t>
  </si>
  <si>
    <t>12157 Memphis Ave, Sylmar, CA 91342</t>
  </si>
  <si>
    <t>https://www.realtor.com/realestateandhomes-detail/12157-Memphis-Ave_Sylmar_CA_91342_M18127-55813</t>
  </si>
  <si>
    <t>Emily Brooke</t>
  </si>
  <si>
    <t>emily@brookrealty.com</t>
  </si>
  <si>
    <t>1532 Maxwell Way, Costa Mesa, CA 92627</t>
  </si>
  <si>
    <t>https://www.realtor.com/realestateandhomes-detail/1532-Maxwell-Way_Costa-Mesa_CA_92627_M22756-52102</t>
  </si>
  <si>
    <t>Nick Dodd</t>
  </si>
  <si>
    <t>nick@kasere.com</t>
  </si>
  <si>
    <t>Brian Brooke</t>
  </si>
  <si>
    <t>brian@brookerealty.com</t>
  </si>
  <si>
    <t>11114 Willowbrook Ave, Los Angeles, CA 90059</t>
  </si>
  <si>
    <t>https://www.realtor.com/realestateandhomes-detail/11114-Willowbrook-Ave_Los-Angeles_CA_90059_M25074-89554</t>
  </si>
  <si>
    <t>Kris Garrido</t>
  </si>
  <si>
    <t>krisgarrido1@gmail.com</t>
  </si>
  <si>
    <t>Capital Management Realty, Inc</t>
  </si>
  <si>
    <t>114 Interstellar, Irvine, CA 92618</t>
  </si>
  <si>
    <t>https://www.realtor.com/realestateandhomes-detail/114-Interstellar_Irvine_CA_92618_M12118-36557</t>
  </si>
  <si>
    <t>Ming Li</t>
  </si>
  <si>
    <t>lmzwj0206@gmail.com</t>
  </si>
  <si>
    <t>2677 Roseview Ave, Los Angeles, CA 90065</t>
  </si>
  <si>
    <t>https://www.realtor.com/realestateandhomes-detail/2677-Roseview-Ave_Los-Angeles_CA_90065_M29591-35108</t>
  </si>
  <si>
    <t>Jimmy Mercado</t>
  </si>
  <si>
    <t>Jimmy@jimmylmercado.com</t>
  </si>
  <si>
    <t>ABC Realty</t>
  </si>
  <si>
    <t>1038 W 21st St, Los Angeles, CA 90007</t>
  </si>
  <si>
    <t>https://www.realtor.com/realestateandhomes-detail/1038-W-21st-St_Los-Angeles_CA_90007_M27355-36304</t>
  </si>
  <si>
    <t>alex Avilez</t>
  </si>
  <si>
    <t>alexavilez@alexavilez.com</t>
  </si>
  <si>
    <t>Top Producers Realty Partners</t>
  </si>
  <si>
    <t>Rui Dai</t>
  </si>
  <si>
    <t>ruidai19@gmail.com</t>
  </si>
  <si>
    <t>6622 5th Ave, Los Angeles, CA 90043</t>
  </si>
  <si>
    <t>https://www.realtor.com/realestateandhomes-detail/6622-5th-Ave_Los-Angeles_CA_90043_M20879-07937</t>
  </si>
  <si>
    <t>Ling Beh</t>
  </si>
  <si>
    <t>lc@etopbroker.com</t>
  </si>
  <si>
    <t>STRIVE REAL ESTATE</t>
  </si>
  <si>
    <t>4499 Via Marisol Apt 321, Los Angeles, CA 90042</t>
  </si>
  <si>
    <t>https://www.realtor.com/realestateandhomes-detail/4499-Via-Marisol-Apt-321_Los-Angeles_CA_90042_M18181-00587</t>
  </si>
  <si>
    <t>Hans Hagenmayer</t>
  </si>
  <si>
    <t>hans@teamprovident.com</t>
  </si>
  <si>
    <t>Teamprovident, Inc.</t>
  </si>
  <si>
    <t>2253 Martin Apt 107, Irvine, CA 92612</t>
  </si>
  <si>
    <t>https://www.realtor.com/realestateandhomes-detail/2253-Martin-Apt-107_Irvine_CA_92612_M23421-90674</t>
  </si>
  <si>
    <t>Larry Xiong</t>
  </si>
  <si>
    <t>larryxiong437@gmail.com</t>
  </si>
  <si>
    <t>MF Realty</t>
  </si>
  <si>
    <t>262 Sora, Irvine, CA 92618</t>
  </si>
  <si>
    <t>https://www.realtor.com/realestateandhomes-detail/262-Sora_Irvine_CA_92618_M98769-97571</t>
  </si>
  <si>
    <t>Ellen Lei Zhang</t>
  </si>
  <si>
    <t>ellez168@gmail.com</t>
  </si>
  <si>
    <t>7916 S Central Ave, Los Angeles, CA 90001</t>
  </si>
  <si>
    <t>https://www.realtor.com/realestateandhomes-detail/7916-S-Central-Ave_Los-Angeles_CA_90001_M93307-56168</t>
  </si>
  <si>
    <t>Deanna M Vela</t>
  </si>
  <si>
    <t>deannavelarealty@gmail.com</t>
  </si>
  <si>
    <t>eXp Realty of Southern Califor</t>
  </si>
  <si>
    <t>1938 N Phillips Way, Los Angeles, CA 90042</t>
  </si>
  <si>
    <t>https://www.realtor.com/realestateandhomes-detail/1938-Phillips-Way_Los-Angeles_CA_90042_M19826-98722</t>
  </si>
  <si>
    <t>Chuhui Huang</t>
  </si>
  <si>
    <t>achh88@gmail.com</t>
  </si>
  <si>
    <t>RE MAX Premier Properties</t>
  </si>
  <si>
    <t>1055 Las Pulgas Rd, Pacific Palisades, CA 90272</t>
  </si>
  <si>
    <t>https://www.realtor.com/realestateandhomes-detail/1055-Las-Pulgas-Rd_Pacific-Palisades_CA_90272_M10263-82489</t>
  </si>
  <si>
    <t>LEE GARY</t>
  </si>
  <si>
    <t>garylee988@gmail.com</t>
  </si>
  <si>
    <t>Coldwell Banker George Realty</t>
  </si>
  <si>
    <t>3333 Division St, Los Angeles, CA 90065</t>
  </si>
  <si>
    <t>https://www.realtor.com/realestateandhomes-detail/3333-Division-St_Los-Angeles_CA_90065_M11026-09012</t>
  </si>
  <si>
    <t>HENRY LIU</t>
  </si>
  <si>
    <t>hliu@liuinvestmentgroup.com</t>
  </si>
  <si>
    <t>GATEWAY PROPERTIES GROUP</t>
  </si>
  <si>
    <t>13744 Bessemer St, Valley Glen, CA 91401</t>
  </si>
  <si>
    <t>https://www.realtor.com/realestateandhomes-detail/13744-Bessemer-St_Valley-Glen_CA_91401_M15075-93233</t>
  </si>
  <si>
    <t>Vera Nelson</t>
  </si>
  <si>
    <t>vera.yourfavrealtor@gmail.com</t>
  </si>
  <si>
    <t>VISMAR REAL ESTATE</t>
  </si>
  <si>
    <t>1614 Viewmont Dr, Los Angeles, CA 90069</t>
  </si>
  <si>
    <t>https://www.realtor.com/realestateandhomes-detail/1614-Viewmont-Dr_Los-Angeles_CA_90069_M29253-98057</t>
  </si>
  <si>
    <t>Sandra Williams</t>
  </si>
  <si>
    <t>offers@harmonyestates.co</t>
  </si>
  <si>
    <t>537 28th Ave, Venice, CA 90291</t>
  </si>
  <si>
    <t>https://www.realtor.com/realestateandhomes-detail/537-28th-Ave_Venice_CA_90291_M14668-25515</t>
  </si>
  <si>
    <t>Amy Lee</t>
  </si>
  <si>
    <t>yma014@gmail.com</t>
  </si>
  <si>
    <t>2612 Marathon St Unit 1/2, Los Angeles, CA 90026</t>
  </si>
  <si>
    <t>https://www.realtor.com/realestateandhomes-detail/2612-Marathon-St-12_Los-Angeles_CA_90026_M99347-11269</t>
  </si>
  <si>
    <t>Jesse Ramos</t>
  </si>
  <si>
    <t>jesse.ramos@compass.com</t>
  </si>
  <si>
    <t>420 S San Pedro St Apt 306, Los Angeles, CA 90013</t>
  </si>
  <si>
    <t>https://www.realtor.com/realestateandhomes-detail/420-S-San-Pedro-St-Apt-306_Los-Angeles_CA_90013_M28014-51074</t>
  </si>
  <si>
    <t>Matthew Almeida</t>
  </si>
  <si>
    <t>therealtormatt23@gmail.com</t>
  </si>
  <si>
    <t>Re/Max Top Producers</t>
  </si>
  <si>
    <t>510 S Hewitt St Unit 107, Los Angeles, CA 90013</t>
  </si>
  <si>
    <t>https://www.realtor.com/realestateandhomes-detail/510-S-Hewitt-St-Unit-107_Los-Angeles_CA_90013_M22017-60129</t>
  </si>
  <si>
    <t>Jennifer Chan</t>
  </si>
  <si>
    <t>jenniferchan@prula.com</t>
  </si>
  <si>
    <t>3630 S Bear St Unit 67, Santa Ana, CA 92704</t>
  </si>
  <si>
    <t>https://www.realtor.com/realestateandhomes-detail/3630-S-Bear-St-67_Santa-Ana_CA_92704_M29846-83585</t>
  </si>
  <si>
    <t>Moein Asgharnejad Tehran</t>
  </si>
  <si>
    <t>moein@pacificartdesign.org</t>
  </si>
  <si>
    <t>3223 Rowena Ave, Los Angeles, CA 90027</t>
  </si>
  <si>
    <t>https://www.realtor.com/realestateandhomes-detail/3223-Rowena-Ave_Los-Angeles_CA_90027_M90311-94628</t>
  </si>
  <si>
    <t>Fred Glick</t>
  </si>
  <si>
    <t>fred@revolverealty.com</t>
  </si>
  <si>
    <t>Arrivva,Inc.</t>
  </si>
  <si>
    <t>15781 Clarendon St, Westminster, CA 92683</t>
  </si>
  <si>
    <t>https://www.realtor.com/realestateandhomes-detail/15781-Clarendon-St_Westminster_CA_92683_M11420-34973</t>
  </si>
  <si>
    <t>James Pham</t>
  </si>
  <si>
    <t>richfield238@yahoo.com</t>
  </si>
  <si>
    <t>Ascension Realty &amp; Investments</t>
  </si>
  <si>
    <t>7826 Topanga Canyon Blvd Apt 308, Canoga Park, CA 91304</t>
  </si>
  <si>
    <t>https://www.realtor.com/realestateandhomes-detail/7826-Topanga-Canyon-Blvd-Apt-308_Canoga-Park_CA_91304_M93121-30894</t>
  </si>
  <si>
    <t>Alison Taylor</t>
  </si>
  <si>
    <t>alitayrealestate@gmail.com</t>
  </si>
  <si>
    <t>Homesmart Evergreen Realty</t>
  </si>
  <si>
    <t>10626 Valley Spring Ln Unit 103, Toluca Lake, CA 91602</t>
  </si>
  <si>
    <t>https://www.realtor.com/realestateandhomes-detail/10626-Valley-Spring-Ln-Unit-103_North-Hollywood_CA_91602_M20840-37353</t>
  </si>
  <si>
    <t>Jonathan Marani</t>
  </si>
  <si>
    <t>jonathan.marani@exprealty.com</t>
  </si>
  <si>
    <t xml:space="preserve"> eXp Realty of California Inc.</t>
  </si>
  <si>
    <t>Paul Espinosa</t>
  </si>
  <si>
    <t>paul@morganskenderian.com</t>
  </si>
  <si>
    <t>12837 N Watt Ln Unit A, Sylmar, CA 91342</t>
  </si>
  <si>
    <t>https://www.realtor.com/realestateandhomes-detail/12837-N-Watt-Ln-Unit-A_Sylmar_CA_91342_M96467-52724</t>
  </si>
  <si>
    <t>Jason Croswell</t>
  </si>
  <si>
    <t>jason@teamcroswell.com</t>
  </si>
  <si>
    <t>17215 Buttonwood St, Fountain Valley, CA 92708</t>
  </si>
  <si>
    <t>https://www.realtor.com/realestateandhomes-detail/17215-Buttonwood-St_Fountain-Valley_CA_92708_M14674-67076</t>
  </si>
  <si>
    <t>Tommy Du</t>
  </si>
  <si>
    <t>tommydu5@yahoo.com</t>
  </si>
  <si>
    <t>Tommy Du Realty &amp; Mortgage</t>
  </si>
  <si>
    <t>1520 N El Camino Real Unit 10, San Clemente, CA 92672</t>
  </si>
  <si>
    <t>https://www.realtor.com/realestateandhomes-detail/1520-N-El-Camino-Real-Unit-10_San-Clemente_CA_92672_M13038-66744</t>
  </si>
  <si>
    <t>Lisa Blanc</t>
  </si>
  <si>
    <t>Lisab@sevengables.com</t>
  </si>
  <si>
    <t>17210 San Mateo St, Fountain Valley, CA 92708</t>
  </si>
  <si>
    <t>https://www.realtor.com/realestateandhomes-detail/17210-San-Mateo-St_Fountain-Valley_CA_92708_M98155-85446</t>
  </si>
  <si>
    <t>Laura Muniz</t>
  </si>
  <si>
    <t>lauram@lcrefs.com</t>
  </si>
  <si>
    <t>Los Caballeros Re &amp; Fs Pc</t>
  </si>
  <si>
    <t>1420 N Sacramento St, Orange, CA 92867</t>
  </si>
  <si>
    <t>https://www.realtor.com/realestateandhomes-detail/1420-N-Sacramento-St_Orange_CA_92867_M28890-94548</t>
  </si>
  <si>
    <t>Priscilla Rael Albin</t>
  </si>
  <si>
    <t>Priscilla.albin@gmail.com</t>
  </si>
  <si>
    <t>Re/Max Discover</t>
  </si>
  <si>
    <t>High Cliff Trl, Tujunga, CA 91042</t>
  </si>
  <si>
    <t>https://www.realtor.com/realestateandhomes-detail/High-Cliff-Trl_Tujunga_CA_91042_M93460-99447</t>
  </si>
  <si>
    <t>DEBRA SOUDIPOUR</t>
  </si>
  <si>
    <t>Debra@dsoudipourRE.com</t>
  </si>
  <si>
    <t>2137 Miramar Dr, Newport Beach, CA 92661</t>
  </si>
  <si>
    <t>https://www.realtor.com/realestateandhomes-detail/2137-Miramar-Dr_Newport-Beach_CA_92661_M17184-98689</t>
  </si>
  <si>
    <t>The Miller Group</t>
  </si>
  <si>
    <t>Joe@themillergroup.ws</t>
  </si>
  <si>
    <t>T.N.G. Real Estate Consultants</t>
  </si>
  <si>
    <t>Craig Albin</t>
  </si>
  <si>
    <t>craig.albin@gmail.com</t>
  </si>
  <si>
    <t>RE/MAX New Dimension</t>
  </si>
  <si>
    <t>6600 Warner Ave Unit 115, Huntington Beach, CA 92647</t>
  </si>
  <si>
    <t>https://www.realtor.com/realestateandhomes-detail/6600-Warner-Ave-Unit-115_Huntington-Beach_CA_92647_M19751-04968</t>
  </si>
  <si>
    <t>KELLY HURST</t>
  </si>
  <si>
    <t>kellyhrs@aol.com</t>
  </si>
  <si>
    <t>12200 Montecito Rd Apt D301, Seal Beach, CA 90740</t>
  </si>
  <si>
    <t>https://www.realtor.com/realestateandhomes-detail/12200-Montecito-Rd-Apt-D301_Seal-Beach_CA_90740_M18178-79957</t>
  </si>
  <si>
    <t>Michelle Fullbright</t>
  </si>
  <si>
    <t>michelle.fullbright@redfin.com</t>
  </si>
  <si>
    <t>308 Grand Canal, Newport Beach, CA 92662</t>
  </si>
  <si>
    <t>https://www.realtor.com/realestateandhomes-detail/308-Grand-Canal_Newport-Beach_CA_92662_M19698-03299</t>
  </si>
  <si>
    <t>Don Abrams</t>
  </si>
  <si>
    <t>don@abramscoastal.com</t>
  </si>
  <si>
    <t>ABRAMS COASTAL PROPERTIES</t>
  </si>
  <si>
    <t>12632 Sylvan St, Garden Grove, CA 92845</t>
  </si>
  <si>
    <t>https://www.realtor.com/realestateandhomes-detail/12632-Sylvan-St_Garden-Grove_CA_92845_M19618-22549</t>
  </si>
  <si>
    <t>Kathleen Ladd</t>
  </si>
  <si>
    <t>kathyladd@remax-gardengrove.com</t>
  </si>
  <si>
    <t>RE/MAX College Park Realty</t>
  </si>
  <si>
    <t>8142 E Naples Ln, Anaheim, CA 92808</t>
  </si>
  <si>
    <t>https://www.realtor.com/realestateandhomes-detail/8142-E-Naples-Ln_Anaheim_CA_92808_M28444-35153</t>
  </si>
  <si>
    <t>Frank Del Rio</t>
  </si>
  <si>
    <t>listings@frankdelrio.com</t>
  </si>
  <si>
    <t>6672 Sun Dr Unit C, Huntington Beach, CA 92647</t>
  </si>
  <si>
    <t>https://www.realtor.com/realestateandhomes-detail/6672-Sun-Dr-Unit-C_Huntington-Beach_CA_92647_M22052-70801</t>
  </si>
  <si>
    <t>Jerry Del Mauro</t>
  </si>
  <si>
    <t>jerry@selecthb.com</t>
  </si>
  <si>
    <t>1% Listing Broker</t>
  </si>
  <si>
    <t>113 Yorktown, Newport Beach, CA 92660</t>
  </si>
  <si>
    <t>https://www.realtor.com/realestateandhomes-detail/113-Yorktown_Newport-Beach_CA_92660_M21280-01566</t>
  </si>
  <si>
    <t>Erin White Freimann</t>
  </si>
  <si>
    <t>whitefreimanngroup@gmail.com</t>
  </si>
  <si>
    <t>595 S Avenida Faro, Anaheim, CA 92807</t>
  </si>
  <si>
    <t>https://www.realtor.com/realestateandhomes-detail/595-S-Avenida-Faro_Anaheim_CA_92807_M22378-72204</t>
  </si>
  <si>
    <t>Todd Hennigar</t>
  </si>
  <si>
    <t>toddhennigar@yahoo.com</t>
  </si>
  <si>
    <t>Pridemark Real Estate</t>
  </si>
  <si>
    <t>14481 Fairview Ln, Huntington Beach, CA 92647</t>
  </si>
  <si>
    <t>https://www.realtor.com/realestateandhomes-detail/14481-Fairview-Ln_Huntington-Beach_CA_92647_M25444-15548</t>
  </si>
  <si>
    <t>Jamie Pirritano</t>
  </si>
  <si>
    <t>jamie@thel3.com</t>
  </si>
  <si>
    <t>The L3</t>
  </si>
  <si>
    <t>1215 S Athena Way, Anaheim, CA 92806</t>
  </si>
  <si>
    <t>https://www.realtor.com/realestateandhomes-detail/1215-S-Athena-Way_Anaheim_CA_92806_M21159-35654</t>
  </si>
  <si>
    <t>Christian Tait</t>
  </si>
  <si>
    <t>christian.tait@marcusmillichap.com</t>
  </si>
  <si>
    <t>13741 Annadale Dr, Seal Beach, CA 90740</t>
  </si>
  <si>
    <t>https://www.realtor.com/realestateandhomes-detail/13741-Annadale-Dr-M118_Seal-Beach_CA_90740_M93925-03244</t>
  </si>
  <si>
    <t>Maryann Shaddow</t>
  </si>
  <si>
    <t>mareshaddow@gmail.com</t>
  </si>
  <si>
    <t>16222 Monterey Ln Spc 81, Huntington Beach, CA 92649</t>
  </si>
  <si>
    <t>https://www.realtor.com/realestateandhomes-detail/16222-Monterey-Ln-Spc-81_Huntington-Beach_CA_92649_M27348-01899</t>
  </si>
  <si>
    <t>David Guarino</t>
  </si>
  <si>
    <t>dGUARINO7@GMAIL.COM</t>
  </si>
  <si>
    <t>Krista Blanc</t>
  </si>
  <si>
    <t>kristamb6@hotmail.com</t>
  </si>
  <si>
    <t>24701 Raymond Way Spc 89, Lake Forest, CA 92630</t>
  </si>
  <si>
    <t>https://www.realtor.com/realestateandhomes-detail/24701-Raymond-Way-Spc-89_Lake-Forest_CA_92630_M23119-54113</t>
  </si>
  <si>
    <t>Patricia Brown</t>
  </si>
  <si>
    <t>pattyb@sevengables.com</t>
  </si>
  <si>
    <t>101 S Birch St, Santa Ana, CA 92701</t>
  </si>
  <si>
    <t>https://www.realtor.com/realestateandhomes-detail/101-S-Birch-St_Santa-Ana_CA_92701_M29964-16855</t>
  </si>
  <si>
    <t>Mindy Ngoc Luong</t>
  </si>
  <si>
    <t>mindyhanluong@yahoo.com</t>
  </si>
  <si>
    <t>HPT Realty</t>
  </si>
  <si>
    <t>10377 Morning Glory Ave, Fountain Valley, CA 92708</t>
  </si>
  <si>
    <t>https://www.realtor.com/realestateandhomes-detail/10377-Morning-Glory-Ave_Fountain-Valley_CA_92708_M29527-72597</t>
  </si>
  <si>
    <t>Diane Kutinsky</t>
  </si>
  <si>
    <t>dianekutinsky@gmail.com</t>
  </si>
  <si>
    <t>15081 Van Buren St, Midway City, CA 92655</t>
  </si>
  <si>
    <t>https://www.realtor.com/realestateandhomes-detail/15081-Van-Buren-St_Midway-City_CA_92655_M16121-92374</t>
  </si>
  <si>
    <t>Richard Le</t>
  </si>
  <si>
    <t>richardle2007@gmail.com</t>
  </si>
  <si>
    <t>Frontier Realty Inc</t>
  </si>
  <si>
    <t>6771 Pimlico Cir, Huntington Beach, CA 92648</t>
  </si>
  <si>
    <t>https://www.realtor.com/realestateandhomes-detail/6771-Pimlico-Cir_Huntington-Beach_CA_92648_M27233-77976</t>
  </si>
  <si>
    <t>Victor Lam</t>
  </si>
  <si>
    <t>vmlam08@gmail.com</t>
  </si>
  <si>
    <t>1655 N Beverly Glen Blvd, Los Angeles, CA 90077</t>
  </si>
  <si>
    <t>https://www.realtor.com/realestateandhomes-detail/1655-N-Beverly-Glen-Blvd_Los-Angeles_CA_90077_M17962-70968</t>
  </si>
  <si>
    <t>Yang Kim</t>
  </si>
  <si>
    <t>kim@kimyanggroup.com</t>
  </si>
  <si>
    <t>448 N Londonderry Ln Unit D, Orange, CA 92869</t>
  </si>
  <si>
    <t>https://www.realtor.com/realestateandhomes-detail/448-N-Londonderry-Ln-Unit-D_Orange_CA_92869_M10143-77598</t>
  </si>
  <si>
    <t>Logan Montgomery</t>
  </si>
  <si>
    <t>loganmontgomery1625@gmail.com</t>
  </si>
  <si>
    <t>Shannon Stella</t>
  </si>
  <si>
    <t>shanza10@yahoo.com</t>
  </si>
  <si>
    <t>506 W Oceanfront Unit 2, Newport Beach, CA 92661</t>
  </si>
  <si>
    <t>https://www.realtor.com/realestateandhomes-detail/506-W-Oceanfront_Newport-Beach_CA_92661_M15520-31723</t>
  </si>
  <si>
    <t>Maxx Sharon Rifkin</t>
  </si>
  <si>
    <t>mls@pacaso.com</t>
  </si>
  <si>
    <t>Pacaso Inc.</t>
  </si>
  <si>
    <t>Krystopher Benyamein</t>
  </si>
  <si>
    <t>krysbenyamein@gmail.com</t>
  </si>
  <si>
    <t>1741 Tustin Ave Apt 3C, Costa Mesa, CA 92627</t>
  </si>
  <si>
    <t>https://www.realtor.com/realestateandhomes-detail/1741-Tustin-Ave-Apt-3C_Costa-Mesa_CA_92627_M21714-81749</t>
  </si>
  <si>
    <t>Kendra Fisher</t>
  </si>
  <si>
    <t>kendra@torellirealty.com</t>
  </si>
  <si>
    <t>15300 Magnolia St Spc 82, Westminster, CA 92683</t>
  </si>
  <si>
    <t>https://www.realtor.com/realestateandhomes-detail/15300-Magnolia-St-Spc-82_Westminster_CA_92683_M23563-94681</t>
  </si>
  <si>
    <t>Julie Christoff</t>
  </si>
  <si>
    <t>julie.christoff@yahoo.com</t>
  </si>
  <si>
    <t>736 Knoll Lake Dr Unit 266, Brea, CA 92821</t>
  </si>
  <si>
    <t>https://www.realtor.com/realestateandhomes-detail/736-Knoll-Lake-Dr-266_Brea_CA_92821_M94131-54380</t>
  </si>
  <si>
    <t>Curtis Warren</t>
  </si>
  <si>
    <t>cdwarren47@gmail.com</t>
  </si>
  <si>
    <t>Lisa Loanne Nguyen</t>
  </si>
  <si>
    <t>nguyenlisare@gmail.com</t>
  </si>
  <si>
    <t>NextGen Realty Group</t>
  </si>
  <si>
    <t>1837 Kelleher Pl, Placentia, CA 92870</t>
  </si>
  <si>
    <t>https://www.realtor.com/realestateandhomes-detail/1837-Kelleher-Pl_Placentia_CA_92870_M18229-64572</t>
  </si>
  <si>
    <t>Barbara Kerr</t>
  </si>
  <si>
    <t>barbarakerr@realtyexecutives.com</t>
  </si>
  <si>
    <t>BK Platinum Properties</t>
  </si>
  <si>
    <t>1305 S Cabrillo Ave, San Pedro, CA 90731</t>
  </si>
  <si>
    <t>https://www.realtor.com/realestateandhomes-detail/1305-S-Cabrillo-Ave_San-Pedro_CA_90731_M29269-41705</t>
  </si>
  <si>
    <t>Randee Nelson</t>
  </si>
  <si>
    <t>Randee@RandeeNelson.com</t>
  </si>
  <si>
    <t>8462 S Denker Ave, Los Angeles, CA 90047</t>
  </si>
  <si>
    <t>https://www.realtor.com/realestateandhomes-detail/8462-S-Denker-Ave_Los-Angeles_CA_90047_M15583-63265</t>
  </si>
  <si>
    <t>Kyung Mi Park</t>
  </si>
  <si>
    <t>jinioffers@gmail.com</t>
  </si>
  <si>
    <t>HK Mega R.E. &amp; Investment</t>
  </si>
  <si>
    <t>1163 N Hart St, Orange, CA 92867</t>
  </si>
  <si>
    <t>https://www.realtor.com/realestateandhomes-detail/1163-N-Hart-St_Orange_CA_92867_M29489-43652</t>
  </si>
  <si>
    <t>Stephanie Rezac</t>
  </si>
  <si>
    <t>Stephanie@MonarchHomeGroup.com</t>
  </si>
  <si>
    <t>5441 Stardust Dr, Huntington Beach, CA 92647</t>
  </si>
  <si>
    <t>https://www.realtor.com/realestateandhomes-detail/5441-Stardust-Dr_Huntington-Beach_CA_92647_M27204-36841</t>
  </si>
  <si>
    <t>Adam Rodell</t>
  </si>
  <si>
    <t>adamrodell@aol.com</t>
  </si>
  <si>
    <t>91 Tierra Plano, Rancho Santa Margarita, CA 92688</t>
  </si>
  <si>
    <t>https://www.realtor.com/realestateandhomes-detail/91-Tierra-Plano_Rancho-Santa-Margarita_CA_92688_M24429-78875</t>
  </si>
  <si>
    <t>Martin Mania</t>
  </si>
  <si>
    <t>mmanpwc@aol.com</t>
  </si>
  <si>
    <t>Keller Williams OC Luxury Realty</t>
  </si>
  <si>
    <t>10219 Sunrise Ln, North Tustin, CA 92705</t>
  </si>
  <si>
    <t>https://www.realtor.com/realestateandhomes-detail/10219-Sunrise-Ln_North-Tustin_CA_92705_M29181-76504</t>
  </si>
  <si>
    <t>Sarah ODell</t>
  </si>
  <si>
    <t>sarah@theodellgroup.com</t>
  </si>
  <si>
    <t>20008 Villa Palazzo, Yorba Linda, CA 92886</t>
  </si>
  <si>
    <t>https://www.realtor.com/realestateandhomes-detail/20008-Villa-Palazzo_Yorba-Linda_CA_92886_M15249-49776</t>
  </si>
  <si>
    <t>Mary Diab</t>
  </si>
  <si>
    <t>mary@enjoyocliving.com</t>
  </si>
  <si>
    <t>501 E Orangethorpe Ave Unit 31, Anaheim, CA 92801</t>
  </si>
  <si>
    <t>https://www.realtor.com/realestateandhomes-detail/501-E-Orangethorpe-Ave-31_Anaheim_CA_92801_M13174-77220</t>
  </si>
  <si>
    <t>Vernon Spencer</t>
  </si>
  <si>
    <t>jmssales2@gmail.com</t>
  </si>
  <si>
    <t xml:space="preserve">MONARCH HOME SALES </t>
  </si>
  <si>
    <t>5522 Mossvale Cir, Huntington Beach, CA 92649</t>
  </si>
  <si>
    <t>https://www.realtor.com/realestateandhomes-detail/5522-Mossvale-Cir_Huntington-Beach_CA_92649_M28114-74665</t>
  </si>
  <si>
    <t>KIMBER</t>
  </si>
  <si>
    <t>Kimber@callkimber.com</t>
  </si>
  <si>
    <t>Kimber/Alana Boutique Real Estate</t>
  </si>
  <si>
    <t>1827 W Gramercy Ave, Anaheim, CA 92801</t>
  </si>
  <si>
    <t>https://www.realtor.com/realestateandhomes-detail/1827-W-Gramercy-Ave_Anaheim_CA_92801_M28516-01861</t>
  </si>
  <si>
    <t>DUONG CAO</t>
  </si>
  <si>
    <t>young2003000@yahoo.com</t>
  </si>
  <si>
    <t>Dc Real Estate</t>
  </si>
  <si>
    <t>300 N Rampart St Trlr 79, Orange, CA 92868</t>
  </si>
  <si>
    <t>https://www.realtor.com/realestateandhomes-detail/300-N-Rampart-St-Trlr-79_Orange_CA_92868_M14079-98213</t>
  </si>
  <si>
    <t>Ismael Sanchez</t>
  </si>
  <si>
    <t>ishsanchezrealtor@gmail.com</t>
  </si>
  <si>
    <t>Marco Aguilera, Broker</t>
  </si>
  <si>
    <t>Seana Riggins</t>
  </si>
  <si>
    <t>seanariggins@remax.net</t>
  </si>
  <si>
    <t>Terri Newland</t>
  </si>
  <si>
    <t>usnewlands@sbcglobal.net</t>
  </si>
  <si>
    <t>408 Rustic Dr, Los Angeles, CA 90065</t>
  </si>
  <si>
    <t>https://www.realtor.com/realestateandhomes-detail/408-Rustic-Dr_Los-Angeles_CA_90065_M12459-33827</t>
  </si>
  <si>
    <t>Arman Rasoolian</t>
  </si>
  <si>
    <t>arman@ires.us</t>
  </si>
  <si>
    <t>Innovative Re Solutions</t>
  </si>
  <si>
    <t>63 Shearwater Pl, Newport Beach, CA 92660</t>
  </si>
  <si>
    <t>https://www.realtor.com/realestateandhomes-detail/63-Shearwater-Pl_Newport-Beach_CA_92660_M12592-08542</t>
  </si>
  <si>
    <t>Holly Schwartz McDonald</t>
  </si>
  <si>
    <t>hollyschwartzoc@gmail.com</t>
  </si>
  <si>
    <t>4561 Warner Ave Apt 203, Huntington Beach, CA 92649</t>
  </si>
  <si>
    <t>https://www.realtor.com/realestateandhomes-detail/4561-Warner-Ave-Apt-203_Huntington-Beach_CA_92649_M17822-27822</t>
  </si>
  <si>
    <t>Lance Barker</t>
  </si>
  <si>
    <t>lancebarker@remax.net</t>
  </si>
  <si>
    <t>Gina Fraser</t>
  </si>
  <si>
    <t>mrs.fraser@me.com</t>
  </si>
  <si>
    <t>7131 E Cambria Cir, Orange, CA 92869</t>
  </si>
  <si>
    <t>https://www.realtor.com/realestateandhomes-detail/7131-E-Cambria-Cir_Orange_CA_92869_M10219-47659</t>
  </si>
  <si>
    <t>Charisse Okamoto</t>
  </si>
  <si>
    <t>charisse@caliberRE.net</t>
  </si>
  <si>
    <t>Caliber Real Estate Group</t>
  </si>
  <si>
    <t>306 Alvarado Pl, Newport Beach, CA 92661</t>
  </si>
  <si>
    <t>https://www.realtor.com/realestateandhomes-detail/306-Alvarado-Pl_Newport-Beach_CA_92661_M25118-00572</t>
  </si>
  <si>
    <t>Casey Brookman</t>
  </si>
  <si>
    <t>caseybrookman@msn.com</t>
  </si>
  <si>
    <t>Paul Kott Realtors, Inc.</t>
  </si>
  <si>
    <t>4034 San Rafael Ave, Los Angeles, CA 90065</t>
  </si>
  <si>
    <t>https://www.realtor.com/realestateandhomes-detail/4034-San-Rafael-Ave_Los-Angeles_CA_90065_M11952-53090</t>
  </si>
  <si>
    <t>Louis Magnano</t>
  </si>
  <si>
    <t>louis@mcahouse.com</t>
  </si>
  <si>
    <t>Modern California House</t>
  </si>
  <si>
    <t>1314 Palms Blvd, Venice, CA 90291</t>
  </si>
  <si>
    <t>https://www.realtor.com/realestateandhomes-detail/1314-Palms-Blvd_Venice_CA_90291_M18615-83644</t>
  </si>
  <si>
    <t>Rodney Wittbrodt</t>
  </si>
  <si>
    <t>rodneywittbrodt@gmail.com</t>
  </si>
  <si>
    <t>22038 Vanowen St Apt 215, Woodland Hills, CA 91303</t>
  </si>
  <si>
    <t>https://www.realtor.com/realestateandhomes-detail/22038-Vanowen-St-Apt-215_Woodland-Hills_CA_91303_M28201-97005</t>
  </si>
  <si>
    <t>Victoria Waldorf</t>
  </si>
  <si>
    <t>victoria@syncbrokerage.com</t>
  </si>
  <si>
    <t>Chrissy Reilly</t>
  </si>
  <si>
    <t>sellingseacliff@gmail.com</t>
  </si>
  <si>
    <t>508 Ebb Tide Dr, San Clemente, CA 92672</t>
  </si>
  <si>
    <t>https://www.realtor.com/realestateandhomes-detail/508-Ebb-Tide-Dr_San-Clemente_CA_92672_M27088-56915</t>
  </si>
  <si>
    <t>Suzanne Severin</t>
  </si>
  <si>
    <t>suzanneps355@gmail.com</t>
  </si>
  <si>
    <t>The Mantelli Group</t>
  </si>
  <si>
    <t>3734 Lavell Dr, Los Angeles, CA 90065</t>
  </si>
  <si>
    <t>https://www.realtor.com/realestateandhomes-detail/3734-Lavell-Dr_Los-Angeles_CA_90065_M28899-43194</t>
  </si>
  <si>
    <t>Oliver Parker</t>
  </si>
  <si>
    <t>oliverparkerdb@gmail.com</t>
  </si>
  <si>
    <t>Homesmart</t>
  </si>
  <si>
    <t>18912 Pasadero Dr, Tarzana, CA 91356</t>
  </si>
  <si>
    <t>https://www.realtor.com/realestateandhomes-detail/18912-Pasadero-Dr_Tarzana_CA_91356_M20579-10779</t>
  </si>
  <si>
    <t>Sarah Mcdonald</t>
  </si>
  <si>
    <t>sarahcaliforniarealty@gmail.com</t>
  </si>
  <si>
    <t>EstateX inc.</t>
  </si>
  <si>
    <t>20538 W Deer Grass Ct, Porter Ranch, CA 91326</t>
  </si>
  <si>
    <t>https://www.realtor.com/realestateandhomes-detail/20538-W-Deer-Grass-Ct_Porter-Ranch_CA_91326_M99237-67443</t>
  </si>
  <si>
    <t>Meiling Wan</t>
  </si>
  <si>
    <t>mina@sorgp.com</t>
  </si>
  <si>
    <t>Signature One Realty Grp, Inc</t>
  </si>
  <si>
    <t>2121 James M Wood Blvd Apt 224, Los Angeles, CA 90006</t>
  </si>
  <si>
    <t>https://www.realtor.com/realestateandhomes-detail/2121-James-M-Wood-Blvd-Apt-224_Los-Angeles_CA_90006_M11376-53365</t>
  </si>
  <si>
    <t>Inga Draghetti</t>
  </si>
  <si>
    <t>toinga@sbcglobal.net</t>
  </si>
  <si>
    <t>Discovery Realty And Finance</t>
  </si>
  <si>
    <t>6904 Radford Ave Unit 1, North Hollywood, CA 91605</t>
  </si>
  <si>
    <t>https://www.realtor.com/realestateandhomes-detail/6904-Radford-Ave-Unit-1_North-Hollywood_CA_91605_M17375-49992</t>
  </si>
  <si>
    <t>Maria-Isabel Ibarra</t>
  </si>
  <si>
    <t>MiRealtor@mariaisabelibarra.com</t>
  </si>
  <si>
    <t>Rbs Realty</t>
  </si>
  <si>
    <t>7714 Lasaine Ave, Northridge, CA 91325</t>
  </si>
  <si>
    <t>https://www.realtor.com/realestateandhomes-detail/7714-Lasaine-Ave_Northridge_CA_91325_M22430-85247</t>
  </si>
  <si>
    <t>SAMUEL DANIELYAN</t>
  </si>
  <si>
    <t>samuel@jhagents.com</t>
  </si>
  <si>
    <t>5805 Whitsett Ave Apt 201, Valley Village, CA 91607</t>
  </si>
  <si>
    <t>https://www.realtor.com/realestateandhomes-detail/5805-Whitsett-Ave-Apt-201_Valley-Village_CA_91607_M17212-78838</t>
  </si>
  <si>
    <t>Jayson  Hooshmand</t>
  </si>
  <si>
    <t>jaysonsellsla@gmail.com</t>
  </si>
  <si>
    <t>2119 S Union Ave, Los Angeles, CA 90007</t>
  </si>
  <si>
    <t>https://www.realtor.com/realestateandhomes-detail/2119-S-Union-Ave_Los-Angeles_CA_90007_M27195-86480</t>
  </si>
  <si>
    <t>Michael R. Fukushima</t>
  </si>
  <si>
    <t>mfukushima@total-realtygroup.com</t>
  </si>
  <si>
    <t>12411 Osborne St Unit 128, Pacoima, CA 91331</t>
  </si>
  <si>
    <t>https://www.realtor.com/realestateandhomes-detail/12411-Osborne-St-Unit-128_Pacoima_CA_91331_M24184-87815</t>
  </si>
  <si>
    <t>Jesse Johnston</t>
  </si>
  <si>
    <t>jesse@jessejamesla.com</t>
  </si>
  <si>
    <t>4548 Ellenboro Way, Woodland Hills, CA 91364</t>
  </si>
  <si>
    <t>https://www.realtor.com/realestateandhomes-detail/4548-Ellenboro-Way_Woodland-Hills_CA_91364_M19267-71927</t>
  </si>
  <si>
    <t>Brad Gilboe</t>
  </si>
  <si>
    <t>brad@bwgrealtygroup.com</t>
  </si>
  <si>
    <t>118 W 87th Pl, Los Angeles, CA 90003</t>
  </si>
  <si>
    <t>https://www.realtor.com/realestateandhomes-detail/118-W-87th-Pl_Los-Angeles_CA_90003_M16978-86954</t>
  </si>
  <si>
    <t>Hooman Morvarid</t>
  </si>
  <si>
    <t>HM@HoomanRealEstate.com</t>
  </si>
  <si>
    <t>16654 Kelsloan St, Van Nuys, CA 91406</t>
  </si>
  <si>
    <t>https://www.realtor.com/realestateandhomes-detail/16654-Kelsloan-St_Van-Nuys_CA_91406_M10217-94407</t>
  </si>
  <si>
    <t>Mary Zamora</t>
  </si>
  <si>
    <t>mary.zamora_egc@ymail.com</t>
  </si>
  <si>
    <t>Realty Executives</t>
  </si>
  <si>
    <t>12111 Eddleston Dr, Porter Ranch, CA 91326</t>
  </si>
  <si>
    <t>https://www.realtor.com/realestateandhomes-detail/12111-Eddleston-Dr_Porter-Ranch_CA_91326_M13029-23602</t>
  </si>
  <si>
    <t>Richard Collins</t>
  </si>
  <si>
    <t>sold@teamcollins.com</t>
  </si>
  <si>
    <t>15445 Vanowen St, Van Nuys, CA 91406</t>
  </si>
  <si>
    <t>https://www.realtor.com/realestateandhomes-detail/15445-Vanowen-St_Van-Nuys_CA_91406_M95442-20547</t>
  </si>
  <si>
    <t>Manvel Solakian</t>
  </si>
  <si>
    <t>manuelsolakian@msn.com</t>
  </si>
  <si>
    <t>Keller Williams R. E. Services</t>
  </si>
  <si>
    <t>4312 Comly St, City Terrace, CA 90063</t>
  </si>
  <si>
    <t>https://www.realtor.com/realestateandhomes-detail/4312-Comly-St_Los-Angeles_CA_90063_M18348-44367</t>
  </si>
  <si>
    <t>Lanard Prince</t>
  </si>
  <si>
    <t>lanard.prince.re@gmail.com</t>
  </si>
  <si>
    <t>Gal Moshe</t>
  </si>
  <si>
    <t>galmosherealtor@gmail.com</t>
  </si>
  <si>
    <t>735 N Orlando Ave, Los Angeles, CA 90069</t>
  </si>
  <si>
    <t>https://www.realtor.com/realestateandhomes-detail/735-N-Orlando-Ave_Los-Angeles_CA_90069_M23393-53846</t>
  </si>
  <si>
    <t>Brian Veasman</t>
  </si>
  <si>
    <t>brian.veasman@sothebyshomes.com</t>
  </si>
  <si>
    <t>15926 Morrison St, Encino, CA 91436</t>
  </si>
  <si>
    <t>https://www.realtor.com/realestateandhomes-detail/15926-Morrison-St_Encino_CA_91436_M22327-88475</t>
  </si>
  <si>
    <t>Zeev Perez</t>
  </si>
  <si>
    <t>perezeev@gmail.com</t>
  </si>
  <si>
    <t>1837 Beloit Ave, Los Angeles, CA 90025</t>
  </si>
  <si>
    <t>https://www.realtor.com/realestateandhomes-detail/1837-Beloit-Ave_Los-Angeles_CA_90025_M25529-78675</t>
  </si>
  <si>
    <t>Andy A. Aguilar</t>
  </si>
  <si>
    <t>AndyAAguilar@Gmail.com</t>
  </si>
  <si>
    <t>American Real Estate Experts</t>
  </si>
  <si>
    <t>Drysdale Dr, Los Angeles, CA 90032</t>
  </si>
  <si>
    <t>https://www.realtor.com/realestateandhomes-detail/Drysdale-Dr_Los-Angeles_CA_90032_M93275-06155</t>
  </si>
  <si>
    <t>Raymond M Corrales</t>
  </si>
  <si>
    <t>rc@raymondcorrales.com</t>
  </si>
  <si>
    <t>Anthem Real Estate</t>
  </si>
  <si>
    <t>Matias Stofenmacher</t>
  </si>
  <si>
    <t>matias.stofenmacher@gmail.com</t>
  </si>
  <si>
    <t>1333 S Beverly Glen Blvd Apt 402, Los Angeles, CA 90024</t>
  </si>
  <si>
    <t>https://www.realtor.com/realestateandhomes-detail/1333-S-Beverly-Glen-Blvd-Apt-402_Los-Angeles_CA_90024_M24640-44037</t>
  </si>
  <si>
    <t>Matthew Hardy</t>
  </si>
  <si>
    <t>mhardyrealestate@gmail.com</t>
  </si>
  <si>
    <t>Michael Green Realty &amp; Inv.</t>
  </si>
  <si>
    <t>13383 Contour Dr, Sherman Oaks, CA 91423</t>
  </si>
  <si>
    <t>https://www.realtor.com/realestateandhomes-detail/13383-Contour-Dr_Sherman-Oaks_CA_91423_M12384-35852</t>
  </si>
  <si>
    <t>Poupee Komenkul</t>
  </si>
  <si>
    <t>poupee7777@yahoo.com</t>
  </si>
  <si>
    <t>1811 Effie St, Los Angeles, CA 90026</t>
  </si>
  <si>
    <t>https://www.realtor.com/realestateandhomes-detail/1811-Effie-St_Los-Angeles_CA_90026_M23890-77986</t>
  </si>
  <si>
    <t>Marcia Starr</t>
  </si>
  <si>
    <t>marcia@jedwardgroup.com</t>
  </si>
  <si>
    <t>17328 Tramonto Dr Unit 206, Pacific Palisades, CA 90272</t>
  </si>
  <si>
    <t>https://www.realtor.com/realestateandhomes-detail/17328-Tramonto-Dr-Unit-206_Pacific-Palisades_CA_90272_M96123-79838</t>
  </si>
  <si>
    <t>Jeff Biebuyck</t>
  </si>
  <si>
    <t>jeff@jeffbrealty.com</t>
  </si>
  <si>
    <t>Frontgate Real Estate</t>
  </si>
  <si>
    <t>13130 Albers St, Sherman Oaks, CA 91401</t>
  </si>
  <si>
    <t>https://www.realtor.com/realestateandhomes-detail/13130-Albers-St_Sherman-Oaks_CA_91401_M24637-51413</t>
  </si>
  <si>
    <t>Michelle Hirsch</t>
  </si>
  <si>
    <t>michelle@michellehirsch.com</t>
  </si>
  <si>
    <t>20620 Chatsboro Dr, Woodland Hills, CA 91364</t>
  </si>
  <si>
    <t>https://www.realtor.com/realestateandhomes-detail/20620-Chatsboro-Dr_Woodland-Hills_CA_91364_M20118-50074</t>
  </si>
  <si>
    <t>Samantha Mitchell</t>
  </si>
  <si>
    <t>samantha.mitchell@kw.com</t>
  </si>
  <si>
    <t>10118 Telfair Ave, Pacoima, CA 91331</t>
  </si>
  <si>
    <t>https://www.realtor.com/realestateandhomes-detail/10118-Telfair-Ave_Pacoima_CA_91331_M20885-98320</t>
  </si>
  <si>
    <t>Hector Palacios</t>
  </si>
  <si>
    <t>hpsellmyre@aol.com</t>
  </si>
  <si>
    <t>6001 Oakdale Ave, Woodland Hills, CA 91367</t>
  </si>
  <si>
    <t>https://www.realtor.com/realestateandhomes-detail/6001-Oakdale-Ave_Woodland-Hills_CA_91367_M10939-52644</t>
  </si>
  <si>
    <t>Scott Nell</t>
  </si>
  <si>
    <t>scott@scottnellteam.com</t>
  </si>
  <si>
    <t>13100 Bromont Ave Unit 11, Sylmar, CA 91342</t>
  </si>
  <si>
    <t>https://www.realtor.com/realestateandhomes-detail/13100-Bromont-Ave-Unit-11_Sylmar_CA_91342_M15200-05941</t>
  </si>
  <si>
    <t>Serdar "Serge" Dagkesen</t>
  </si>
  <si>
    <t>sergedagkesen@gmail.com</t>
  </si>
  <si>
    <t>10354 Owensmouth Ave, Chatsworth, CA 91311</t>
  </si>
  <si>
    <t>https://www.realtor.com/realestateandhomes-detail/10354-Owensmouth-Ave_Chatsworth_CA_91311_M21711-68276</t>
  </si>
  <si>
    <t>Scott Post</t>
  </si>
  <si>
    <t>scottpost33@gmail.com</t>
  </si>
  <si>
    <t>3636 Division St, Los Angeles, CA 90065</t>
  </si>
  <si>
    <t>https://www.realtor.com/realestateandhomes-detail/3636-Division-St_Los-Angeles_CA_90065_M16617-12545</t>
  </si>
  <si>
    <t>Mekhael Khoury</t>
  </si>
  <si>
    <t>mkhouryrealty@gmail.com</t>
  </si>
  <si>
    <t>GREATER REALTY INVESTMENTS</t>
  </si>
  <si>
    <t>1030 W 88th St, Los Angeles, CA 90044</t>
  </si>
  <si>
    <t>https://www.realtor.com/realestateandhomes-detail/1030-W-88th-St_Los-Angeles_CA_90044_M25151-09721</t>
  </si>
  <si>
    <t>Mazdak Sarehkhani</t>
  </si>
  <si>
    <t>msarehkhani@gmail.com</t>
  </si>
  <si>
    <t>Jon Edward Lichterman</t>
  </si>
  <si>
    <t>jon@jedwardgroup.com</t>
  </si>
  <si>
    <t>6520 Shirley Ave Unit 14, Reseda, CA 91335</t>
  </si>
  <si>
    <t>https://www.realtor.com/realestateandhomes-detail/6520-Shirley-Ave-Unit-14_Reseda_CA_91335_M25785-27367</t>
  </si>
  <si>
    <t>Christina Pambakian</t>
  </si>
  <si>
    <t>CP@thepambakiangroup.com</t>
  </si>
  <si>
    <t>7304 Balboa Blvd Unit C, Van Nuys, CA 91406</t>
  </si>
  <si>
    <t>https://www.realtor.com/realestateandhomes-detail/7304-Balboa-Blvd-Unit-C_Van-Nuys_CA_91406_M10107-63688</t>
  </si>
  <si>
    <t>Jennifer Landon</t>
  </si>
  <si>
    <t>jennifer@lrgla.com</t>
  </si>
  <si>
    <t>Landon Realty Group</t>
  </si>
  <si>
    <t>Rima Chamoun</t>
  </si>
  <si>
    <t>chamoun.rima@gmail.com</t>
  </si>
  <si>
    <t>10652 Whipple St, North Hollywood, CA 91602</t>
  </si>
  <si>
    <t>https://www.realtor.com/realestateandhomes-detail/10652-Whipple-St_North-Hollywood_CA_91602_M20612-30597</t>
  </si>
  <si>
    <t>Taline Y Soualian</t>
  </si>
  <si>
    <t>talyasoualy@gmail.com</t>
  </si>
  <si>
    <t>22284 Avenue San Luis, Woodland Hills, CA 91364</t>
  </si>
  <si>
    <t>https://www.realtor.com/realestateandhomes-detail/22284-Avenue-San-Luis_Woodland-Hills_CA_91364_M28198-35718</t>
  </si>
  <si>
    <t>Dana Frank</t>
  </si>
  <si>
    <t>Dana@DanaFrankHomes.com</t>
  </si>
  <si>
    <t>5460 White Oak Ave Unit F303, Encino, CA 91316</t>
  </si>
  <si>
    <t>https://www.realtor.com/realestateandhomes-detail/5460-White-Oak-Ave-Unit-F303_Encino_CA_91316_M20350-92650</t>
  </si>
  <si>
    <t>Phil Z</t>
  </si>
  <si>
    <t>PHIL.Z@DILBECK.COM</t>
  </si>
  <si>
    <t>Altera Realty</t>
  </si>
  <si>
    <t>525 S Ardmore Ave Apt 257, Los Angeles, CA 90020</t>
  </si>
  <si>
    <t>https://www.realtor.com/realestateandhomes-detail/525-S-Ardmore-Ave-Apt-257_Los-Angeles_CA_90020_M22390-27599</t>
  </si>
  <si>
    <t>Choy Jimenez</t>
  </si>
  <si>
    <t>jimenezchoy6@gmail.com</t>
  </si>
  <si>
    <t>Real Brokerage Technologies, Inc.</t>
  </si>
  <si>
    <t>11395 Oro Vista Ave, Sunland, CA 91040</t>
  </si>
  <si>
    <t>https://www.realtor.com/realestateandhomes-detail/11395-Oro-Vista-Ave_Sunland_CA_91040_M26490-89467</t>
  </si>
  <si>
    <t>Chuck Lamm</t>
  </si>
  <si>
    <t>clamm4re@gmail.com</t>
  </si>
  <si>
    <t>Engel &amp; Voelkers La Canada</t>
  </si>
  <si>
    <t>5152 Hartwick St, Los Angeles, CA 90041</t>
  </si>
  <si>
    <t>https://www.realtor.com/realestateandhomes-detail/5152-Hartwick-St_Los-Angeles_CA_90041_M13729-50680</t>
  </si>
  <si>
    <t>John Anthony Christopher</t>
  </si>
  <si>
    <t>Christopher.John@CAMoves.com</t>
  </si>
  <si>
    <t>4182 Greenbush Ave, Sherman Oaks, CA 91423</t>
  </si>
  <si>
    <t>https://www.realtor.com/realestateandhomes-detail/4182-Greenbush-Ave_Sherman-Oaks_CA_91423_M11892-82074</t>
  </si>
  <si>
    <t>Matt Epstein</t>
  </si>
  <si>
    <t>somatt@aol.com</t>
  </si>
  <si>
    <t>Kliq Realty</t>
  </si>
  <si>
    <t>14157 Terra Bella St, Arleta, CA 91331</t>
  </si>
  <si>
    <t>https://www.realtor.com/realestateandhomes-detail/14157-Terra-Bella-St_Arleta_CA_91331_M26240-72647</t>
  </si>
  <si>
    <t>Fredy Gonzalez Real Estate</t>
  </si>
  <si>
    <t>fredygonzalezrealestate@gmail.com</t>
  </si>
  <si>
    <t>5108 Strohm Ave, Toluca Lake, CA 91601</t>
  </si>
  <si>
    <t>https://www.realtor.com/realestateandhomes-detail/5108-Strohm-Ave_North-Hollywood_CA_91601_M19603-51690</t>
  </si>
  <si>
    <t>Tatiana M Batmanian</t>
  </si>
  <si>
    <t>tatiana@nhluxe.com</t>
  </si>
  <si>
    <t>16037 Gault St, Van Nuys, CA 91406</t>
  </si>
  <si>
    <t>https://www.realtor.com/realestateandhomes-detail/16037-Gault-St_Van-Nuys_CA_91406_M92119-17229</t>
  </si>
  <si>
    <t>Sal Rassibi</t>
  </si>
  <si>
    <t>CAFINANCIALGROUP@YAHOO.COM</t>
  </si>
  <si>
    <t>Re/Max Luxe</t>
  </si>
  <si>
    <t>7007 Murietta Ave, Van Nuys, CA 91405</t>
  </si>
  <si>
    <t>https://www.realtor.com/realestateandhomes-detail/7007-Murietta-Ave_Van-Nuys_CA_91405_M25956-58329</t>
  </si>
  <si>
    <t>Kevin E Dijamco</t>
  </si>
  <si>
    <t>kevindijamco@gmail.com</t>
  </si>
  <si>
    <t>16762 Otsego St, Encino, CA 91436</t>
  </si>
  <si>
    <t>https://www.realtor.com/realestateandhomes-detail/16762-Otsego-St_Encino_CA_91436_M21272-14060</t>
  </si>
  <si>
    <t>Simon Mills</t>
  </si>
  <si>
    <t>Simon@MillsRealty.com</t>
  </si>
  <si>
    <t>Mills Realty</t>
  </si>
  <si>
    <t>7114-7116 Miramonte Blvd, Los Angeles, CA 90001</t>
  </si>
  <si>
    <t>https://www.realtor.com/realestateandhomes-detail/7114-7116-Miramonte-Blvd_Los-Angeles_CA_90001_M93451-02465</t>
  </si>
  <si>
    <t>Jorge Alvarez</t>
  </si>
  <si>
    <t>realbydanny@yahoo.com</t>
  </si>
  <si>
    <t>American Team Properties</t>
  </si>
  <si>
    <t>Elias Martinez</t>
  </si>
  <si>
    <t>emartinez@spectrumcre.com</t>
  </si>
  <si>
    <t>Spectrum Commercial Real Estate, Inc.</t>
  </si>
  <si>
    <t>3810 San Antonio Rd, Yorba Linda, CA 92886</t>
  </si>
  <si>
    <t>https://www.realtor.com/realestateandhomes-detail/3810-San-Antonio-Rd_Yorba-Linda_CA_92886_M11898-01413</t>
  </si>
  <si>
    <t>Melissa H Westfall</t>
  </si>
  <si>
    <t>melissa.westfall@opendoor.com</t>
  </si>
  <si>
    <t>Opendoor Brokerage Inc.</t>
  </si>
  <si>
    <t>6360 Maryland Dr, Los Angeles, CA 90048</t>
  </si>
  <si>
    <t>https://www.realtor.com/realestateandhomes-detail/6360-Maryland-Dr_Los-Angeles_CA_90048_M19095-65731</t>
  </si>
  <si>
    <t>Mansour Gulzarzada</t>
  </si>
  <si>
    <t>mgulzarzada@gmail.com</t>
  </si>
  <si>
    <t>1919 W Coronet Ave Spc 75, Anaheim, CA 92801</t>
  </si>
  <si>
    <t>https://www.realtor.com/realestateandhomes-detail/1919-W-Coronet-Ave-Spc-75_Anaheim_CA_92801_M15470-37445</t>
  </si>
  <si>
    <t>Lily Fong</t>
  </si>
  <si>
    <t>lily@lilyfong.com</t>
  </si>
  <si>
    <t>Realty Source, Inc</t>
  </si>
  <si>
    <t>657 Mildred Ave, Venice, CA 90291</t>
  </si>
  <si>
    <t>https://www.realtor.com/realestateandhomes-detail/657-Mildred-Ave_Venice_CA_90291_M28311-59031</t>
  </si>
  <si>
    <t>Josh Picker</t>
  </si>
  <si>
    <t>josh.picker@elliman.com</t>
  </si>
  <si>
    <t>18751 Via San Marco, Irvine, CA 92603</t>
  </si>
  <si>
    <t>https://www.realtor.com/realestateandhomes-detail/18751-Via-San-Marco_Irvine_CA_92603_M22316-26046</t>
  </si>
  <si>
    <t>Pegi DiRienzo</t>
  </si>
  <si>
    <t>pegi@pegishomegroup.com</t>
  </si>
  <si>
    <t>52 Shadowbrook, Irvine, CA 92604</t>
  </si>
  <si>
    <t>https://www.realtor.com/realestateandhomes-detail/52-Shadowbrook_Irvine_CA_92604_M21337-36698</t>
  </si>
  <si>
    <t>MARIO GAMBOA</t>
  </si>
  <si>
    <t>mario@mariogamboa.com</t>
  </si>
  <si>
    <t>Berkshire Hathaway Homeservice</t>
  </si>
  <si>
    <t>2243 Martin Apt 217, Irvine, CA 92612</t>
  </si>
  <si>
    <t>https://www.realtor.com/realestateandhomes-detail/2243-Martin-Apt-217_Irvine_CA_92612_M23308-61828</t>
  </si>
  <si>
    <t>butch suddarth</t>
  </si>
  <si>
    <t>butch@met-realty.com</t>
  </si>
  <si>
    <t>Metropolitan Realty, Inc</t>
  </si>
  <si>
    <t>9001 Cerise Ln Apt 109, Cypress, CA 90630</t>
  </si>
  <si>
    <t>https://www.realtor.com/realestateandhomes-detail/9001-Cerise-Ln-Apt-109_Cypress_CA_90630_M95976-35069</t>
  </si>
  <si>
    <t>Amber Richard</t>
  </si>
  <si>
    <t>amber@melia-homes.com</t>
  </si>
  <si>
    <t>Melia Homes Inc</t>
  </si>
  <si>
    <t>91 Martinique St Unit 300, Laguna Niguel, CA 92677</t>
  </si>
  <si>
    <t>https://www.realtor.com/realestateandhomes-detail/91-Martinique-St-300_Laguna-Niguel_CA_92677_M12644-48244</t>
  </si>
  <si>
    <t>Lori McGuire</t>
  </si>
  <si>
    <t>leads@mcguireteam.com</t>
  </si>
  <si>
    <t>RE/MAX Select One</t>
  </si>
  <si>
    <t>22832 Dominita Rd, Laguna Niguel, CA 92677</t>
  </si>
  <si>
    <t>https://www.realtor.com/realestateandhomes-detail/22832-Dominita-Rd_Laguna-Niguel_CA_92677_M21599-03628</t>
  </si>
  <si>
    <t>Judith K Parsons</t>
  </si>
  <si>
    <t>judyparsons@mac.com</t>
  </si>
  <si>
    <t>29195 Mira Vis, Laguna Niguel, CA 92677</t>
  </si>
  <si>
    <t>https://www.realtor.com/realestateandhomes-detail/29195-Mira-Vis_Laguna-Niguel_CA_92677_M12110-00934</t>
  </si>
  <si>
    <t>Mark Witte</t>
  </si>
  <si>
    <t>mark@thewitteteam.com</t>
  </si>
  <si>
    <t>3019 Via Buena Vis Unit B, Laguna Woods, CA 92637</t>
  </si>
  <si>
    <t>https://www.realtor.com/realestateandhomes-detail/3019-Via-Buena-Vis-Unit-B_Laguna-Woods_CA_92637_M19007-33519</t>
  </si>
  <si>
    <t>Cindy Uhrik</t>
  </si>
  <si>
    <t>cindy.uhrik@compas.com</t>
  </si>
  <si>
    <t>Allison Dirienzo</t>
  </si>
  <si>
    <t>Allison.Dirienzo@elliman.com</t>
  </si>
  <si>
    <t>2924 W McFadden Ave, Santa Ana, CA 92704</t>
  </si>
  <si>
    <t>https://www.realtor.com/realestateandhomes-detail/2924-W-McFadden-Ave_Santa-Ana_CA_92704_M10215-28287</t>
  </si>
  <si>
    <t>Mac Mackenzie</t>
  </si>
  <si>
    <t>mac.mackenzie@camoves.com</t>
  </si>
  <si>
    <t>2313 Via Puerta Unit Q, Laguna Woods, CA 92637</t>
  </si>
  <si>
    <t>https://www.realtor.com/realestateandhomes-detail/2313-Via-Puerta-Unit-Q_Laguna-Woods_CA_92637_M18357-04449</t>
  </si>
  <si>
    <t>Michael C. Lovullo</t>
  </si>
  <si>
    <t>MIkeLovuLLo@gmail.com</t>
  </si>
  <si>
    <t>Lantern Bay Realty</t>
  </si>
  <si>
    <t>8191 Taylor Dr, Huntington Beach, CA 92646</t>
  </si>
  <si>
    <t>https://www.realtor.com/realestateandhomes-detail/8191-Taylor-Dr_Huntington-Beach_CA_92646_M26281-26227</t>
  </si>
  <si>
    <t>Cabot Harvey</t>
  </si>
  <si>
    <t>cabotharvey@gmail.com</t>
  </si>
  <si>
    <t>1 O Hill Rdg, Laguna Niguel, CA 92677</t>
  </si>
  <si>
    <t>https://www.realtor.com/realestateandhomes-detail/1-O-Hill-Rdg_Laguna-Niguel_CA_92677_M27917-94516</t>
  </si>
  <si>
    <t>Tyler Kropf</t>
  </si>
  <si>
    <t>tkropf@bacregroup.com</t>
  </si>
  <si>
    <t>BAC Real Estate Group, Inc.</t>
  </si>
  <si>
    <t>240 Moss St Apt 2, Laguna Beach, CA 92651</t>
  </si>
  <si>
    <t>https://www.realtor.com/realestateandhomes-detail/240-Moss-St-Apt-2_Laguna-Beach_CA_92651_M11956-24621</t>
  </si>
  <si>
    <t>Brent Whitaker</t>
  </si>
  <si>
    <t>brent@brentandmarisa.com</t>
  </si>
  <si>
    <t>30802 Coast Hwy Spc M11, Laguna Beach, CA 92651</t>
  </si>
  <si>
    <t>https://www.realtor.com/realestateandhomes-detail/30802-Coast-Hwy-Spc-M11_Laguna-Beach_CA_92651_M13595-09413</t>
  </si>
  <si>
    <t>Julie Hile</t>
  </si>
  <si>
    <t>julie@juliehile.com</t>
  </si>
  <si>
    <t>Superior Real Estate Network, Inc.</t>
  </si>
  <si>
    <t>20462 Santa Ana Ave Apt D, Newport Beach, CA 92660</t>
  </si>
  <si>
    <t>https://www.realtor.com/realestateandhomes-detail/20462-Santa-Ana-Ave-Apt-D_Newport-Beach_CA_92660_M98555-72225</t>
  </si>
  <si>
    <t>Dylan Lin</t>
  </si>
  <si>
    <t>dylan@dylanlin.com</t>
  </si>
  <si>
    <t>760 Gadall, Irvine, CA 92618</t>
  </si>
  <si>
    <t>https://www.realtor.com/realestateandhomes-detail/760-Gadall_Irvine_CA_92618_M93474-05136</t>
  </si>
  <si>
    <t>Norman Brown</t>
  </si>
  <si>
    <t>norman.brown@pultegroup.com</t>
  </si>
  <si>
    <t>Pulte Homes Of California, Inc</t>
  </si>
  <si>
    <t>5 Le Conte, Laguna Niguel, CA 92677</t>
  </si>
  <si>
    <t>https://www.realtor.com/realestateandhomes-detail/5-Le-Conte_Laguna-Niguel_CA_92677_M21346-07818</t>
  </si>
  <si>
    <t>Brad Bankenbush</t>
  </si>
  <si>
    <t>Brad.Bankenbush@elliman.com</t>
  </si>
  <si>
    <t>Douglas Elliman of California - Corona Del Mar</t>
  </si>
  <si>
    <t>28935 Paseo Theresa, Mission Viejo, CA 92692</t>
  </si>
  <si>
    <t>https://www.realtor.com/realestateandhomes-detail/28935-Paseo-Theresa_Mission-Viejo_CA_92692_M29157-83261</t>
  </si>
  <si>
    <t>Janie Farris</t>
  </si>
  <si>
    <t>janiefarris@cox.net</t>
  </si>
  <si>
    <t>32101 S Coast Hwy, Laguna Beach, CA 92651</t>
  </si>
  <si>
    <t>https://www.realtor.com/realestateandhomes-detail/32101-Coast-Hwy_Laguna-Beach_CA_92651_M24049-81125</t>
  </si>
  <si>
    <t>Chad Concolino</t>
  </si>
  <si>
    <t>Chad@MainBeachRealty.com</t>
  </si>
  <si>
    <t>Main Beach Realty</t>
  </si>
  <si>
    <t>327 62nd St, Newport Beach, CA 92663</t>
  </si>
  <si>
    <t>https://www.realtor.com/realestateandhomes-detail/327-62nd-St_Newport-Beach_CA_92663_M15161-81887</t>
  </si>
  <si>
    <t>Tori Rimlinger</t>
  </si>
  <si>
    <t>tori.rimlinger@compass.com</t>
  </si>
  <si>
    <t>30 Savannah Ln, Ladera Ranch, CA 92694</t>
  </si>
  <si>
    <t>https://www.realtor.com/realestateandhomes-detail/30-Savannah-Ln_Ladera-Ranch_CA_92694_M19604-04242</t>
  </si>
  <si>
    <t>Brian Doubleday</t>
  </si>
  <si>
    <t>Brian@BrianDoubleday.com</t>
  </si>
  <si>
    <t>Doubleday Group</t>
  </si>
  <si>
    <t>1626-1628 E 32nd, Los Angeles, CA 90011</t>
  </si>
  <si>
    <t>https://www.realtor.com/realestateandhomes-detail/1626-1628-E-32nd_Los-Angeles_CA_90011_M96002-10073</t>
  </si>
  <si>
    <t>John Risso</t>
  </si>
  <si>
    <t>socalsigma@yahoo.com</t>
  </si>
  <si>
    <t>Sigma Realty</t>
  </si>
  <si>
    <t>72 Sellas Rd N, Ladera Ranch, CA 92694</t>
  </si>
  <si>
    <t>https://www.realtor.com/realestateandhomes-detail/72-Sellas-Rd-N_Ladera-Ranch_CA_92694_M22682-33491</t>
  </si>
  <si>
    <t>Michele Wood</t>
  </si>
  <si>
    <t>michelewood@thearchulettateam.com</t>
  </si>
  <si>
    <t>934 Bonnie Brae Ave, Laguna Beach, CA 92651</t>
  </si>
  <si>
    <t>https://www.realtor.com/realestateandhomes-detail/934-Bonnie-Brae-Ave_Laguna-Beach_CA_92651_M12095-44105</t>
  </si>
  <si>
    <t>Paul Muner</t>
  </si>
  <si>
    <t>paulmuner@gmail.com</t>
  </si>
  <si>
    <t>EXP Realty of California Inc</t>
  </si>
  <si>
    <t>5001 Siesta Ln, Yorba Linda, CA 92886</t>
  </si>
  <si>
    <t>https://www.realtor.com/realestateandhomes-detail/5001-Siesta-Ln_Yorba-Linda_CA_92886_M94552-69191</t>
  </si>
  <si>
    <t>Amy Taylor</t>
  </si>
  <si>
    <t>amy@amyocrealtor.com</t>
  </si>
  <si>
    <t>3049 Scholarship, Irvine, CA 92612</t>
  </si>
  <si>
    <t>https://www.realtor.com/realestateandhomes-detail/3049-Scholarship_Irvine_CA_92612_M23240-31429</t>
  </si>
  <si>
    <t>Min Seo</t>
  </si>
  <si>
    <t>mseo@bhhscal.com</t>
  </si>
  <si>
    <t>Matthew Morissette</t>
  </si>
  <si>
    <t>mattdmorissette@gmail.com</t>
  </si>
  <si>
    <t>10362 Monitor Dr, Huntington Beach, CA 92646</t>
  </si>
  <si>
    <t>https://www.realtor.com/realestateandhomes-detail/10362-Monitor-Dr_Huntington-Beach_CA_92646_M23713-63884</t>
  </si>
  <si>
    <t>Danny Murphy</t>
  </si>
  <si>
    <t>danny@thesocallife.com</t>
  </si>
  <si>
    <t>162 Juniper Dr, Ladera Ranch, CA 92694</t>
  </si>
  <si>
    <t>https://www.realtor.com/realestateandhomes-detail/162-Juniper-Dr_Ladera-Ranch_CA_92694_M96419-54138</t>
  </si>
  <si>
    <t>Elicia Hartanov</t>
  </si>
  <si>
    <t>elicia@hartanovteam.com</t>
  </si>
  <si>
    <t>Kelly Arshi</t>
  </si>
  <si>
    <t>kellyarshi@remax.net</t>
  </si>
  <si>
    <t>RE MAX First Class</t>
  </si>
  <si>
    <t>21642 Montbury Dr, Lake Forest, CA 92630</t>
  </si>
  <si>
    <t>https://www.realtor.com/realestateandhomes-detail/21642-Montbury-Dr_Lake-Forest_CA_92630_M17877-40033</t>
  </si>
  <si>
    <t>PATTI VANLEEUWEN</t>
  </si>
  <si>
    <t>PattiVanleeuwen@REALTOR.com</t>
  </si>
  <si>
    <t>Landmark Realtors</t>
  </si>
  <si>
    <t>1632 Doheny Way, Dana Point, CA 92629</t>
  </si>
  <si>
    <t>https://www.realtor.com/realestateandhomes-detail/1632-Doheny-Way_Dana-Point_CA_92629_M91302-94417</t>
  </si>
  <si>
    <t>Michael Hinderberger</t>
  </si>
  <si>
    <t>m.hinder@gmail.com</t>
  </si>
  <si>
    <t>32742 Alipaz St Spc 153, San Juan Capistrano, CA 92675</t>
  </si>
  <si>
    <t>https://www.realtor.com/realestateandhomes-detail/32742-Alipaz-St-Spc-153_San-Juan-Capistrano_CA_92675_M90185-61938</t>
  </si>
  <si>
    <t>Joni Moss</t>
  </si>
  <si>
    <t>jonimoss@ymail.com</t>
  </si>
  <si>
    <t>305 5 Fernleaf, Corona Del Mar, CA 92625</t>
  </si>
  <si>
    <t>https://www.realtor.com/realestateandhomes-detail/305-5-Fernleaf_Corona-Del-Mar_CA_92625_M94206-94206</t>
  </si>
  <si>
    <t>Tara McNabb</t>
  </si>
  <si>
    <t>taralmcnabb@icloud.com</t>
  </si>
  <si>
    <t>1 Baycrest Pl, Dana Point, CA 92629</t>
  </si>
  <si>
    <t>https://www.realtor.com/realestateandhomes-detail/1-Baycrest-Pl_Dana-Point_CA_92629_M11725-34258</t>
  </si>
  <si>
    <t>DANIEL GUSHUE</t>
  </si>
  <si>
    <t>daniel@gushuerealestate.com</t>
  </si>
  <si>
    <t>GUSHUE REAL ESTATE</t>
  </si>
  <si>
    <t>3209 Clay St, Newport Beach, CA 92663</t>
  </si>
  <si>
    <t>https://www.realtor.com/realestateandhomes-detail/3209-Clay-St_Newport-Beach_CA_92663_M90396-00039</t>
  </si>
  <si>
    <t>Kyle Flagg</t>
  </si>
  <si>
    <t>kyle@flaggrealestate.com</t>
  </si>
  <si>
    <t>125 Toretta, Irvine, CA 92602</t>
  </si>
  <si>
    <t>https://www.realtor.com/realestateandhomes-detail/125-Toretta_Irvine_CA_92602_M95381-54682</t>
  </si>
  <si>
    <t>Claire Na</t>
  </si>
  <si>
    <t>clairena21@gmail.com</t>
  </si>
  <si>
    <t>Coldwell Banker Realty - Irvine</t>
  </si>
  <si>
    <t>30 Waterway Unit 43, Irvine, CA 92614</t>
  </si>
  <si>
    <t>https://www.realtor.com/realestateandhomes-detail/30-Waterway_Irvine_CA_92614_M26800-64802</t>
  </si>
  <si>
    <t>Debbie Sagorin</t>
  </si>
  <si>
    <t>debbie@sagorin.com</t>
  </si>
  <si>
    <t>268 Overbrook, Irvine, CA 92620</t>
  </si>
  <si>
    <t>https://www.realtor.com/realestateandhomes-detail/268-Overbrook_Irvine_CA_92620_M28979-34829</t>
  </si>
  <si>
    <t>Emily Calcote</t>
  </si>
  <si>
    <t>ocrealtoremily@gmail.com</t>
  </si>
  <si>
    <t>Chang Calcote, Broker</t>
  </si>
  <si>
    <t>1854 Port Margate Pl, Newport Beach, CA 92660</t>
  </si>
  <si>
    <t>https://www.realtor.com/realestateandhomes-detail/1854-Port-Margate-Pl_Newport-Beach_CA_92660_M19099-46431</t>
  </si>
  <si>
    <t>Corey Anthony</t>
  </si>
  <si>
    <t>canthony@surterreproperties.com</t>
  </si>
  <si>
    <t>51 Garcilla Dr, Rancho Mission Viejo, CA 92694</t>
  </si>
  <si>
    <t>https://www.realtor.com/realestateandhomes-detail/51-Garcilla-Dr_Rancho-Mission-Viejo_CA_92694_M25616-53230</t>
  </si>
  <si>
    <t>Ryan Gunderson</t>
  </si>
  <si>
    <t>ryan@arborrealestate.com</t>
  </si>
  <si>
    <t>Marcy Weinstein</t>
  </si>
  <si>
    <t>mweinstein@surterreproperties.com</t>
  </si>
  <si>
    <t>7 Sunup, Irvine, CA 92603</t>
  </si>
  <si>
    <t>https://www.realtor.com/realestateandhomes-detail/7-Sunup_Irvine_CA_92603_M12951-01943</t>
  </si>
  <si>
    <t>Yingzi Peng</t>
  </si>
  <si>
    <t>genstrongrealty@gmail.com</t>
  </si>
  <si>
    <t>Alink Realty Group</t>
  </si>
  <si>
    <t>17132 Oak View Dr, Encino, CA 91316</t>
  </si>
  <si>
    <t>https://www.realtor.com/realestateandhomes-detail/17132-Oak-View-Dr_Encino_CA_91316_M10413-10388</t>
  </si>
  <si>
    <t>MaryLou AdameMartinez</t>
  </si>
  <si>
    <t>teammarylourealtor@gmail.com</t>
  </si>
  <si>
    <t>Evan Corkett</t>
  </si>
  <si>
    <t>ecorkett@villarealestate.com</t>
  </si>
  <si>
    <t>23267 Cherry Hill St, Mission Viejo, CA 92692</t>
  </si>
  <si>
    <t>https://www.realtor.com/realestateandhomes-detail/23267-Cherry-Hl_Mission-Viejo_CA_92692_M98773-85317</t>
  </si>
  <si>
    <t>Pam Fecher</t>
  </si>
  <si>
    <t>Pam@PamFecher.com</t>
  </si>
  <si>
    <t>65 Beacon Bay, Newport Beach, CA 92660</t>
  </si>
  <si>
    <t>https://www.realtor.com/realestateandhomes-detail/65-Beacon-Bay_Newport-Beach_CA_92660_M13152-71805</t>
  </si>
  <si>
    <t>Jennifer Thomas</t>
  </si>
  <si>
    <t>jthomas@surterreproperties.com</t>
  </si>
  <si>
    <t>Surterre Properties</t>
  </si>
  <si>
    <t>Michael Farris</t>
  </si>
  <si>
    <t>farristeam@gmail.com</t>
  </si>
  <si>
    <t>26 Montana Del Lago Dr, Rancho Santa Margarita, CA 92688</t>
  </si>
  <si>
    <t>https://www.realtor.com/realestateandhomes-detail/26-Montana-Del-Lago-Dr_Rancho-Santa-Margarita_CA_92688_M16340-58435</t>
  </si>
  <si>
    <t>Cheryl Lynch</t>
  </si>
  <si>
    <t>Cheryl@CherylLynch.com</t>
  </si>
  <si>
    <t>Annie Clougherty</t>
  </si>
  <si>
    <t>annie@annieclougherty.com</t>
  </si>
  <si>
    <t>31678 Seacliff Dr, Laguna Beach, CA 92651</t>
  </si>
  <si>
    <t>https://www.realtor.com/realestateandhomes-detail/31678-Seacliff-Dr_Laguna-Beach_CA_92651_M21575-55874</t>
  </si>
  <si>
    <t>Danielle Purcell</t>
  </si>
  <si>
    <t>dani@teamlaguna.com</t>
  </si>
  <si>
    <t>Team Laguna Inc</t>
  </si>
  <si>
    <t>Justin Van Leeuwen</t>
  </si>
  <si>
    <t>justin4747@gmail.com</t>
  </si>
  <si>
    <t>2572 Bayshore Dr, Newport Beach, CA 92663</t>
  </si>
  <si>
    <t>https://www.realtor.com/realestateandhomes-detail/2572-Bayshore-Dr_Newport-Beach_CA_92663_M17635-90479</t>
  </si>
  <si>
    <t>Steve High</t>
  </si>
  <si>
    <t>shigh@villarealestate.com</t>
  </si>
  <si>
    <t>163 Summerland, Irvine, CA 92602</t>
  </si>
  <si>
    <t>https://www.realtor.com/realestateandhomes-detail/163-Summerland_Irvine_CA_92602_M92593-07224</t>
  </si>
  <si>
    <t>Wenchu Yang</t>
  </si>
  <si>
    <t>luisyang2006@gmail.com</t>
  </si>
  <si>
    <t>Darren Smith</t>
  </si>
  <si>
    <t>darren.smith@camoves.com</t>
  </si>
  <si>
    <t>77 Clifford, Irvine, CA 92618</t>
  </si>
  <si>
    <t>https://www.realtor.com/realestateandhomes-detail/77-Clifford_Irvine_CA_92618_M21496-11989</t>
  </si>
  <si>
    <t>Ayumi Lewis</t>
  </si>
  <si>
    <t>ayumi@ayumirealestate.com</t>
  </si>
  <si>
    <t>27871 Country Lane Rd, Laguna Niguel, CA 92677</t>
  </si>
  <si>
    <t>https://www.realtor.com/realestateandhomes-detail/27871-Country-Lane-Rd_Laguna-Niguel_CA_92677_M10436-76852</t>
  </si>
  <si>
    <t>Natalie Boyle</t>
  </si>
  <si>
    <t>natalie@homesbyverso.com</t>
  </si>
  <si>
    <t>Verso Homes</t>
  </si>
  <si>
    <t>10535 Wilshire Blvd Apt 912, Los Angeles, CA 90024</t>
  </si>
  <si>
    <t>https://www.realtor.com/realestateandhomes-detail/10535-Wilshire-Blvd-Apt-912_Los-Angeles_CA_90024_M22287-43699</t>
  </si>
  <si>
    <t>Brett Smith</t>
  </si>
  <si>
    <t>brett@notchluxury.com</t>
  </si>
  <si>
    <t>Notch Luxury Properties</t>
  </si>
  <si>
    <t>13346 Los Olivos Rd, Sylmar, CA 91342</t>
  </si>
  <si>
    <t>https://www.realtor.com/realestateandhomes-detail/13346-Los-Olivos-Rd_Rancho-Cascades_CA_91342_M11427-99214</t>
  </si>
  <si>
    <t>Karim Wahba</t>
  </si>
  <si>
    <t>karim@wahbagroup.com</t>
  </si>
  <si>
    <t>13231 Fiji Way Unit H, Marina del Rey, CA 90292</t>
  </si>
  <si>
    <t>https://www.realtor.com/realestateandhomes-detail/13231-Fiji-Way-Unit-H_Marina-Del-Rey_CA_90292_M28061-53584</t>
  </si>
  <si>
    <t>Britt Fulton</t>
  </si>
  <si>
    <t>welcomehome949@gmail.com</t>
  </si>
  <si>
    <t>LuXre Realty , Inc.</t>
  </si>
  <si>
    <t>22315 3rd Ave, Laguna Beach, CA 92651</t>
  </si>
  <si>
    <t>https://www.realtor.com/realestateandhomes-detail/22315-3rd-Ave_Laguna-Beach_CA_92651_M20533-70448</t>
  </si>
  <si>
    <t>Jorge Anzaldi</t>
  </si>
  <si>
    <t>jorge.anzaldi@serhant.com</t>
  </si>
  <si>
    <t>Serhant California, Inc.</t>
  </si>
  <si>
    <t>2516 N Tustin Ave Unit A, Santa Ana, CA 92705</t>
  </si>
  <si>
    <t>https://www.realtor.com/realestateandhomes-detail/2516-N-Tustin-Ave-Unit-A_Santa-Ana_CA_92705_M21357-05741</t>
  </si>
  <si>
    <t>Donna Marie Ramirez</t>
  </si>
  <si>
    <t>donnamariehomes@gmail.com</t>
  </si>
  <si>
    <t>222 Marine Ave, Newport Beach, CA 92662</t>
  </si>
  <si>
    <t>https://www.realtor.com/realestateandhomes-detail/222-Marine-Ave_Newport-Beach_CA_92662_M99858-89181</t>
  </si>
  <si>
    <t>Georgie Fenton</t>
  </si>
  <si>
    <t>Georgie.Fenton@camoves.com</t>
  </si>
  <si>
    <t>7268 Ellington Dr, Huntington Beach, CA 92647</t>
  </si>
  <si>
    <t>https://www.realtor.com/realestateandhomes-detail/7268-Ellington-Dr_Huntington-Beach_CA_92647_M98361-50467</t>
  </si>
  <si>
    <t>Casey Fry</t>
  </si>
  <si>
    <t>cfry@risewellhomes.com</t>
  </si>
  <si>
    <t>The New Home Company</t>
  </si>
  <si>
    <t>10124 Jimenez St, Lake View Terrace, CA 91342</t>
  </si>
  <si>
    <t>https://www.realtor.com/realestateandhomes-detail/10124-Jimenez-St_Lake-View-Terrace_CA_91342_M27218-32586</t>
  </si>
  <si>
    <t>Archie Robb</t>
  </si>
  <si>
    <t>archie@archierobb.com</t>
  </si>
  <si>
    <t>Keller Williams Realty La Canada Flintri</t>
  </si>
  <si>
    <t>50 Lincoln Ct, Buena Park, CA 90620</t>
  </si>
  <si>
    <t>https://www.realtor.com/realestateandhomes-detail/50-Lincoln-Ct_Buena-Park_CA_90620_M29013-25726</t>
  </si>
  <si>
    <t>Tae Ki Kim</t>
  </si>
  <si>
    <t>tk@yourprorealty.com</t>
  </si>
  <si>
    <t>California Bridge Realty</t>
  </si>
  <si>
    <t>3714 W Pico Blvd, Los Angeles, CA 90019</t>
  </si>
  <si>
    <t>https://www.realtor.com/realestateandhomes-detail/3714-W-Pico-Blvd_Los-Angeles_CA_90019_M26385-09086</t>
  </si>
  <si>
    <t>Bo Hyeok Kim</t>
  </si>
  <si>
    <t>bo.kim@cbrealty.com</t>
  </si>
  <si>
    <t>601 S Windsor Blvd, Los Angeles, CA 90005</t>
  </si>
  <si>
    <t>https://www.realtor.com/realestateandhomes-detail/601-S-Windsor-Blvd_Los-Angeles_CA_90005_M18746-84809</t>
  </si>
  <si>
    <t>Kennon Earl</t>
  </si>
  <si>
    <t>kennon@rarepropertiesinc.com</t>
  </si>
  <si>
    <t>3301 Coldwater Canyon Ave, Studio City, CA 91604</t>
  </si>
  <si>
    <t>https://www.realtor.com/realestateandhomes-detail/3301-Coldwater-Canyon-Ave_Studio-City_CA_91604_M18433-31096</t>
  </si>
  <si>
    <t>Fernando Lara</t>
  </si>
  <si>
    <t>fl@landlynk.com</t>
  </si>
  <si>
    <t>Brokers Trust Real Estate Group</t>
  </si>
  <si>
    <t>1978 Bonsallo Ave, Los Angeles, CA 90007</t>
  </si>
  <si>
    <t>https://www.realtor.com/realestateandhomes-detail/1978-Bonsallo-Ave_Los-Angeles_CA_90007_M27899-81846</t>
  </si>
  <si>
    <t>Vinnie Park</t>
  </si>
  <si>
    <t>vinnie.park@camoves.com</t>
  </si>
  <si>
    <t>5914 Satsuma Ave, North Hollywood, CA 91601</t>
  </si>
  <si>
    <t>https://www.realtor.com/realestateandhomes-detail/5914-Satsuma-Ave_North-Hollywood_CA_91601_M18681-18483</t>
  </si>
  <si>
    <t>Julius Chung</t>
  </si>
  <si>
    <t>juliuschung@hotmail.com</t>
  </si>
  <si>
    <t>HK Mega Real Estate &amp; Investment</t>
  </si>
  <si>
    <t>20454 W Albion Way, Porter Ranch, CA 91326</t>
  </si>
  <si>
    <t>https://www.realtor.com/realestateandhomes-detail/20454-W-Albion-Way_Porter-Ranch_CA_91326_M91610-91343</t>
  </si>
  <si>
    <t>Marlon Amaya</t>
  </si>
  <si>
    <t>marlonamaya415@gmail.com</t>
  </si>
  <si>
    <t>Real Brokerage Technologies, I</t>
  </si>
  <si>
    <t>420 E 51st St, Los Angeles, CA 90011</t>
  </si>
  <si>
    <t>https://www.realtor.com/realestateandhomes-detail/420-E-51st-St_Los-Angeles_CA_90011_M15200-45898</t>
  </si>
  <si>
    <t>Hyo Kyung Pak</t>
  </si>
  <si>
    <t>karenpak77@hotmail.com</t>
  </si>
  <si>
    <t>David Hong</t>
  </si>
  <si>
    <t>ezcompany0@gmail.com</t>
  </si>
  <si>
    <t>Urban Realty and Management, Inc.</t>
  </si>
  <si>
    <t>400 S Broadway Apt 502, Los Angeles, CA 90013</t>
  </si>
  <si>
    <t>https://www.realtor.com/realestateandhomes-detail/400-S-Broadway-Apt-502_Los-Angeles_CA_90013_M92490-88237</t>
  </si>
  <si>
    <t>Tiffany Gatto</t>
  </si>
  <si>
    <t>tiffany@smartlarealty.com</t>
  </si>
  <si>
    <t>Smart LA Realty</t>
  </si>
  <si>
    <t>1100 S Hope St Apt 1516, Los Angeles, CA 90015</t>
  </si>
  <si>
    <t>https://www.realtor.com/realestateandhomes-detail/1100-S-Hope-St-Apt-1516_Los-Angeles_CA_90015_M14815-17285</t>
  </si>
  <si>
    <t>Rasmus Ray Lee</t>
  </si>
  <si>
    <t>ray@prebrokerage.com</t>
  </si>
  <si>
    <t>Premier Real Estate Broker, Inc.</t>
  </si>
  <si>
    <t>7115 Shadygrove St, Tujunga, CA 91042</t>
  </si>
  <si>
    <t>https://www.realtor.com/realestateandhomes-detail/7115-Shadygrove-St_Tujunga_CA_91042_M10858-09072</t>
  </si>
  <si>
    <t>Joshua Vigo-Fas</t>
  </si>
  <si>
    <t>info@joshvrealty.com</t>
  </si>
  <si>
    <t>7402 Haskell Ave, Van Nuys, CA 91406</t>
  </si>
  <si>
    <t>https://www.realtor.com/realestateandhomes-detail/7402-Haskell-Ave_Van-Nuys_CA_91406_M23573-42627</t>
  </si>
  <si>
    <t>Ian Brody Hutzler</t>
  </si>
  <si>
    <t>hutzlerre@gmail.com</t>
  </si>
  <si>
    <t>325 Museum Dr, Los Angeles, CA 90065</t>
  </si>
  <si>
    <t>https://www.realtor.com/realestateandhomes-detail/325-Museum-Dr_Los-Angeles_CA_90065_M12374-74458</t>
  </si>
  <si>
    <t>Jesse Aguayo</t>
  </si>
  <si>
    <t>jesse@socalteam.net</t>
  </si>
  <si>
    <t>6429 Colgate Ave, Los Angeles, CA 90048</t>
  </si>
  <si>
    <t>https://www.realtor.com/realestateandhomes-detail/6429-Colgate-Ave_Los-Angeles_CA_90048_M19260-74544</t>
  </si>
  <si>
    <t>Jeffrey Benaron</t>
  </si>
  <si>
    <t>jeffrey@lexdiam.com</t>
  </si>
  <si>
    <t>4683 Glenalbyn Dr, Los Angeles, CA 90065</t>
  </si>
  <si>
    <t>https://www.realtor.com/realestateandhomes-detail/4683-Glenalbyn-Dr_Los-Angeles_CA_90065_M92301-30003</t>
  </si>
  <si>
    <t>Mark Priceman</t>
  </si>
  <si>
    <t>markpriceman@gmail.com</t>
  </si>
  <si>
    <t>1105 Rivington, Irvine, CA 92612</t>
  </si>
  <si>
    <t>https://www.realtor.com/realestateandhomes-detail/1105-Rivington_Irvine_CA_92612_M99329-87555</t>
  </si>
  <si>
    <t>Kyung Hun Min</t>
  </si>
  <si>
    <t>jamesminrealtor@gmail.com</t>
  </si>
  <si>
    <t>849 S Broadway Apt 604, Los Angeles, CA 90014</t>
  </si>
  <si>
    <t>https://www.realtor.com/realestateandhomes-detail/849-S-Broadway-Apt-604_Los-Angeles_CA_90014_M21710-23126</t>
  </si>
  <si>
    <t>Roxanna Godinez</t>
  </si>
  <si>
    <t>roxanna@loftway.com</t>
  </si>
  <si>
    <t>Deasy Penner &amp; Partners</t>
  </si>
  <si>
    <t>2338 Avenida Sevilla Apt N, Laguna Woods, CA 92637</t>
  </si>
  <si>
    <t>https://www.realtor.com/realestateandhomes-detail/2338-Avenida-Sevilla-Apt-N_Laguna-Woods_CA_92637_M29547-16050</t>
  </si>
  <si>
    <t>Nicholas Monteer</t>
  </si>
  <si>
    <t>nicholasmonteer@gmail.com</t>
  </si>
  <si>
    <t>8951 St Ives Dr, West Hollywood, CA 90069</t>
  </si>
  <si>
    <t>https://www.realtor.com/realestateandhomes-detail/8951-St-Ives-Dr_Los-Angeles_CA_90069_M29568-87779</t>
  </si>
  <si>
    <t>John Duerler</t>
  </si>
  <si>
    <t>johnduerler@gmail.com</t>
  </si>
  <si>
    <t>104 N Harper Ave, Los Angeles, CA 90048</t>
  </si>
  <si>
    <t>https://www.realtor.com/realestateandhomes-detail/104-N-Harper-Ave_Los-Angeles_CA_90048_M19145-96633</t>
  </si>
  <si>
    <t>Brett Lawyer</t>
  </si>
  <si>
    <t>brett@brettlawyer.com</t>
  </si>
  <si>
    <t>3144 /3152 S Barrington Ave, Los Angeles, CA 90066</t>
  </si>
  <si>
    <t>https://www.realtor.com/realestateandhomes-detail/3144-3152-S-Barrington-Ave_Los-Angeles_CA_90066_M97434-36804</t>
  </si>
  <si>
    <t>Adrienne Barr</t>
  </si>
  <si>
    <t>adrienne.barr@berkadia.com</t>
  </si>
  <si>
    <t>2385 Roscomare Rd Unit E17, Los Angeles, CA 90077</t>
  </si>
  <si>
    <t>https://www.realtor.com/realestateandhomes-detail/2385-Roscomare-Rd-Unit-E17_Los-Angeles_CA_90077_M23629-75624</t>
  </si>
  <si>
    <t>Rena Braud</t>
  </si>
  <si>
    <t>Rena@RenaBraud.com</t>
  </si>
  <si>
    <t>5272 Veronica St, Los Angeles, CA 90008</t>
  </si>
  <si>
    <t>https://www.realtor.com/realestateandhomes-detail/5272-Veronica-St_Los-Angeles_CA_90008_M26119-36545</t>
  </si>
  <si>
    <t>Jonathan Anozie</t>
  </si>
  <si>
    <t>janozie@realtyexchangefirm.com</t>
  </si>
  <si>
    <t>The Realty Exchange Firm</t>
  </si>
  <si>
    <t>15312 Mc Kendree Ave, Pacific Palisades, CA 90272</t>
  </si>
  <si>
    <t>https://www.realtor.com/realestateandhomes-detail/15312-Mc-Kendree-Ave_Pacific-Palisades_CA_90272_M10130-78548</t>
  </si>
  <si>
    <t>John Closson</t>
  </si>
  <si>
    <t>johnclosson@bhhscal.com</t>
  </si>
  <si>
    <t>354 Amalfi Dr, Santa Monica, CA 90402</t>
  </si>
  <si>
    <t>https://www.realtor.com/realestateandhomes-detail/354-Amalfi-Dr_Santa-Monica_CA_90402_M28254-44502</t>
  </si>
  <si>
    <t>Emil Alexander Schneeman</t>
  </si>
  <si>
    <t>emil@bhhscal.com</t>
  </si>
  <si>
    <t>15328 DE Pauw St, Pacific Palisades, CA 90272</t>
  </si>
  <si>
    <t>https://www.realtor.com/realestateandhomes-detail/15328-DE-Pauw-St_Pacific-Palisades_CA_90272_M28401-64549</t>
  </si>
  <si>
    <t>Laurie Hudson</t>
  </si>
  <si>
    <t>lauriehudson@bhhscal.com</t>
  </si>
  <si>
    <t>609 Broadway St, Venice, CA 90291</t>
  </si>
  <si>
    <t>https://www.realtor.com/realestateandhomes-detail/609-Broadway-St_Venice_CA_90291_M17609-28333</t>
  </si>
  <si>
    <t>Jonathan Ahdoot</t>
  </si>
  <si>
    <t>jonny@ahdootrealty.com</t>
  </si>
  <si>
    <t>Realty One Group United</t>
  </si>
  <si>
    <t>11143 Van Buren Ave, Los Angeles, CA 90044</t>
  </si>
  <si>
    <t>https://www.realtor.com/realestateandhomes-detail/11143-Van-Buren-Ave_Los-Angeles_CA_90044_M26767-14199</t>
  </si>
  <si>
    <t>Allan Sekiranda</t>
  </si>
  <si>
    <t>allanbonny6@gmail.com</t>
  </si>
  <si>
    <t>3353 City Terrace Dr, Los Angeles, CA 90063</t>
  </si>
  <si>
    <t>https://www.realtor.com/realestateandhomes-detail/3353-City-Terrace-Dr_Los-Angeles_CA_90063_M19479-09237</t>
  </si>
  <si>
    <t>Yvonne Regis</t>
  </si>
  <si>
    <t>yvonneregis@gmail.com</t>
  </si>
  <si>
    <t>KHORR Realty</t>
  </si>
  <si>
    <t>5000 S Centinela Ave Apt 101, Los Angeles, CA 90066</t>
  </si>
  <si>
    <t>https://www.realtor.com/realestateandhomes-detail/5000-S-Centinela-Ave-Apt-101_Los-Angeles_CA_90066_M12497-88666</t>
  </si>
  <si>
    <t>Fran T Baldwin</t>
  </si>
  <si>
    <t>Frances@ExcelFundingRES.com</t>
  </si>
  <si>
    <t>Excel Funding Real Estate Servies, Inc.</t>
  </si>
  <si>
    <t>324 S Medio Dr, Los Angeles, CA 90049</t>
  </si>
  <si>
    <t>https://www.realtor.com/realestateandhomes-detail/324-S-Medio-Dr_Los-Angeles_CA_90049_M26691-51139</t>
  </si>
  <si>
    <t>Gary Barkin</t>
  </si>
  <si>
    <t>garybarkin@realtyanddesign.com</t>
  </si>
  <si>
    <t>4125 S Figueroa St Apt 101, Los Angeles, CA 90037</t>
  </si>
  <si>
    <t>https://www.realtor.com/realestateandhomes-detail/4125-S-Figueroa-St-Apt-101_Los-Angeles_CA_90037_M16842-51469</t>
  </si>
  <si>
    <t>Judi Reimer</t>
  </si>
  <si>
    <t>judi@morgan55inc.com</t>
  </si>
  <si>
    <t>3314 Wonder View Dr, Los Angeles, CA 90068</t>
  </si>
  <si>
    <t>https://www.realtor.com/realestateandhomes-detail/3314-Wonder-View-Dr_Los-Angeles_CA_90068_M22621-64827</t>
  </si>
  <si>
    <t>Karen Medved</t>
  </si>
  <si>
    <t>karen@karenmedved.com</t>
  </si>
  <si>
    <t>2522 S Bundy Dr, Los Angeles, CA 90064</t>
  </si>
  <si>
    <t>https://www.realtor.com/realestateandhomes-detail/2522-S-Bundy-Dr_Los-Angeles_CA_90064_M23691-97568</t>
  </si>
  <si>
    <t>Tony Haspel</t>
  </si>
  <si>
    <t>tonyh@rodeore.com</t>
  </si>
  <si>
    <t>2037 Hillsboro Ave, Los Angeles, CA 90034</t>
  </si>
  <si>
    <t>https://www.realtor.com/realestateandhomes-detail/2037-Hillsboro-Ave_Los-Angeles_CA_90034_M17770-90380</t>
  </si>
  <si>
    <t>Jeremy Ives</t>
  </si>
  <si>
    <t>jeremy@jeremyives.com</t>
  </si>
  <si>
    <t>9577 Lime Orchard Rd, Beverly Hills, CA 90210</t>
  </si>
  <si>
    <t>https://www.realtor.com/realestateandhomes-detail/9577-Lime-Orchard-Rd_Beverly-Hills_CA_90210_M24912-80795</t>
  </si>
  <si>
    <t>Alexis La Montagna</t>
  </si>
  <si>
    <t>AlexisLamontagna@gmail.com</t>
  </si>
  <si>
    <t>570 S Mapleton Dr, Los Angeles, CA 90024</t>
  </si>
  <si>
    <t>https://www.realtor.com/realestateandhomes-detail/570-S-Mapleton-Dr_Los-Angeles_CA_90024_M26735-64875</t>
  </si>
  <si>
    <t>Max Shapiro</t>
  </si>
  <si>
    <t>ms@weahomes.com</t>
  </si>
  <si>
    <t>Laci Buller</t>
  </si>
  <si>
    <t>laci@reallegacyestatepartners.com</t>
  </si>
  <si>
    <t>2112 City View Ave, Los Angeles, CA 90033</t>
  </si>
  <si>
    <t>https://www.realtor.com/realestateandhomes-detail/2112-City-View-Ave_Los-Angeles_CA_90033_M10995-50056</t>
  </si>
  <si>
    <t>Michael Bovshow</t>
  </si>
  <si>
    <t>michael@trustpropertiesusa.com</t>
  </si>
  <si>
    <t>Trust Properties Usa,Inc</t>
  </si>
  <si>
    <t>8454 Naylor Ave, Los Angeles, CA 90045</t>
  </si>
  <si>
    <t>https://www.realtor.com/realestateandhomes-detail/8454-Naylor-Ave_Los-Angeles_CA_90045_M13569-50995</t>
  </si>
  <si>
    <t>Ed Kaminksy</t>
  </si>
  <si>
    <t>ek@Itzsold.com</t>
  </si>
  <si>
    <t>eXp Realty of California, Inc</t>
  </si>
  <si>
    <t>14413 Valley Vista Blvd, Sherman Oaks, CA 91423</t>
  </si>
  <si>
    <t>https://www.realtor.com/realestateandhomes-detail/14413-Valley-Vista-Blvd_Sherman-Oaks_CA_91423_M24490-05472</t>
  </si>
  <si>
    <t>Jonathan Butler</t>
  </si>
  <si>
    <t>Jon.Butler@elliman.com</t>
  </si>
  <si>
    <t>860 Via De La Paz, Pacific Palisades, CA 90272</t>
  </si>
  <si>
    <t>https://www.realtor.com/realestateandhomes-detail/860-Via-De-La-Paz_Pacific-Palisades_CA_90272_M97560-88904</t>
  </si>
  <si>
    <t>Angelica Gotzev</t>
  </si>
  <si>
    <t>angelica.gotzev@kidder.com</t>
  </si>
  <si>
    <t>Kidder Mathews of California, Inc.</t>
  </si>
  <si>
    <t>13600 Marina Pointe Dr Unit 1904, Marina del Rey, CA 90292</t>
  </si>
  <si>
    <t>https://www.realtor.com/realestateandhomes-detail/13600-Marina-Pointe-Dr-Unit-1904_Marina-Del-Rey_CA_90292_M19242-58998</t>
  </si>
  <si>
    <t>Ryan Sokolowski</t>
  </si>
  <si>
    <t>ryan@coastalluxeliving.com</t>
  </si>
  <si>
    <t>1212 S Weymouth Ave, San Pedro, CA 90732</t>
  </si>
  <si>
    <t>https://www.realtor.com/realestateandhomes-detail/1212-S-Weymouth-Ave_San-Pedro_CA_90732_M29923-06168</t>
  </si>
  <si>
    <t>Leigh Hanisee</t>
  </si>
  <si>
    <t>leighsellssouthbay@gmail.com</t>
  </si>
  <si>
    <t>20600 S Western Ave, Torrance, CA 90501</t>
  </si>
  <si>
    <t>https://www.realtor.com/realestateandhomes-detail/20600-S-Western-Ave_Torrance_CA_90501_M28106-13604</t>
  </si>
  <si>
    <t>Ralph Lepore</t>
  </si>
  <si>
    <t>rvlepore@aol.com</t>
  </si>
  <si>
    <t>South Bay Homes</t>
  </si>
  <si>
    <t>5919 Encino Ave, Encino, CA 91316</t>
  </si>
  <si>
    <t>https://www.realtor.com/realestateandhomes-detail/5919-Encino-Ave_Encino_CA_91316_M18531-60318</t>
  </si>
  <si>
    <t>Wolf Amer</t>
  </si>
  <si>
    <t>wolfamer@kw.com</t>
  </si>
  <si>
    <t>1123 W 18th St, Los Angeles, CA 90015</t>
  </si>
  <si>
    <t>https://www.realtor.com/realestateandhomes-detail/1123-W-18th-St_Los-Angeles_CA_90015_M16129-12626</t>
  </si>
  <si>
    <t>Andre Suarez</t>
  </si>
  <si>
    <t>andre@eplahomes.com</t>
  </si>
  <si>
    <t>10821 Magnolia Blvd, North Hollywood, CA 91601</t>
  </si>
  <si>
    <t>https://www.realtor.com/realestateandhomes-detail/10821-Magnolia-Blvd_North-Hollywood_CA_91601_M19533-33862</t>
  </si>
  <si>
    <t>Floria Hamdam</t>
  </si>
  <si>
    <t>floriausala@gmail.com</t>
  </si>
  <si>
    <t>5257 Radford Ave Unit 212, Valley Village, CA 91607</t>
  </si>
  <si>
    <t>https://www.realtor.com/realestateandhomes-detail/5257-Radford-Ave-Unit-212_Valley-Village_CA_91607_M16060-87025</t>
  </si>
  <si>
    <t>Lilliana Matos</t>
  </si>
  <si>
    <t>lilliana@matosgroupre.com</t>
  </si>
  <si>
    <t>1304 W 17th St, Los Angeles, CA 90006</t>
  </si>
  <si>
    <t>https://www.realtor.com/realestateandhomes-detail/1304-W-17th-St_Los-Angeles_CA_90006_M99897-71346</t>
  </si>
  <si>
    <t>Michael Padilla</t>
  </si>
  <si>
    <t>mspg416@yahoo.com</t>
  </si>
  <si>
    <t>5812 Willis Ave, Sherman Oaks, CA 91411</t>
  </si>
  <si>
    <t>https://www.realtor.com/realestateandhomes-detail/5812-Willis-Ave_Sherman-Oaks_CA_91411_M15848-08266</t>
  </si>
  <si>
    <t>Payton Bahk</t>
  </si>
  <si>
    <t>payton119@gmail.com</t>
  </si>
  <si>
    <t>Hilton &amp; Hyland</t>
  </si>
  <si>
    <t>1606 S Orange Grove Ave, Los Angeles, CA 90019</t>
  </si>
  <si>
    <t>https://www.realtor.com/realestateandhomes-detail/1606-S-Orange-Grove-Ave_Los-Angeles_CA_90019_M16708-48327</t>
  </si>
  <si>
    <t>Michael Kafaei</t>
  </si>
  <si>
    <t>michael@redstringre.com</t>
  </si>
  <si>
    <t>7229 Senalda Rd, Los Angeles, CA 90068</t>
  </si>
  <si>
    <t>https://www.realtor.com/realestateandhomes-detail/7229-Senalda-Rd_Los-Angeles_CA_90068_M11711-66974</t>
  </si>
  <si>
    <t>Nikki Joel</t>
  </si>
  <si>
    <t>Nicole.Joel@camoves.com</t>
  </si>
  <si>
    <t>2506 Zorada Dr, Los Angeles, CA 90046</t>
  </si>
  <si>
    <t>https://www.realtor.com/realestateandhomes-detail/2506-Zorada-Dr_Los-Angeles_CA_90046_M11252-92598</t>
  </si>
  <si>
    <t>Pila Gray Jessie</t>
  </si>
  <si>
    <t>pila@khorrRealty.com</t>
  </si>
  <si>
    <t>3860 Kingswood Rd, Sherman Oaks, CA 91403</t>
  </si>
  <si>
    <t>https://www.realtor.com/realestateandhomes-detail/3860-Kingswood-Rd_Sherman-Oaks_CA_91403_M28536-76342</t>
  </si>
  <si>
    <t>Stephanie Salay</t>
  </si>
  <si>
    <t>StephanieSalay@mac.com</t>
  </si>
  <si>
    <t>2621 Veteran Ave, Los Angeles, CA 90064</t>
  </si>
  <si>
    <t>https://www.realtor.com/realestateandhomes-detail/2621-Veteran-Ave_Los-Angeles_CA_90064_M23886-35869</t>
  </si>
  <si>
    <t>Michael Haddad</t>
  </si>
  <si>
    <t>michael.haddad@compass.com</t>
  </si>
  <si>
    <t>15330 Albright St, Pacific Palisades, CA 90272</t>
  </si>
  <si>
    <t>https://www.realtor.com/realestateandhomes-detail/15330-Albright-St_Pacific-Palisades_CA_90272_M99240-46639</t>
  </si>
  <si>
    <t>Tatiana Weiss</t>
  </si>
  <si>
    <t>tpweiss@gmail.com</t>
  </si>
  <si>
    <t>15 Reef St, Marina del Rey, CA 90292</t>
  </si>
  <si>
    <t>https://www.realtor.com/realestateandhomes-detail/15-Reef-St_Marina-Del-Rey_CA_90292_M16156-91583</t>
  </si>
  <si>
    <t>Ty Bergman</t>
  </si>
  <si>
    <t>tyberginc@aol.com</t>
  </si>
  <si>
    <t>14104 W Chapparel Ln, Van Nuys, CA 91405</t>
  </si>
  <si>
    <t>https://www.realtor.com/realestateandhomes-detail/14104-W-Chapparel-Ln_Van-Nuys_CA_91405_M12585-97825</t>
  </si>
  <si>
    <t>Jay Tremaine</t>
  </si>
  <si>
    <t>jaytremaine@gmail.com</t>
  </si>
  <si>
    <t>3110 Benedict Canyon Dr, Beverly Hills, CA 90210</t>
  </si>
  <si>
    <t>https://www.realtor.com/realestateandhomes-detail/3110-Benedict-Canyon-Dr_Beverly-Hills_CA_90210_M23825-62070</t>
  </si>
  <si>
    <t>Jennie Martin</t>
  </si>
  <si>
    <t>jennie.martin@compass.com</t>
  </si>
  <si>
    <t>10591 Ayres Ave, Los Angeles, CA 90064</t>
  </si>
  <si>
    <t>https://www.realtor.com/realestateandhomes-detail/10591-Ayres-Ave_Los-Angeles_CA_90064_M21826-55633</t>
  </si>
  <si>
    <t>Heyler Realty</t>
  </si>
  <si>
    <t>team@heyler.com</t>
  </si>
  <si>
    <t>840 844 N Poinsettia Pl, Los Angeles, CA 90046</t>
  </si>
  <si>
    <t>https://www.realtor.com/realestateandhomes-detail/840-N-Poinsettia-Pl_Los-Angeles_CA_90046_M22330-34112</t>
  </si>
  <si>
    <t>Alla Zakharova</t>
  </si>
  <si>
    <t>zakharova@ymail.com</t>
  </si>
  <si>
    <t>Nelson Shelton &amp; Associates</t>
  </si>
  <si>
    <t>2473 LA Condesa Dr, Los Angeles, CA 90049</t>
  </si>
  <si>
    <t>https://www.realtor.com/realestateandhomes-detail/2473-LA-Condesa-Dr_Los-Angeles_CA_90049_M16606-11565</t>
  </si>
  <si>
    <t>Sharon Hakimfar</t>
  </si>
  <si>
    <t>sharonhakimfar@gmail.com</t>
  </si>
  <si>
    <t>THE Real Estate Agency</t>
  </si>
  <si>
    <t>1520 E Sandison St, Wilmington, CA 90744</t>
  </si>
  <si>
    <t>https://www.realtor.com/realestateandhomes-detail/1520-E-Sandison-St_Wilmington_CA_90744_M22921-16375</t>
  </si>
  <si>
    <t>Adela Randazzo</t>
  </si>
  <si>
    <t>adelarandazzo@kw.com</t>
  </si>
  <si>
    <t>10216 Cielo Dr, Beverly Hills, CA 90210</t>
  </si>
  <si>
    <t>https://www.realtor.com/realestateandhomes-detail/10216-Cielo-Dr_Beverly-Hills_CA_90210_M18874-46973</t>
  </si>
  <si>
    <t>Leslie Bega</t>
  </si>
  <si>
    <t>lesliebega@mac.com</t>
  </si>
  <si>
    <t>5015 Calatrana Dr, Woodland Hills, CA 91364</t>
  </si>
  <si>
    <t>https://www.realtor.com/realestateandhomes-detail/5015-Calatrana-Dr_Woodland-Hills_CA_91364_M29517-74396</t>
  </si>
  <si>
    <t>Angel White</t>
  </si>
  <si>
    <t>angel@angelwhitesellsla.com</t>
  </si>
  <si>
    <t>533 Via De La Paz, Pacific Palisades, CA 90272</t>
  </si>
  <si>
    <t>https://www.realtor.com/realestateandhomes-detail/533-Via-De-La-Paz_Pacific-Palisades_CA_90272_M28057-30818</t>
  </si>
  <si>
    <t>Laura  Buffone</t>
  </si>
  <si>
    <t>laura@fritzbuffonegroup.com</t>
  </si>
  <si>
    <t>14607 Bestor Blvd, Pacific Palisades, CA 90272</t>
  </si>
  <si>
    <t>https://www.realtor.com/realestateandhomes-detail/14607-Bestor-Blvd_Pacific-Palisades_CA_90272_M10375-25006</t>
  </si>
  <si>
    <t>Marco Rufo</t>
  </si>
  <si>
    <t>info@marcorufo.com</t>
  </si>
  <si>
    <t>611 W 109th St, Los Angeles, CA 90044</t>
  </si>
  <si>
    <t>https://www.realtor.com/realestateandhomes-detail/611-W-109th-St_Los-Angeles_CA_90044_M23170-60589</t>
  </si>
  <si>
    <t>Jacqueline Green</t>
  </si>
  <si>
    <t>principalrealtygroup@earthlink.net</t>
  </si>
  <si>
    <t>Principal Realty Group</t>
  </si>
  <si>
    <t>15263 Mulholland Dr, Los Angeles, CA 90077</t>
  </si>
  <si>
    <t>https://www.realtor.com/realestateandhomes-detail/15263-Mulholland-Dr_Los-Angeles_CA_90077_M27741-50821</t>
  </si>
  <si>
    <t>Kevin Krakower</t>
  </si>
  <si>
    <t>kevin.krakower@elliman.com</t>
  </si>
  <si>
    <t>1459 W 85th St, Los Angeles, CA 90047</t>
  </si>
  <si>
    <t>https://www.realtor.com/realestateandhomes-detail/1459-W-85th-St_Los-Angeles_CA_90047_M15792-32193</t>
  </si>
  <si>
    <t>Melissa Knight</t>
  </si>
  <si>
    <t>rk8896@ca.rr.com</t>
  </si>
  <si>
    <t>The Hills Premier Realty</t>
  </si>
  <si>
    <t>3690 Crownridge Dr, Sherman Oaks, CA 91403</t>
  </si>
  <si>
    <t>https://www.realtor.com/realestateandhomes-detail/3690-Crownridge-Dr_Sherman-Oaks_CA_91403_M28251-67896</t>
  </si>
  <si>
    <t>Lloyd Ross</t>
  </si>
  <si>
    <t>Lloyd.Ross@elliman.com</t>
  </si>
  <si>
    <t>1508 Sanborn Ave, Los Angeles, CA 90027</t>
  </si>
  <si>
    <t>https://www.realtor.com/realestateandhomes-detail/1508-Sanborn-Ave_Los-Angeles_CA_90027_M24925-37933</t>
  </si>
  <si>
    <t>Katie Crain</t>
  </si>
  <si>
    <t>kc@weahomes.com</t>
  </si>
  <si>
    <t>4760 Corbin Ave, Tarzana, CA 91356</t>
  </si>
  <si>
    <t>https://www.realtor.com/realestateandhomes-detail/4760-Corbin-Ave_Tarzana_CA_91356_M20891-39639</t>
  </si>
  <si>
    <t>Tai savetsila</t>
  </si>
  <si>
    <t>tai@agentsofla.com</t>
  </si>
  <si>
    <t>Agents Of LA., Inc.</t>
  </si>
  <si>
    <t>1311 W Capitol Dr Unit 184, San Pedro, CA 90732</t>
  </si>
  <si>
    <t>https://www.realtor.com/realestateandhomes-detail/1311-W-Capitol-Dr-Unit-184_San-Pedro_CA_90732_M26529-25229</t>
  </si>
  <si>
    <t>Mike Harper</t>
  </si>
  <si>
    <t>mike@harperhazdovac.com</t>
  </si>
  <si>
    <t>HH Coastal Real Estate</t>
  </si>
  <si>
    <t>5328 W 62nd St, Los Angeles, CA 90056</t>
  </si>
  <si>
    <t>https://www.realtor.com/realestateandhomes-detail/5328-W-62nd-St_Los-Angeles_CA_90056_M11477-77260</t>
  </si>
  <si>
    <t>Robert Pitts</t>
  </si>
  <si>
    <t>rpitts9600@aol.com</t>
  </si>
  <si>
    <t>Robert Pitts Luxury Estates</t>
  </si>
  <si>
    <t>1240 N Wetherly Dr, Los Angeles, CA 90069</t>
  </si>
  <si>
    <t>https://www.realtor.com/realestateandhomes-detail/1240-N-Wetherly-Dr_Los-Angeles_CA_90069_M29953-46231</t>
  </si>
  <si>
    <t>Aileen Comora</t>
  </si>
  <si>
    <t>acomora@theagencyre.com</t>
  </si>
  <si>
    <t>967 Lucile Ave, Los Angeles, CA 90026</t>
  </si>
  <si>
    <t>https://www.realtor.com/realestateandhomes-detail/967-Lucile-Ave_Los-Angeles_CA_90026_M25558-05812</t>
  </si>
  <si>
    <t>Anita Chen</t>
  </si>
  <si>
    <t>anita.chen@rodeore.com</t>
  </si>
  <si>
    <t>Rodeo Realty - Pacific Palisades</t>
  </si>
  <si>
    <t>10328 Cresta Dr, Los Angeles, CA 90064</t>
  </si>
  <si>
    <t>https://www.realtor.com/realestateandhomes-detail/10328-Cresta-Dr_Los-Angeles_CA_90064_M18872-48506</t>
  </si>
  <si>
    <t>Brian Linder</t>
  </si>
  <si>
    <t>blinder@tvoa.net</t>
  </si>
  <si>
    <t>11350 Foothill Blvd Unit 15, Sylmar, CA 91342</t>
  </si>
  <si>
    <t>https://www.realtor.com/realestateandhomes-detail/11350-Foothill-Blvd-Unit-15_Sylmar_CA_91342_M22532-87892</t>
  </si>
  <si>
    <t>Jessica Miller</t>
  </si>
  <si>
    <t>jessicamillerre@gmail.com</t>
  </si>
  <si>
    <t>5224 Woodlake Ave, Woodland Hills, CA 91367</t>
  </si>
  <si>
    <t>https://www.realtor.com/realestateandhomes-detail/5224-Woodlake-Ave_Woodland-Hills_CA_91367_M18693-67855</t>
  </si>
  <si>
    <t>Hengame Abaghi</t>
  </si>
  <si>
    <t>dreamteaminla@gmail.com</t>
  </si>
  <si>
    <t>12642 Sandhill Ln Apt 1, Playa Vista, CA 90094</t>
  </si>
  <si>
    <t>https://www.realtor.com/realestateandhomes-detail/12642-Sandhill-Ln-Apt-1_Playa-Vista_CA_90094_M24544-85581</t>
  </si>
  <si>
    <t>Kris Zacuto</t>
  </si>
  <si>
    <t>kris@kriszacuto.com</t>
  </si>
  <si>
    <t>1114 S Sherbourne Dr, Los Angeles, CA 90035</t>
  </si>
  <si>
    <t>https://www.realtor.com/realestateandhomes-detail/1114-S-Sherbourne-Dr_Los-Angeles_CA_90035_M93752-89626</t>
  </si>
  <si>
    <t>Austin Zahn</t>
  </si>
  <si>
    <t>austin@lyonstahl.com</t>
  </si>
  <si>
    <t>250 N Carolwood Dr, Los Angeles, CA 90077</t>
  </si>
  <si>
    <t>https://www.realtor.com/realestateandhomes-detail/250-N-Carolwood-Dr_Los-Angeles_CA_90077_M22190-54554</t>
  </si>
  <si>
    <t>Barry Watts</t>
  </si>
  <si>
    <t>barry.watts@me.com</t>
  </si>
  <si>
    <t>716 W 30th St, Los Angeles, CA 90007</t>
  </si>
  <si>
    <t>https://www.realtor.com/realestateandhomes-detail/716-W-30th-St_Los-Angeles_CA_90007_M20169-74309</t>
  </si>
  <si>
    <t>Keith Moret</t>
  </si>
  <si>
    <t>keith@theensburygroup.com</t>
  </si>
  <si>
    <t>1409 Dolphin Ter, Corona Del Mar, CA 92625</t>
  </si>
  <si>
    <t>https://www.realtor.com/realestateandhomes-detail/1409-Dolphin-Ter_Corona-Del-Mar_CA_92625_M20012-72660</t>
  </si>
  <si>
    <t>Remo Polselli</t>
  </si>
  <si>
    <t>remo@lindenrosecompany.com</t>
  </si>
  <si>
    <t>Luxury Fine Homes, Inc.</t>
  </si>
  <si>
    <t>13607 S Menlo Ave, Gardena, CA 90247</t>
  </si>
  <si>
    <t>https://www.realtor.com/realestateandhomes-detail/13607-S-Menlo-Ave_Gardena_CA_90247_M13789-53646</t>
  </si>
  <si>
    <t>Justin Miller</t>
  </si>
  <si>
    <t>mrjustinmiller@gmail.com</t>
  </si>
  <si>
    <t>Beach City Brokers</t>
  </si>
  <si>
    <t>3045 Wellington Rd, Los Angeles, CA 90016</t>
  </si>
  <si>
    <t>https://www.realtor.com/realestateandhomes-detail/3045-Wellington-Rd_Los-Angeles_CA_90016_M12009-62058</t>
  </si>
  <si>
    <t>Suminda Sellahewa</t>
  </si>
  <si>
    <t>suminda@aol.com</t>
  </si>
  <si>
    <t>Avarnka Real Estate, Inc.</t>
  </si>
  <si>
    <t>251 N Kenmore Ave, Los Angeles, CA 90004</t>
  </si>
  <si>
    <t>https://www.realtor.com/realestateandhomes-detail/251-N-Kenmore-Ave-Apt-2_Los-Angeles_CA_90004_M21221-30667</t>
  </si>
  <si>
    <t>Nili Hudson</t>
  </si>
  <si>
    <t>nili@nilihudson.com</t>
  </si>
  <si>
    <t>10570 Lindbrook Dr, Los Angeles, CA 90024</t>
  </si>
  <si>
    <t>https://www.realtor.com/realestateandhomes-detail/10570-Lindbrook-Dr_Los-Angeles_CA_90024_M14211-51991</t>
  </si>
  <si>
    <t>James Bremner</t>
  </si>
  <si>
    <t>jim@jamesbremner.com</t>
  </si>
  <si>
    <t>2209 Banyan Dr, Los Angeles, CA 90049</t>
  </si>
  <si>
    <t>https://www.realtor.com/realestateandhomes-detail/2209-Banyan-Dr_Los-Angeles_CA_90049_M16874-80310</t>
  </si>
  <si>
    <t>Kevin Booker</t>
  </si>
  <si>
    <t>kevin@kevinbooker.com</t>
  </si>
  <si>
    <t>7560 Hollywood Blvd Apt 108, Los Angeles, CA 90046</t>
  </si>
  <si>
    <t>https://www.realtor.com/realestateandhomes-detail/7560-Hollywood-Blvd-Apt-108_Los-Angeles_CA_90046_M10273-04233</t>
  </si>
  <si>
    <t>Ronald Thomas</t>
  </si>
  <si>
    <t>Ron.Thomas@Sothebys.Realty</t>
  </si>
  <si>
    <t>3260 Malcolm Ave, Los Angeles, CA 90034</t>
  </si>
  <si>
    <t>https://www.realtor.com/realestateandhomes-detail/3260-Malcolm-Ave_Los-Angeles_CA_90034_M23098-92933</t>
  </si>
  <si>
    <t>Joel Newton</t>
  </si>
  <si>
    <t>joel.newton@compass.com</t>
  </si>
  <si>
    <t>28004 S Western Ave Unit 319, San Pedro, CA 90732</t>
  </si>
  <si>
    <t>https://www.realtor.com/realestateandhomes-detail/28004-S-Western-Ave-Unit-319_San-Pedro_CA_90732_M25671-01764</t>
  </si>
  <si>
    <t>Mike Naylor</t>
  </si>
  <si>
    <t>mike@naylorproperties.com</t>
  </si>
  <si>
    <t>3125 Kelton Ave, Los Angeles, CA 90034</t>
  </si>
  <si>
    <t>https://www.realtor.com/realestateandhomes-detail/3125-Kelton-Ave_Los-Angeles_CA_90034_M23329-97817</t>
  </si>
  <si>
    <t>Todd Miller</t>
  </si>
  <si>
    <t>info@kelleyandtodd.com</t>
  </si>
  <si>
    <t>153 W Channel Rd, Santa Monica, CA 90402</t>
  </si>
  <si>
    <t>https://www.realtor.com/realestateandhomes-detail/153-W-Channel-Rd_Santa-Monica_CA_90402_M99080-77612</t>
  </si>
  <si>
    <t>James Allan</t>
  </si>
  <si>
    <t>jallan007@msn.com</t>
  </si>
  <si>
    <t>9315 Beverly Crest Dr, Beverly Hills, CA 90210</t>
  </si>
  <si>
    <t>https://www.realtor.com/realestateandhomes-detail/9315-Beverly-Crest-Dr_Beverly-Hills_CA_90210_M13232-91626</t>
  </si>
  <si>
    <t>Markus Canter</t>
  </si>
  <si>
    <t>markus@stjamescanter.com</t>
  </si>
  <si>
    <t>327 Ogden Dr, Los Angeles, CA 90036</t>
  </si>
  <si>
    <t>https://www.realtor.com/realestateandhomes-detail/327-N-Ogden-Dr_Los-Angeles_CA_90036_M97272-56575</t>
  </si>
  <si>
    <t>Jason Paukovits</t>
  </si>
  <si>
    <t>agentjp73@gmail.com</t>
  </si>
  <si>
    <t>1 Spinnaker St Apt 2, Marina del Rey, CA 90292</t>
  </si>
  <si>
    <t>https://www.realtor.com/realestateandhomes-detail/1-Spinnaker-St-Apt-2_Marina-Del-Rey_CA_90292_M15961-64229</t>
  </si>
  <si>
    <t>Dahlia Pashaie</t>
  </si>
  <si>
    <t>dahliapashaie@gmail.com</t>
  </si>
  <si>
    <t>Core Realty, Inc.</t>
  </si>
  <si>
    <t>3711 Ocean Front Walk Apt 3, Marina del Rey, CA 90292</t>
  </si>
  <si>
    <t>https://www.realtor.com/realestateandhomes-detail/3711-Ocean-Front-Walk-Apt-3_Marina-Del-Rey_CA_90292_M12189-65357</t>
  </si>
  <si>
    <t>William Durfee</t>
  </si>
  <si>
    <t>durfeehomes@gmail.com</t>
  </si>
  <si>
    <t>1432 Brett Pl Unit 77, San Pedro, CA 90732</t>
  </si>
  <si>
    <t>https://www.realtor.com/realestateandhomes-detail/1432-Brett-Pl-Unit-77_San-Pedro_CA_90732_M26617-94524</t>
  </si>
  <si>
    <t>Angel Estrada</t>
  </si>
  <si>
    <t>angelerealtor@gmail.com</t>
  </si>
  <si>
    <t>1274 W Court St, Los Angeles, CA 90026</t>
  </si>
  <si>
    <t>https://www.realtor.com/realestateandhomes-detail/1274-W-Court-St_Los-Angeles_CA_90026_M10673-52281</t>
  </si>
  <si>
    <t>Roger Phillips</t>
  </si>
  <si>
    <t>rphillips@kw.com</t>
  </si>
  <si>
    <t>2431 Benedict Canyon Dr, Beverly Hills, CA 90210</t>
  </si>
  <si>
    <t>https://www.realtor.com/realestateandhomes-detail/2431-Benedict-Canyon-Dr_Beverly-Hills_CA_90210_M24085-87670</t>
  </si>
  <si>
    <t>Tony Sadeghini</t>
  </si>
  <si>
    <t>tonycohenlawfirm@gmail.com</t>
  </si>
  <si>
    <t>Signature Realty &amp; Loans</t>
  </si>
  <si>
    <t>10821 Hartsook St, North Hollywood, CA 91601</t>
  </si>
  <si>
    <t>https://www.realtor.com/realestateandhomes-detail/10821-Hartsook-St_North-Hollywood_CA_91601_M19556-18916</t>
  </si>
  <si>
    <t>Stacy Blaugrand</t>
  </si>
  <si>
    <t>sblaugrand@aol.com</t>
  </si>
  <si>
    <t>1163 N Ditman Ave, City Terrace, CA 90063</t>
  </si>
  <si>
    <t>https://www.realtor.com/realestateandhomes-detail/1163-N-Ditman-Ave_Los-Angeles_CA_90063_M18918-10940</t>
  </si>
  <si>
    <t>Susan Stanley</t>
  </si>
  <si>
    <t>angels4sue@att.net</t>
  </si>
  <si>
    <t>HOME TEAM REALTY</t>
  </si>
  <si>
    <t>2222 Avenue of the Stars Unit 1203, Los Angeles, CA 90067</t>
  </si>
  <si>
    <t>https://www.realtor.com/realestateandhomes-detail/2222-Avenue-of-the-Stars-Unit-1203_Los-Angeles_CA_90067_M26772-11955</t>
  </si>
  <si>
    <t>Melissa Menard</t>
  </si>
  <si>
    <t>Melissa@MelissaMenardHomes.com</t>
  </si>
  <si>
    <t>607 Lillian Way, Los Angeles, CA 90004</t>
  </si>
  <si>
    <t>https://www.realtor.com/realestateandhomes-detail/607-Lillian-Way_Los-Angeles_CA_90004_M21814-20782</t>
  </si>
  <si>
    <t>Peter Buonocore</t>
  </si>
  <si>
    <t>pete@coregroupla.com</t>
  </si>
  <si>
    <t>Peter Hazdovac</t>
  </si>
  <si>
    <t>peter@hhcoastal.com</t>
  </si>
  <si>
    <t>909 Rivas Canyon Rd, Pacific Palisades, CA 90272</t>
  </si>
  <si>
    <t>https://www.realtor.com/realestateandhomes-detail/909-Rivas-Canyon-Rd_Pacific-Palisades_CA_90272_M27678-68621</t>
  </si>
  <si>
    <t>Samuel Green</t>
  </si>
  <si>
    <t>sam@danurbach.com</t>
  </si>
  <si>
    <t>1542 2nd Ave, Los Angeles, CA 90019</t>
  </si>
  <si>
    <t>https://www.realtor.com/realestateandhomes-detail/1542-2nd-Ave_Los-Angeles_CA_90019_M17624-85279</t>
  </si>
  <si>
    <t>Coby Chatwin</t>
  </si>
  <si>
    <t>coby@linkbrokerages.com</t>
  </si>
  <si>
    <t>Link Brokerages</t>
  </si>
  <si>
    <t>Cristie St. James</t>
  </si>
  <si>
    <t>stjamesest@aol.com</t>
  </si>
  <si>
    <t>Haya Handel</t>
  </si>
  <si>
    <t>hayahandel@gmail.com</t>
  </si>
  <si>
    <t>109 N Sycamore Ave Apt 102, Los Angeles, CA 90036</t>
  </si>
  <si>
    <t>https://www.realtor.com/realestateandhomes-detail/109-N-Sycamore-Ave-Apt-102_Los-Angeles_CA_90036_M27259-71797</t>
  </si>
  <si>
    <t>Ilana Gafni</t>
  </si>
  <si>
    <t>ilana@crosbydoe.com</t>
  </si>
  <si>
    <t>Crosby Doe Associates, Inc.</t>
  </si>
  <si>
    <t>, Isla Playa de Novillero Tecuala Nayarit Mexico, CA 90077</t>
  </si>
  <si>
    <t>https://www.realtor.com/realestateandhomes-detail/Isla-Playa-De-Novillero-Tecuala-Nayarit-Mexico_CA_90077_M98719-49839</t>
  </si>
  <si>
    <t>Joey Parsi</t>
  </si>
  <si>
    <t>joey.parsi@theagencyre.com</t>
  </si>
  <si>
    <t>726 Howard St, Marina del Rey, CA 90292</t>
  </si>
  <si>
    <t>https://www.realtor.com/realestateandhomes-detail/726-Howard-St_Marina-Del-Rey_CA_90292_M14148-02259</t>
  </si>
  <si>
    <t>Ross Groefsema</t>
  </si>
  <si>
    <t>Ross.Groefsema@elliman.com</t>
  </si>
  <si>
    <t>Angelica Suarez</t>
  </si>
  <si>
    <t>ANGELICA@ANGELICASUAREZ.COM</t>
  </si>
  <si>
    <t>11282 Dona Lola Dr, Studio City, CA 91604</t>
  </si>
  <si>
    <t>https://www.realtor.com/realestateandhomes-detail/11282-Dona-Lola-Dr_Studio-City_CA_91604_M13580-96793</t>
  </si>
  <si>
    <t>Karin Hollink</t>
  </si>
  <si>
    <t>khollink@yahoo.com</t>
  </si>
  <si>
    <t>2563 S Bentley Ave, Los Angeles, CA 90064</t>
  </si>
  <si>
    <t>https://www.realtor.com/realestateandhomes-detail/2563-S-Bentley-Ave_Los-Angeles_CA_90064_M23846-85679</t>
  </si>
  <si>
    <t>Armin Monfared</t>
  </si>
  <si>
    <t>armin@innovaterealty.com</t>
  </si>
  <si>
    <t>2331 Outpost Dr, Los Angeles, CA 90068</t>
  </si>
  <si>
    <t>https://www.realtor.com/realestateandhomes-detail/2331-Outpost-Dr_Los-Angeles_CA_90068_M11784-71098</t>
  </si>
  <si>
    <t>Elisabeth Halsted</t>
  </si>
  <si>
    <t>eh@elisabethhalsted.com</t>
  </si>
  <si>
    <t>16822 Escalon Dr, Encino, CA 91436</t>
  </si>
  <si>
    <t>https://www.realtor.com/realestateandhomes-detail/16822-Escalon-Dr_Encino_CA_91436_M10288-26298</t>
  </si>
  <si>
    <t>Gia Casty</t>
  </si>
  <si>
    <t>gia@castyliving.com</t>
  </si>
  <si>
    <t>312 Bellino Dr, Pacific Palisades, CA 90272</t>
  </si>
  <si>
    <t>https://www.realtor.com/realestateandhomes-detail/312-Bellino-Dr_Pacific-Palisades_CA_90272_M29223-73218</t>
  </si>
  <si>
    <t>Daniel Rinsch</t>
  </si>
  <si>
    <t>drinsch@gmail.com</t>
  </si>
  <si>
    <t>8581 Appian Way, Los Angeles, CA 90046</t>
  </si>
  <si>
    <t>https://www.realtor.com/realestateandhomes-detail/8581-Appian-Way_Los-Angeles_CA_90046_M10160-28855</t>
  </si>
  <si>
    <t>Phil Missig</t>
  </si>
  <si>
    <t>phil@philmissig.com</t>
  </si>
  <si>
    <t>5827 Bowcroft St Unit 2, Los Angeles, CA 90016</t>
  </si>
  <si>
    <t>https://www.realtor.com/realestateandhomes-detail/5827-Bowcroft-St-Unit-2_Los-Angeles_CA_90016_M26344-53398</t>
  </si>
  <si>
    <t>Alicia Rivett</t>
  </si>
  <si>
    <t>alicia.rivett@theagencyre.com</t>
  </si>
  <si>
    <t>Kofi Natei Nartey</t>
  </si>
  <si>
    <t>kofi@theagencyre.com</t>
  </si>
  <si>
    <t>Globl RED</t>
  </si>
  <si>
    <t>9120 S Van Ness Ave, Los Angeles, CA 90047</t>
  </si>
  <si>
    <t>https://www.realtor.com/realestateandhomes-detail/9120-S-Van-Ness-Ave_Los-Angeles_CA_90047_M16102-74723</t>
  </si>
  <si>
    <t>Jay Dharmasuriya</t>
  </si>
  <si>
    <t>jaydh79@hotmail.com</t>
  </si>
  <si>
    <t>Realty Brokerage Group Inc</t>
  </si>
  <si>
    <t>11723 Goshen Ave Apt 302, Los Angeles, CA 90049</t>
  </si>
  <si>
    <t>https://www.realtor.com/realestateandhomes-detail/11723-Goshen-Ave-Apt-302_Los-Angeles_CA_90049_M26586-64888</t>
  </si>
  <si>
    <t>Paul Salazar</t>
  </si>
  <si>
    <t>paul@paulsalazargroup.com</t>
  </si>
  <si>
    <t>1615 Blue Jay Way, West Hollywood, CA 90069</t>
  </si>
  <si>
    <t>https://www.realtor.com/realestateandhomes-detail/1615-Blue-Jay-Way_Los-Angeles_CA_90069_M20094-59121</t>
  </si>
  <si>
    <t>Stephen Resnick</t>
  </si>
  <si>
    <t>stephen@sresnick.com</t>
  </si>
  <si>
    <t>Nancy Gonzalez</t>
  </si>
  <si>
    <t>nancy@lrgla.com</t>
  </si>
  <si>
    <t>Elena Jovis</t>
  </si>
  <si>
    <t>elenajovis@gmail.com</t>
  </si>
  <si>
    <t>1716 Brockton Ave Apt 101, Los Angeles, CA 90025</t>
  </si>
  <si>
    <t>https://www.realtor.com/realestateandhomes-detail/1716-Brockton-Ave-Apt-101_Los-Angeles_CA_90025_M15187-14991</t>
  </si>
  <si>
    <t>Dittany Zhang-Seltzer</t>
  </si>
  <si>
    <t>real_dee1@yahoo.com</t>
  </si>
  <si>
    <t>Sunoom Realty</t>
  </si>
  <si>
    <t>1133 Somera Rd, Los Angeles, CA 90077</t>
  </si>
  <si>
    <t>https://www.realtor.com/realestateandhomes-detail/1133-Somera-Rd_Los-Angeles_CA_90077_M18797-09413</t>
  </si>
  <si>
    <t>Kyle Eisenhart</t>
  </si>
  <si>
    <t>kyle@kyleeisenhart.com</t>
  </si>
  <si>
    <t>14412 Killion St Unit 205, Sherman Oaks, CA 91401</t>
  </si>
  <si>
    <t>https://www.realtor.com/realestateandhomes-detail/14412-Killion-St-Unit-205_Sherman-Oaks_CA_91401_M11452-65491</t>
  </si>
  <si>
    <t>Inna Ivchenko</t>
  </si>
  <si>
    <t>inna.ivchenko.realtor@gmail.com</t>
  </si>
  <si>
    <t>836 S Catalina St, Los Angeles, CA 90005</t>
  </si>
  <si>
    <t>https://www.realtor.com/realestateandhomes-detail/836-S-Catalina-St_Los-Angeles_CA_90005_M14694-76014</t>
  </si>
  <si>
    <t>David Kaufman</t>
  </si>
  <si>
    <t>david.kaufman@kaufmancommercial.com</t>
  </si>
  <si>
    <t>David Ballin Kaufman</t>
  </si>
  <si>
    <t>1320 W Cannon Dr, Los Angeles, CA 90026</t>
  </si>
  <si>
    <t>https://www.realtor.com/realestateandhomes-detail/1320-W-Cannon-Dr_Los-Angeles_CA_90026_M90893-42868</t>
  </si>
  <si>
    <t>Arrik Weathers</t>
  </si>
  <si>
    <t>arrik@arrikweathers.com</t>
  </si>
  <si>
    <t>First Elite</t>
  </si>
  <si>
    <t>3456 Laurelvale Dr, Studio City, CA 91604</t>
  </si>
  <si>
    <t>https://www.realtor.com/realestateandhomes-detail/3456-Laurelvale-Dr_Studio-City_CA_91604_M12899-74650</t>
  </si>
  <si>
    <t>Todd Jones</t>
  </si>
  <si>
    <t>todd@toddjoneshomes.com</t>
  </si>
  <si>
    <t>312 W 5th St Apt 606, Los Angeles, CA 90013</t>
  </si>
  <si>
    <t>https://www.realtor.com/realestateandhomes-detail/312-W-5th-St-Apt-606_Los-Angeles_CA_90013_M14798-43771</t>
  </si>
  <si>
    <t>Toni Nan Xiong</t>
  </si>
  <si>
    <t>toni8000@gmail.com</t>
  </si>
  <si>
    <t>Exp Commercial of California, Inc.</t>
  </si>
  <si>
    <t>7716 Grove St, Tujunga, CA 91042</t>
  </si>
  <si>
    <t>https://www.realtor.com/realestateandhomes-detail/7716-Grove-St_Tujunga_CA_91042_M28192-08494</t>
  </si>
  <si>
    <t>Shannon Hayon</t>
  </si>
  <si>
    <t>shannon@nda-re.com</t>
  </si>
  <si>
    <t>10490 Wilshire Blvd Ph 4, Los Angeles, CA 90024</t>
  </si>
  <si>
    <t>https://www.realtor.com/realestateandhomes-detail/10490-Wilshire-Blvd-Ph-4_Los-Angeles_CA_90024_M25274-40132</t>
  </si>
  <si>
    <t>Jill Epstein</t>
  </si>
  <si>
    <t>jill@jillepsteinre.com</t>
  </si>
  <si>
    <t>2282 Canyonback Rd, Los Angeles, CA 90049</t>
  </si>
  <si>
    <t>https://www.realtor.com/realestateandhomes-detail/2282-Canyonback-Rd_Los-Angeles_CA_90049_M16855-42481</t>
  </si>
  <si>
    <t>Betty Wang</t>
  </si>
  <si>
    <t>team@teambettywang.com</t>
  </si>
  <si>
    <t>16632 Calle Jermaine, Pacific Palisades, CA 90272</t>
  </si>
  <si>
    <t>https://www.realtor.com/realestateandhomes-detail/16632-Calle-Jermaine_Pacific-Palisades_CA_90272_M26144-46203</t>
  </si>
  <si>
    <t>Evan Conover</t>
  </si>
  <si>
    <t>evan.conover@jamesrespondek.com</t>
  </si>
  <si>
    <t>1732 S New England St, Los Angeles, CA 90006</t>
  </si>
  <si>
    <t>https://www.realtor.com/realestateandhomes-detail/1732-S-New-England-St_Los-Angeles_CA_90006_M13280-38922</t>
  </si>
  <si>
    <t>Guillermo Plascencia Rodriguez</t>
  </si>
  <si>
    <t>rodriguezandassociates1@gmail.com</t>
  </si>
  <si>
    <t>Guillermo Rodriguez, Broker</t>
  </si>
  <si>
    <t>694 N Tigertail Rd, Los Angeles, CA 90049</t>
  </si>
  <si>
    <t>https://www.realtor.com/realestateandhomes-detail/694-N-Tigertail-Rd_Los-Angeles_CA_90049_M17488-57317</t>
  </si>
  <si>
    <t>David Parnes</t>
  </si>
  <si>
    <t>dparnes@theagencyre.com</t>
  </si>
  <si>
    <t>Crystal Garrett</t>
  </si>
  <si>
    <t>crystalgrealestate@gmail.com</t>
  </si>
  <si>
    <t>Tony Self</t>
  </si>
  <si>
    <t>Tony@HunterMason.com</t>
  </si>
  <si>
    <t>939 E 88th Pl, Los Angeles, CA 90002</t>
  </si>
  <si>
    <t>https://www.realtor.com/realestateandhomes-detail/939-E-88th-Pl_Los-Angeles_CA_90002_M17751-76519</t>
  </si>
  <si>
    <t>Manuel Cortez</t>
  </si>
  <si>
    <t>zetrockinvestments@gmail.com</t>
  </si>
  <si>
    <t>7123 Greeley St Apt 102, Tujunga, CA 91042</t>
  </si>
  <si>
    <t>https://www.realtor.com/realestateandhomes-detail/7123-Greeley-St-Apt-102_Tujunga_CA_91042_M28993-37240</t>
  </si>
  <si>
    <t>Dana Austin</t>
  </si>
  <si>
    <t>danaaustinla@gmail.com</t>
  </si>
  <si>
    <t>3415 Bellevue Ave, Los Angeles, CA 90026</t>
  </si>
  <si>
    <t>https://www.realtor.com/realestateandhomes-detail/3415-Bellevue-Ave_Los-Angeles_CA_90026_M21791-21666</t>
  </si>
  <si>
    <t>Martin Fish</t>
  </si>
  <si>
    <t>martin@streetlamppartners.com</t>
  </si>
  <si>
    <t>Citivest Realty Services</t>
  </si>
  <si>
    <t>3 Bode Dr, Los Angeles, CA 90069</t>
  </si>
  <si>
    <t>https://www.realtor.com/realestateandhomes-detail/3-Bode-Dr_Los-Angeles_CA_90069_M93412-29177</t>
  </si>
  <si>
    <t>Estel Hilton</t>
  </si>
  <si>
    <t>Estel@EstelEstates.com</t>
  </si>
  <si>
    <t>Jeffrey Fritz</t>
  </si>
  <si>
    <t>jeffrey@fritzbuffonegroup.com</t>
  </si>
  <si>
    <t>3924 W Sunset Blvd, Los Angeles, CA 90029</t>
  </si>
  <si>
    <t>https://www.realtor.com/realestateandhomes-detail/3924-W-Sunset-Blvd_Los-Angeles_CA_90029_M94644-37704</t>
  </si>
  <si>
    <t>Juan Longfellow</t>
  </si>
  <si>
    <t>juan@juanlongfellow.com</t>
  </si>
  <si>
    <t>1933 Magnolia Ave, Los Angeles, CA 90007</t>
  </si>
  <si>
    <t>https://www.realtor.com/realestateandhomes-detail/1933-Magnolia-Ave_Los-Angeles_CA_90007_M11559-94905</t>
  </si>
  <si>
    <t>Yohann Bensimon</t>
  </si>
  <si>
    <t>yohann@ikonadvisors.com</t>
  </si>
  <si>
    <t>10727 Wilshire Blvd Ph 2, Los Angeles, CA 90024</t>
  </si>
  <si>
    <t>https://www.realtor.com/realestateandhomes-detail/10727-Wilshire-Blvd-Ph-2_Los-Angeles_CA_90024_M13339-63748</t>
  </si>
  <si>
    <t>Michael La Montagna</t>
  </si>
  <si>
    <t>michael@michaellamontagna.com</t>
  </si>
  <si>
    <t>4099 Mandeville Canyon Rd, Los Angeles, CA 90049</t>
  </si>
  <si>
    <t>https://www.realtor.com/realestateandhomes-detail/4099-Mandeville-Canyon-Rd_Los-Angeles_CA_90049_M25039-15874</t>
  </si>
  <si>
    <t>Lauren Polan</t>
  </si>
  <si>
    <t>LaurenWP@aol.com</t>
  </si>
  <si>
    <t>6361 Orange St, Los Angeles, CA 90048</t>
  </si>
  <si>
    <t>https://www.realtor.com/realestateandhomes-detail/6361-Orange-St_Los-Angeles_CA_90048_M18794-92115</t>
  </si>
  <si>
    <t>Marc Nemetsky</t>
  </si>
  <si>
    <t>meir@meirnemetsky.com</t>
  </si>
  <si>
    <t>6477 Deep Dell Pl, Los Angeles, CA 90068</t>
  </si>
  <si>
    <t>https://www.realtor.com/realestateandhomes-detail/6477-Deep-Dell-Pl_Los-Angeles_CA_90068_M22976-67319</t>
  </si>
  <si>
    <t>Barbara Vallejos</t>
  </si>
  <si>
    <t>sabrina.vallejos@theagencyre.com</t>
  </si>
  <si>
    <t>1027 W 46th St, Los Angeles, CA 90037</t>
  </si>
  <si>
    <t>https://www.realtor.com/realestateandhomes-detail/1027-W-46th-St_Los-Angeles_CA_90037_M23036-72669</t>
  </si>
  <si>
    <t>Greg Geilman</t>
  </si>
  <si>
    <t>info@domorealestate.com</t>
  </si>
  <si>
    <t>DOMO Real Estate</t>
  </si>
  <si>
    <t>11929 Bray St, Culver City, CA 90230</t>
  </si>
  <si>
    <t>https://www.realtor.com/realestateandhomes-detail/11929-Bray-St_Culver-City_CA_90230_M11764-12025</t>
  </si>
  <si>
    <t>Juanita Tiu</t>
  </si>
  <si>
    <t>tiu.juanita@yahoo.com</t>
  </si>
  <si>
    <t>Lauren Guzman</t>
  </si>
  <si>
    <t>Lauren.Guzman@TeamWhitney.com</t>
  </si>
  <si>
    <t>19025 Bassett St, Los Angeles, CA 91335</t>
  </si>
  <si>
    <t>https://www.realtor.com/realestateandhomes-detail/19025-Bassett-St_Reseda_CA_91335_M24902-44350</t>
  </si>
  <si>
    <t>Marcus Kassin</t>
  </si>
  <si>
    <t>mkassin@coldwellbanker.com</t>
  </si>
  <si>
    <t>3222 S Barrington Ave, Los Angeles, CA 90066</t>
  </si>
  <si>
    <t>https://www.realtor.com/realestateandhomes-detail/3222-S-Barrington-Ave_Los-Angeles_CA_90066_M98827-57928</t>
  </si>
  <si>
    <t>Michael Piechowski</t>
  </si>
  <si>
    <t>mpiechowski12@gmail.com</t>
  </si>
  <si>
    <t>6969 Woodrow Wilson Dr, Los Angeles, CA 90068</t>
  </si>
  <si>
    <t>https://www.realtor.com/realestateandhomes-detail/6969-Woodrow-Wilson-Dr_Los-Angeles_CA_90068_M21920-71321</t>
  </si>
  <si>
    <t>Hiroko Nishikawa Naumann</t>
  </si>
  <si>
    <t>info@h2nusa.com</t>
  </si>
  <si>
    <t>Fred Nabati</t>
  </si>
  <si>
    <t>fred@trimaxla.com</t>
  </si>
  <si>
    <t>Trimax Realty, Inc.</t>
  </si>
  <si>
    <t>Kira Gould</t>
  </si>
  <si>
    <t>kira@gibsonintl.com</t>
  </si>
  <si>
    <t>3099 Mandeville Canyon Rd, Los Angeles, CA 90049</t>
  </si>
  <si>
    <t>https://www.realtor.com/realestateandhomes-detail/3099-Mandeville-Canyon-Rd_Los-Angeles_CA_90049_M22762-30168</t>
  </si>
  <si>
    <t>Rochelle Maize</t>
  </si>
  <si>
    <t>taylor@rochellemaize.com</t>
  </si>
  <si>
    <t>701 Nimes Rd, Los Angeles, CA 90077</t>
  </si>
  <si>
    <t>https://www.realtor.com/realestateandhomes-detail/701-Nimes-Rd_Los-Angeles_CA_90077_M14521-19989</t>
  </si>
  <si>
    <t>Noah Marc</t>
  </si>
  <si>
    <t>Marc.Noah@Sothebyshomes.com</t>
  </si>
  <si>
    <t>16857 Colven Rd, Granada Hills, CA 91344</t>
  </si>
  <si>
    <t>https://www.realtor.com/realestateandhomes-detail/16857-Colven-Rd_Granada-Hills_CA_91344_M16745-73698</t>
  </si>
  <si>
    <t>Matthew Shinn</t>
  </si>
  <si>
    <t>matthew@shinnreg.com</t>
  </si>
  <si>
    <t>Shinn Real Estate Group</t>
  </si>
  <si>
    <t>544 Grand Blvd, Venice, CA 90291</t>
  </si>
  <si>
    <t>https://www.realtor.com/realestateandhomes-detail/544-Grand-Blvd_Venice_CA_90291_M18279-69764</t>
  </si>
  <si>
    <t>Bruce Urena</t>
  </si>
  <si>
    <t>bruceurena@gmail.com</t>
  </si>
  <si>
    <t>7500 Avalon Blvd, Los Angeles, CA 90003</t>
  </si>
  <si>
    <t>https://www.realtor.com/realestateandhomes-detail/7500-Avalon-Blvd_Los-Angeles_CA_90003_M12384-72415</t>
  </si>
  <si>
    <t>Alex Colombo</t>
  </si>
  <si>
    <t>alexandro.colombo@outlook.com</t>
  </si>
  <si>
    <t xml:space="preserve">Keller Williams Coastal Properties </t>
  </si>
  <si>
    <t>1447 W 47th St, Los Angeles, CA 90062</t>
  </si>
  <si>
    <t>https://www.realtor.com/realestateandhomes-detail/1447-W-47th-St_Los-Angeles_CA_90062_M22318-61198</t>
  </si>
  <si>
    <t>Terry LaRoche</t>
  </si>
  <si>
    <t>terrylaroche@gmail.com</t>
  </si>
  <si>
    <t>Keller Williams Rlty Whittier</t>
  </si>
  <si>
    <t>4469 Stern Ave, Sherman Oaks, CA 91423</t>
  </si>
  <si>
    <t>https://www.realtor.com/realestateandhomes-detail/4469-Stern-Ave_Sherman-Oaks_CA_91423_M25311-02344</t>
  </si>
  <si>
    <t>Nicole Tekiela</t>
  </si>
  <si>
    <t>nicoletekiela@icloud.com</t>
  </si>
  <si>
    <t>2908 Pacific Ave, Venice, CA 90291</t>
  </si>
  <si>
    <t>https://www.realtor.com/realestateandhomes-detail/2908-Pacific-Ave_Venice_CA_90291_M13946-41384</t>
  </si>
  <si>
    <t>Erik Lim</t>
  </si>
  <si>
    <t>eriklim310@gmail.com</t>
  </si>
  <si>
    <t>305 Arnaz Dr Apt 304, Los Angeles, CA 90048</t>
  </si>
  <si>
    <t>https://www.realtor.com/realestateandhomes-detail/305-Arnaz-Dr-Apt-304_Los-Angeles_CA_90048_M24620-21466</t>
  </si>
  <si>
    <t>Blanche D'Souza</t>
  </si>
  <si>
    <t>blanchedsouza@kw.com</t>
  </si>
  <si>
    <t>Sean McMillan</t>
  </si>
  <si>
    <t>sean@heylerrealty.com</t>
  </si>
  <si>
    <t>3880 Fredonia Dr Apt D, Los Angeles, CA 90068</t>
  </si>
  <si>
    <t>https://www.realtor.com/realestateandhomes-detail/3880-Fredonia-Dr-Apt-D_Los-Angeles_CA_90068_M21186-94680</t>
  </si>
  <si>
    <t>Wesley Edberg</t>
  </si>
  <si>
    <t>wesley@chernovteam.com</t>
  </si>
  <si>
    <t>7027 Macapa Dr, Los Angeles, CA 90068</t>
  </si>
  <si>
    <t>https://www.realtor.com/realestateandhomes-detail/7027-Macapa-Dr_Los-Angeles_CA_90068_M10333-78582</t>
  </si>
  <si>
    <t>Sean Poliseno</t>
  </si>
  <si>
    <t>sean@polisenorealestate.com</t>
  </si>
  <si>
    <t>244 S La Fayette Park Pl Apt 301, Los Angeles, CA 90057</t>
  </si>
  <si>
    <t>https://www.realtor.com/realestateandhomes-detail/244-S-La-Fayette-Park-Pl-Apt-301_Los-Angeles_CA_90057_M29723-98634</t>
  </si>
  <si>
    <t>Esther Kaveney</t>
  </si>
  <si>
    <t>estherkaveney@gmail.com</t>
  </si>
  <si>
    <t>8494 Cole Crest Dr, Los Angeles, CA 90046</t>
  </si>
  <si>
    <t>https://www.realtor.com/realestateandhomes-detail/8494-Cole-Crest-Dr_Los-Angeles_CA_90046_M29085-91117</t>
  </si>
  <si>
    <t>Fredrique Hoffman</t>
  </si>
  <si>
    <t>fhoffman@kw.com</t>
  </si>
  <si>
    <t>5240 Barker Dr, Los Angeles, CA 90042</t>
  </si>
  <si>
    <t>https://www.realtor.com/realestateandhomes-detail/5240-Barker-Dr_Los-Angeles_CA_90042_M97020-79608</t>
  </si>
  <si>
    <t>Joanna Suhl</t>
  </si>
  <si>
    <t>joanna.suhl@compass.com</t>
  </si>
  <si>
    <t>6617 S Normandie Ave, Los Angeles, CA 90044</t>
  </si>
  <si>
    <t>https://www.realtor.com/realestateandhomes-detail/6617-S-Normandie-Ave_Los-Angeles_CA_90044_M90330-26803</t>
  </si>
  <si>
    <t>Christopher Martinez Diaz</t>
  </si>
  <si>
    <t>chris@evaniskorealty.com</t>
  </si>
  <si>
    <t>Vinco Vinco Realty &amp; Investmen</t>
  </si>
  <si>
    <t>Ellen Urman</t>
  </si>
  <si>
    <t>ellen.urman@sbcglobal.net</t>
  </si>
  <si>
    <t>3320 Griffith Park Blvd Apt 4, Los Angeles, CA 90027</t>
  </si>
  <si>
    <t>https://www.realtor.com/realestateandhomes-detail/3320-Griffith-Park-Blvd-Apt-4_Los-Angeles_CA_90027_M27154-90375</t>
  </si>
  <si>
    <t>Louis Chavez</t>
  </si>
  <si>
    <t>teamchavezre@gmail.com</t>
  </si>
  <si>
    <t>9318 Hooper Ave, Los Angeles, CA 90002</t>
  </si>
  <si>
    <t>https://www.realtor.com/realestateandhomes-detail/9318-Hooper-Ave_Los-Angeles_CA_90002_M19821-14298</t>
  </si>
  <si>
    <t>Alberto Sanchez</t>
  </si>
  <si>
    <t>albert@c21abs.com</t>
  </si>
  <si>
    <t>17236 Weddington St, Encino, CA 91316</t>
  </si>
  <si>
    <t>https://www.realtor.com/realestateandhomes-detail/17236-Weddington-St_Encino_CA_91316_M20714-26944</t>
  </si>
  <si>
    <t>Ingrid Sacerio</t>
  </si>
  <si>
    <t>ingridsacerio@mac.com</t>
  </si>
  <si>
    <t>1100 S Hope St Apt 805, Los Angeles, CA 90015</t>
  </si>
  <si>
    <t>https://www.realtor.com/realestateandhomes-detail/1100-S-Hope-St-Apt-805_Los-Angeles_CA_90015_M11551-88657</t>
  </si>
  <si>
    <t>Abraham Hernandez</t>
  </si>
  <si>
    <t>lgecfoabe@gmail.com</t>
  </si>
  <si>
    <t>2107 E Cesar E Chavez Ave, Los Angeles, CA 90033</t>
  </si>
  <si>
    <t>https://www.realtor.com/realestateandhomes-detail/2107-E-Cesar-E-Chavez-Ave_Los-Angeles_CA_90033_M10608-99800</t>
  </si>
  <si>
    <t>Will Tiao</t>
  </si>
  <si>
    <t>will@tiaoproperties.com</t>
  </si>
  <si>
    <t>The Collective Realty</t>
  </si>
  <si>
    <t>9969 Westwanda Dr, Beverly Hills, CA 90210</t>
  </si>
  <si>
    <t>https://www.realtor.com/realestateandhomes-detail/9969-Westwanda-Dr_Beverly-Hills_CA_90210_M24185-74942</t>
  </si>
  <si>
    <t>Justin Leigh</t>
  </si>
  <si>
    <t>justin@hartleighhaus.com</t>
  </si>
  <si>
    <t>Hartleigh Haus</t>
  </si>
  <si>
    <t>2634 N Beachwood Dr, Los Angeles, CA 90068</t>
  </si>
  <si>
    <t>https://www.realtor.com/realestateandhomes-detail/2634-N-Beachwood-Dr_Los-Angeles_CA_90068_M15373-00395</t>
  </si>
  <si>
    <t>Peter Lavin</t>
  </si>
  <si>
    <t>peterlavin@earthlink.net</t>
  </si>
  <si>
    <t>Links Real Estate</t>
  </si>
  <si>
    <t>14285 Valley Vista Blvd, Sherman Oaks, CA 91423</t>
  </si>
  <si>
    <t>https://www.realtor.com/realestateandhomes-detail/14285-Valley-Vista-Blvd_Sherman-Oaks_CA_91423_M24441-98166</t>
  </si>
  <si>
    <t>Nanette Basin</t>
  </si>
  <si>
    <t>nanette.basin@camoves.com</t>
  </si>
  <si>
    <t>20701 Mopena Way, Porter Ranch, CA 91326</t>
  </si>
  <si>
    <t>https://www.realtor.com/realestateandhomes-detail/20701-Mopena-Way_Porter-Ranch_CA_91326_M14476-74702</t>
  </si>
  <si>
    <t>Vahan Avanesyan</t>
  </si>
  <si>
    <t>estatesbyvahan@gmail.com</t>
  </si>
  <si>
    <t>5316 Lennox Ave, Sherman Oaks, CA 91401</t>
  </si>
  <si>
    <t>https://www.realtor.com/realestateandhomes-detail/5316-Lennox-Ave_Sherman-Oaks_CA_91401_M13953-88171</t>
  </si>
  <si>
    <t>Artur Israyelyan</t>
  </si>
  <si>
    <t>realtorart@yahoo.com</t>
  </si>
  <si>
    <t>2600 N Adkins Ave, Los Angeles, CA 90032</t>
  </si>
  <si>
    <t>https://www.realtor.com/realestateandhomes-detail/2600-Adkins-Ave_Los-Angeles_CA_90032_M27907-40461</t>
  </si>
  <si>
    <t>Pina Realty</t>
  </si>
  <si>
    <t>thepinarealtygroup@gmail.com</t>
  </si>
  <si>
    <t>1036 W 98th St, Los Angeles, CA 90044</t>
  </si>
  <si>
    <t>https://www.realtor.com/realestateandhomes-detail/1036-W-98th-St_Los-Angeles_CA_90044_M21731-02253</t>
  </si>
  <si>
    <t>Anna Moore</t>
  </si>
  <si>
    <t>anna@wallstreetsellsla.com</t>
  </si>
  <si>
    <t>Wall Street Realty</t>
  </si>
  <si>
    <t>5142 Dahlia Dr, Los Angeles, CA 90041</t>
  </si>
  <si>
    <t>https://www.realtor.com/realestateandhomes-detail/5142-Dahlia-Dr_Los-Angeles_CA_90041_M29991-35985</t>
  </si>
  <si>
    <t>Joshua Gibson</t>
  </si>
  <si>
    <t>josh@levelpressink.com</t>
  </si>
  <si>
    <t>West Shores Realty</t>
  </si>
  <si>
    <t>5334 S Hillcrest Dr, Los Angeles, CA 90043</t>
  </si>
  <si>
    <t>https://www.realtor.com/realestateandhomes-detail/5334-Hillcrest-Dr_Los-Angeles_CA_90043_M19557-57830</t>
  </si>
  <si>
    <t>Abel Garfias</t>
  </si>
  <si>
    <t>abelgarfias310@gmail.com</t>
  </si>
  <si>
    <t>ehomes</t>
  </si>
  <si>
    <t>2502 Armstrong Ave, Los Angeles, CA 90039</t>
  </si>
  <si>
    <t>https://www.realtor.com/realestateandhomes-detail/2502-Armstrong-Ave_Los-Angeles_CA_90039_M28705-53962</t>
  </si>
  <si>
    <t>Imraan Ali</t>
  </si>
  <si>
    <t>imraan@compass.com</t>
  </si>
  <si>
    <t>316 S Miraleste Dr Unit 124, San Pedro, CA 90732</t>
  </si>
  <si>
    <t>https://www.realtor.com/realestateandhomes-detail/316-S-Miraleste-Dr-Unit-124_San-Pedro_CA_90732_M17145-83319</t>
  </si>
  <si>
    <t>Rachelle Tan</t>
  </si>
  <si>
    <t>soldbyrachelletan@gmail.com</t>
  </si>
  <si>
    <t>John Podhor</t>
  </si>
  <si>
    <t>john@johnpodhor.com</t>
  </si>
  <si>
    <t>1778 Viewmont Dr, Los Angeles, CA 90069</t>
  </si>
  <si>
    <t>https://www.realtor.com/realestateandhomes-detail/1778-Viewmont-Dr_Los-Angeles_CA_90069_M16553-14389</t>
  </si>
  <si>
    <t>Tom Wrigglesworth</t>
  </si>
  <si>
    <t>tom.w@theagencyre.com</t>
  </si>
  <si>
    <t>1007 Sanborn Ave, Los Angeles, CA 90029</t>
  </si>
  <si>
    <t>https://www.realtor.com/realestateandhomes-detail/1007-Sanborn-Ave_Los-Angeles_CA_90029_M25376-20032</t>
  </si>
  <si>
    <t>Tori Barnao</t>
  </si>
  <si>
    <t>tori.barnao@elliman.com</t>
  </si>
  <si>
    <t>1518 S Durango Ave, Los Angeles, CA 90035</t>
  </si>
  <si>
    <t>https://www.realtor.com/realestateandhomes-detail/1518-S-Durango-Ave_Los-Angeles_CA_90035_M18414-85929</t>
  </si>
  <si>
    <t>Brian Schames</t>
  </si>
  <si>
    <t>brian@jeremyives.com</t>
  </si>
  <si>
    <t>5732 Lexington Ave, Los Angeles, CA 90038</t>
  </si>
  <si>
    <t>https://www.realtor.com/realestateandhomes-detail/5732-Lexington-Ave-Apt-3_Los-Angeles_CA_90038_M17020-90299</t>
  </si>
  <si>
    <t>Leonid Gershkovich</t>
  </si>
  <si>
    <t>leon6868@yahoo.com</t>
  </si>
  <si>
    <t>Prime Banker Realty, Inc.</t>
  </si>
  <si>
    <t>Brad Holmes</t>
  </si>
  <si>
    <t>brad@bradholmesgroup.com</t>
  </si>
  <si>
    <t>8121 Chase Ave, Los Angeles, CA 90045</t>
  </si>
  <si>
    <t>https://www.realtor.com/realestateandhomes-detail/8121-Chase-Ave_Los-Angeles_CA_90045_M15490-56929</t>
  </si>
  <si>
    <t>Jelena Pesovic</t>
  </si>
  <si>
    <t>socaljelena@gmail.com</t>
  </si>
  <si>
    <t>ENRG Realty, Inc.</t>
  </si>
  <si>
    <t>Marc Pavon</t>
  </si>
  <si>
    <t>marc@stevejulian.com</t>
  </si>
  <si>
    <t>980 Yale St, Los Angeles, CA 90012</t>
  </si>
  <si>
    <t>https://www.realtor.com/realestateandhomes-detail/980-Yale-St_Los-Angeles_CA_90012_M29425-61820</t>
  </si>
  <si>
    <t>Melanie Guillen</t>
  </si>
  <si>
    <t>melanieguillen.af@gmail.com</t>
  </si>
  <si>
    <t>1115 E 105th St, Los Angeles, CA 90002</t>
  </si>
  <si>
    <t>https://www.realtor.com/realestateandhomes-detail/1115-E-105th-St_Los-Angeles_CA_90002_M20152-80986</t>
  </si>
  <si>
    <t>Rosibel Flores</t>
  </si>
  <si>
    <t>teamcapero@yahoo.com</t>
  </si>
  <si>
    <t>Equity Smart Real Estate Services</t>
  </si>
  <si>
    <t>164 W 84th, Los Angeles, CA 90003</t>
  </si>
  <si>
    <t>https://www.realtor.com/realestateandhomes-detail/164-W-84th_Los-Angeles_CA_90003_M90173-19962</t>
  </si>
  <si>
    <t>ERIC ROQUE</t>
  </si>
  <si>
    <t>roquerealty777@yahoo.com</t>
  </si>
  <si>
    <t>Roque Realty</t>
  </si>
  <si>
    <t>1462 E 57th St, Los Angeles, CA 90011</t>
  </si>
  <si>
    <t>https://www.realtor.com/realestateandhomes-detail/1462-E-57th-St_Los-Angeles_CA_90011_M23337-72178</t>
  </si>
  <si>
    <t>Paula Arroyo</t>
  </si>
  <si>
    <t>paulasmyagent56@yahoo.com</t>
  </si>
  <si>
    <t xml:space="preserve">Excellence RE Real Estate, Inc </t>
  </si>
  <si>
    <t>10443 Corfu Ln, Los Angeles, CA 90077</t>
  </si>
  <si>
    <t>https://www.realtor.com/realestateandhomes-detail/10443-Corfu-Ln_Los-Angeles_CA_90077_M18021-96253</t>
  </si>
  <si>
    <t>Dennis Dewalt</t>
  </si>
  <si>
    <t>dennis.dewalt@theagencyre.com</t>
  </si>
  <si>
    <t>6146 Strickland Ave, Los Angeles, CA 90042</t>
  </si>
  <si>
    <t>https://www.realtor.com/realestateandhomes-detail/6146-Strickland-Ave_Los-Angeles_CA_90042_M15979-47920</t>
  </si>
  <si>
    <t>Deirdre Salomone</t>
  </si>
  <si>
    <t>deirdre@l34group.com</t>
  </si>
  <si>
    <t>460 S Spring St Apt 1008, Los Angeles, CA 90013</t>
  </si>
  <si>
    <t>https://www.realtor.com/realestateandhomes-detail/460-S-Spring-St-Apt-1008_Los-Angeles_CA_90013_M15738-69932</t>
  </si>
  <si>
    <t>Avery Carroll</t>
  </si>
  <si>
    <t>averycarroll@me.com</t>
  </si>
  <si>
    <t>16708 Chaplin Ave, Encino, CA 91436</t>
  </si>
  <si>
    <t>https://www.realtor.com/realestateandhomes-detail/16708-Chaplin-Ave_Encino_CA_91436_M10473-84737</t>
  </si>
  <si>
    <t>Amanda Lockwood</t>
  </si>
  <si>
    <t>amanda@sandlothomes.com</t>
  </si>
  <si>
    <t>Sandlot Homes</t>
  </si>
  <si>
    <t>2339 Jupiter Dr, Los Angeles, CA 90046</t>
  </si>
  <si>
    <t>https://www.realtor.com/realestateandhomes-detail/2339-Jupiter-Dr_Los-Angeles_CA_90046_M11396-02720</t>
  </si>
  <si>
    <t>Emily Sinclair</t>
  </si>
  <si>
    <t>emily@acme-re.com</t>
  </si>
  <si>
    <t>1945 W Vernon Ave, Los Angeles, CA 90062</t>
  </si>
  <si>
    <t>https://www.realtor.com/realestateandhomes-detail/1945-W-Vernon-Ave_Los-Angeles_CA_90062_M24362-64892</t>
  </si>
  <si>
    <t>Gustavo Arias</t>
  </si>
  <si>
    <t>gdarias2002@yahoo.com</t>
  </si>
  <si>
    <t>Shane Markland</t>
  </si>
  <si>
    <t>shane4272003@yahoo.com</t>
  </si>
  <si>
    <t>6140 Monterey Rd Apt 312, Los Angeles, CA 90042</t>
  </si>
  <si>
    <t>https://www.realtor.com/realestateandhomes-detail/6140-Monterey-Rd-Apt-312_Los-Angeles_CA_90042_M20738-94016</t>
  </si>
  <si>
    <t>Gina Isaac</t>
  </si>
  <si>
    <t>gina@ginaisaac.com</t>
  </si>
  <si>
    <t>10554 Lanark St, Sun Valley, CA 91352</t>
  </si>
  <si>
    <t>https://www.realtor.com/realestateandhomes-detail/10554-Lanark-St_Sun-Valley_CA_91352_M16680-74903</t>
  </si>
  <si>
    <t>Zarine Baghikyan</t>
  </si>
  <si>
    <t>zara.baghikyan@compass.com</t>
  </si>
  <si>
    <t>649 Rose Ave, Venice, CA 90291</t>
  </si>
  <si>
    <t>https://www.realtor.com/realestateandhomes-detail/649-Rose-Ave_Venice_CA_90291_M18511-49180</t>
  </si>
  <si>
    <t>Victor Gonzalez</t>
  </si>
  <si>
    <t>victor@hrela.com</t>
  </si>
  <si>
    <t>Horizon Real Estate Management Group</t>
  </si>
  <si>
    <t>433 S Arden Blvd, Los Angeles, CA 90020</t>
  </si>
  <si>
    <t>https://www.realtor.com/realestateandhomes-detail/433-S-Arden-Blvd_Los-Angeles_CA_90020_M18717-03533</t>
  </si>
  <si>
    <t>Anne Loveland</t>
  </si>
  <si>
    <t>anne.loveland@camoves.com</t>
  </si>
  <si>
    <t>1234 Wilshire Blvd Apt 421, Los Angeles, CA 90017</t>
  </si>
  <si>
    <t>https://www.realtor.com/realestateandhomes-detail/1234-Wilshire-Blvd-Apt-421_Los-Angeles_CA_90017_M13008-21027</t>
  </si>
  <si>
    <t>David Cooke</t>
  </si>
  <si>
    <t>davidalancooke@icloud.com</t>
  </si>
  <si>
    <t>2617 Sierra St, Los Angeles, CA 90031</t>
  </si>
  <si>
    <t>https://www.realtor.com/realestateandhomes-detail/2617-Sierra-St_Los-Angeles_CA_90031_M14613-27826</t>
  </si>
  <si>
    <t>Orit Gadish</t>
  </si>
  <si>
    <t>admin@losangelesreobrokers.com</t>
  </si>
  <si>
    <t>Geffen Real Estate</t>
  </si>
  <si>
    <t>4532 Calhoun Ave, Sherman Oaks, CA 91423</t>
  </si>
  <si>
    <t>https://www.realtor.com/realestateandhomes-detail/4532-Calhoun-Ave_Sherman-Oaks_CA_91423_M24068-20426</t>
  </si>
  <si>
    <t>Andrew Robarge</t>
  </si>
  <si>
    <t>andrew@epicpropertygroup.com</t>
  </si>
  <si>
    <t>Kevin Yu</t>
  </si>
  <si>
    <t>by328733@gmail.com</t>
  </si>
  <si>
    <t>222 Harringay, Irvine, CA 92618</t>
  </si>
  <si>
    <t>https://www.realtor.com/realestateandhomes-detail/222-Harringay_Irvine_CA_92618_M92676-40233</t>
  </si>
  <si>
    <t>Ke Xiao</t>
  </si>
  <si>
    <t>kexiao8369@hotmail.com</t>
  </si>
  <si>
    <t>1520 W 215th St, Torrance, CA 90501</t>
  </si>
  <si>
    <t>https://www.realtor.com/realestateandhomes-detail/1520-W-215th-St_Torrance_CA_90501_M19698-89142</t>
  </si>
  <si>
    <t>Sarah Bui</t>
  </si>
  <si>
    <t>sarahbuirealty@gmail.com</t>
  </si>
  <si>
    <t>Luxre Realty, Inc.</t>
  </si>
  <si>
    <t>856 Diamond St, Laguna Beach, CA 92651</t>
  </si>
  <si>
    <t>https://www.realtor.com/realestateandhomes-detail/856-Diamond-St_Laguna-Beach_CA_92651_M20675-69720</t>
  </si>
  <si>
    <t>Tiffany Frey</t>
  </si>
  <si>
    <t>tiffany@taubproperties.com</t>
  </si>
  <si>
    <t>1147 Charleston St, Costa Mesa, CA 92626</t>
  </si>
  <si>
    <t>https://www.realtor.com/realestateandhomes-detail/1147-Charleston-St_Costa-Mesa_CA_92626_M29185-88356</t>
  </si>
  <si>
    <t>Mariah Vera</t>
  </si>
  <si>
    <t>mariah@ehomesteam.com</t>
  </si>
  <si>
    <t>Ehomes</t>
  </si>
  <si>
    <t>659 E Channel Rd, Santa Monica, CA 90402</t>
  </si>
  <si>
    <t>https://www.realtor.com/realestateandhomes-detail/659-E-Channel-Rd_Santa-Monica_CA_90402_M27271-74211</t>
  </si>
  <si>
    <t>Jonathan Ruiz</t>
  </si>
  <si>
    <t>jruiz@theagencyre.com</t>
  </si>
  <si>
    <t>1644 E 122nd St, Los Angeles, CA 90059</t>
  </si>
  <si>
    <t>https://www.realtor.com/realestateandhomes-detail/1644-E-122nd-St_Los-Angeles_CA_90059_M18611-00410</t>
  </si>
  <si>
    <t>Sheena Pratt</t>
  </si>
  <si>
    <t>sheenaprattrealestate@gmail.com</t>
  </si>
  <si>
    <t xml:space="preserve">Wedgewood Homes Realty </t>
  </si>
  <si>
    <t>137 Smallwheel, Irvine, CA 92618</t>
  </si>
  <si>
    <t>https://www.realtor.com/realestateandhomes-detail/137-Smallwheel_Irvine_CA_92618_M14017-65872</t>
  </si>
  <si>
    <t>Allen Gu</t>
  </si>
  <si>
    <t>allen_gu@hotmail.com</t>
  </si>
  <si>
    <t>EastWest Realty</t>
  </si>
  <si>
    <t>1610 Viewmont Dr, Los Angeles, CA 90069</t>
  </si>
  <si>
    <t>https://www.realtor.com/realestateandhomes-detail/1610-Viewmont-Dr_Los-Angeles_CA_90069_M29350-12670</t>
  </si>
  <si>
    <t>Joshua Morrow</t>
  </si>
  <si>
    <t>justlistedla@gmail.com</t>
  </si>
  <si>
    <t>4116 Garthwaite Ave, Los Angeles, CA 90008</t>
  </si>
  <si>
    <t>https://www.realtor.com/realestateandhomes-detail/4116-Garthwaite-Ave_Los-Angeles_CA_90008_M11569-85708</t>
  </si>
  <si>
    <t>Lisa Carr King</t>
  </si>
  <si>
    <t>lisa@lckcfp.com</t>
  </si>
  <si>
    <t>Lisa Carr &amp; Associates</t>
  </si>
  <si>
    <t>5400 Thornburn St, Los Angeles, CA 90045</t>
  </si>
  <si>
    <t>https://www.realtor.com/realestateandhomes-detail/5400-Thornburn-St_Los-Angeles_CA_90045_M10296-50395</t>
  </si>
  <si>
    <t>Jonathan Rawson</t>
  </si>
  <si>
    <t>jon@avenuerg.com</t>
  </si>
  <si>
    <t>Avenue Realty Group</t>
  </si>
  <si>
    <t>Andrew Malekie</t>
  </si>
  <si>
    <t>andrew@linkbrokerages.com</t>
  </si>
  <si>
    <t>Erik Brown</t>
  </si>
  <si>
    <t>erik@erikrbrown.com</t>
  </si>
  <si>
    <t>Don Favia</t>
  </si>
  <si>
    <t>dfavia@riacre.com</t>
  </si>
  <si>
    <t>5163 Loleta Ave, Los Angeles, CA 90041</t>
  </si>
  <si>
    <t>https://www.realtor.com/realestateandhomes-detail/5163-Loleta-Ave_Los-Angeles_CA_90041_M29843-41406</t>
  </si>
  <si>
    <t>Joshua Stein-Sapir</t>
  </si>
  <si>
    <t>josh@keyesla.com</t>
  </si>
  <si>
    <t>11622 Charnock Rd, Los Angeles, CA 90066</t>
  </si>
  <si>
    <t>https://www.realtor.com/realestateandhomes-detail/11622-Charnock-Rd_Los-Angeles_CA_90066_M17052-53015</t>
  </si>
  <si>
    <t>Marc Victor</t>
  </si>
  <si>
    <t>marc.victor@theagencyre.com</t>
  </si>
  <si>
    <t>405 Blumont St, Laguna Beach, CA 92651</t>
  </si>
  <si>
    <t>https://www.realtor.com/realestateandhomes-detail/405-Blumont-St_Laguna-Beach_CA_92651_M26306-51813</t>
  </si>
  <si>
    <t>Robert Luecke</t>
  </si>
  <si>
    <t>Robl@shopprop.com</t>
  </si>
  <si>
    <t>ShopProp Realty</t>
  </si>
  <si>
    <t>8164 Waring Ave, Los Angeles, CA 90046</t>
  </si>
  <si>
    <t>https://www.realtor.com/realestateandhomes-detail/8164-Waring-Ave_Los-Angeles_CA_90046_M23824-70542</t>
  </si>
  <si>
    <t>James Mather</t>
  </si>
  <si>
    <t>jamesimon1@gmail.com</t>
  </si>
  <si>
    <t>7035 Woodley Ave Unit 116, Van Nuys, CA 91406</t>
  </si>
  <si>
    <t>https://www.realtor.com/realestateandhomes-detail/7035-Woodley-Ave-Unit-116_Van-Nuys_CA_91406_M12802-73675</t>
  </si>
  <si>
    <t>Linda Mendoza</t>
  </si>
  <si>
    <t>HelloBeautifulHomes@gmail.com</t>
  </si>
  <si>
    <t>Brandon Meneses</t>
  </si>
  <si>
    <t>bmeneses258@gmail.com</t>
  </si>
  <si>
    <t>1613 E 1st St, Los Angeles, CA 90033</t>
  </si>
  <si>
    <t>https://www.realtor.com/realestateandhomes-detail/1613-E-1st-St_Los-Angeles_CA_90033_M10209-18917</t>
  </si>
  <si>
    <t>Fausto Martinez</t>
  </si>
  <si>
    <t>fausto.vip@gmail.com</t>
  </si>
  <si>
    <t>VIP RE Firm</t>
  </si>
  <si>
    <t>1513 W 215th St, Torrance, CA 90501</t>
  </si>
  <si>
    <t>https://www.realtor.com/realestateandhomes-detail/1513-W-215th-St_Torrance_CA_90501_M19847-58253</t>
  </si>
  <si>
    <t>George Valencia</t>
  </si>
  <si>
    <t>georgeyourrealtorforlife@gmail.com</t>
  </si>
  <si>
    <t>CENTURY 21 A Better Service Realty</t>
  </si>
  <si>
    <t>Ellen Golla</t>
  </si>
  <si>
    <t>egolla@kw.com</t>
  </si>
  <si>
    <t>1301 N Stone St, Los Angeles, CA 90063</t>
  </si>
  <si>
    <t>https://www.realtor.com/realestateandhomes-detail/1301-N-Stone-St_Los-Angeles_CA_90063_M22741-18542</t>
  </si>
  <si>
    <t>Renata Fallon</t>
  </si>
  <si>
    <t>renata.fallon@gmail.com</t>
  </si>
  <si>
    <t>5075 Pickford St, Los Angeles, CA 90019</t>
  </si>
  <si>
    <t>https://www.realtor.com/realestateandhomes-detail/5075-Pickford-St_Los-Angeles_CA_90019_M16183-03348</t>
  </si>
  <si>
    <t>Diana Hernandez</t>
  </si>
  <si>
    <t>dhernandez@ogroup.com</t>
  </si>
  <si>
    <t>The Oppenheim Group, Inc.</t>
  </si>
  <si>
    <t>2929 Buckingham Rd, Los Angeles, CA 90016</t>
  </si>
  <si>
    <t>https://www.realtor.com/realestateandhomes-detail/2929-Buckingham-Rd_Los-Angeles_CA_90016_M11798-32268</t>
  </si>
  <si>
    <t>Top Producer AWS Customer</t>
  </si>
  <si>
    <t>soldbyadrian@gmail.com</t>
  </si>
  <si>
    <t>PAK Home Realty</t>
  </si>
  <si>
    <t>1619 242nd Pl Unit F, Harbor City, CA 90710</t>
  </si>
  <si>
    <t>https://www.realtor.com/realestateandhomes-detail/1619-242nd-Pl-Unit-F_Harbor-City_CA_90710_M23586-36082</t>
  </si>
  <si>
    <t>Santanya Thorbourne Livsey</t>
  </si>
  <si>
    <t>santanya.livsey@exprealty.com</t>
  </si>
  <si>
    <t>2007 Pennsylvania Ave, Los Angeles, CA 90033</t>
  </si>
  <si>
    <t>https://www.realtor.com/realestateandhomes-detail/2007-Pennsylvania-Ave_Los-Angeles_CA_90033_M17758-89554</t>
  </si>
  <si>
    <t>Amparo Gastelum</t>
  </si>
  <si>
    <t>realtoramparo@hotmail.com</t>
  </si>
  <si>
    <t>Max Real Estate Services</t>
  </si>
  <si>
    <t>5666 Lemon Grove Ave, Los Angeles, CA 90038</t>
  </si>
  <si>
    <t>https://www.realtor.com/realestateandhomes-detail/5666-Lemon-Grove-Ave_Los-Angeles_CA_90038_M25049-63694</t>
  </si>
  <si>
    <t>Mod O'connell</t>
  </si>
  <si>
    <t>modoconnell@firstteam.com</t>
  </si>
  <si>
    <t>CENTURY 21 On Target</t>
  </si>
  <si>
    <t>1921 St John Rd Apt 35A, Seal Beach, CA 90740</t>
  </si>
  <si>
    <t>https://www.realtor.com/realestateandhomes-detail/1921-Saint-John-Rd-Apt-35A_Seal-Beach_CA_90740_M98608-17438</t>
  </si>
  <si>
    <t>Donna Stone-Potts</t>
  </si>
  <si>
    <t>donnasellshome24.7@gmail.com</t>
  </si>
  <si>
    <t>California Elite Real Estate</t>
  </si>
  <si>
    <t>145 Avenida Pelayo, San Clemente, CA 92672</t>
  </si>
  <si>
    <t>https://www.realtor.com/realestateandhomes-detail/145-Avenida-Pelayo_San-Clemente_CA_92672_M12160-99796</t>
  </si>
  <si>
    <t>Christian Fernandez</t>
  </si>
  <si>
    <t>christian.fernandez@exprealty.com</t>
  </si>
  <si>
    <t>eXP Realty of Southern Ca, Inc</t>
  </si>
  <si>
    <t>1644 E 110th St, Los Angeles, CA 90059</t>
  </si>
  <si>
    <t>https://www.realtor.com/realestateandhomes-detail/1644-E-110th-St_Los-Angeles_CA_90059_M25313-02491</t>
  </si>
  <si>
    <t>Marisol De La Torre</t>
  </si>
  <si>
    <t>marisold.dltsellssocal@gmail.com</t>
  </si>
  <si>
    <t>2942 S West View St, Los Angeles, CA 90016</t>
  </si>
  <si>
    <t>https://www.realtor.com/realestateandhomes-detail/2942-S-West-View-St_Los-Angeles_CA_90016_M99463-25595</t>
  </si>
  <si>
    <t>Tarah M Walker</t>
  </si>
  <si>
    <t>tarahwalker@nreliving.com</t>
  </si>
  <si>
    <t>4750 Templeton St Apt 1104, Los Angeles, CA 90032</t>
  </si>
  <si>
    <t>https://www.realtor.com/realestateandhomes-detail/4750-Templeton-St-Apt-1104_Los-Angeles_CA_90032_M15360-08774</t>
  </si>
  <si>
    <t>Andrew Rayas</t>
  </si>
  <si>
    <t>andrew@thecollectiverealty.com</t>
  </si>
  <si>
    <t>1669-1671 E Imperial, Los Angeles, CA 90059</t>
  </si>
  <si>
    <t>https://www.realtor.com/realestateandhomes-detail/1669-1671-E-Imperial_Los-Angeles_CA_90059_M97318-31985</t>
  </si>
  <si>
    <t>Douglas Carrillo</t>
  </si>
  <si>
    <t>DouglasCarrillo@aol.com</t>
  </si>
  <si>
    <t>8740 Tuscany Ave Apt 211, Playa Del Rey, CA 90293</t>
  </si>
  <si>
    <t>https://www.realtor.com/realestateandhomes-detail/8740-Tuscany-Ave-Apt-211_Playa-Del-Rey_CA_90293_M23423-41664</t>
  </si>
  <si>
    <t>Luis Avalos Corleto</t>
  </si>
  <si>
    <t>luisavalos.realtor@gmail.com</t>
  </si>
  <si>
    <t>West Shores Realty, Inc.</t>
  </si>
  <si>
    <t>20 Sidra Cv, Newport Coast, CA 92657</t>
  </si>
  <si>
    <t>https://www.realtor.com/realestateandhomes-detail/20-Sidra-Cv_Newport-Coast_CA_92657_M16828-11427</t>
  </si>
  <si>
    <t>Thomas Chang</t>
  </si>
  <si>
    <t>thomas.chang@compass.com</t>
  </si>
  <si>
    <t>21081 Paseo Verdura, Lake Forest, CA 92630</t>
  </si>
  <si>
    <t>https://www.realtor.com/realestateandhomes-detail/21081-Paseo-Verdura_Lake-Forest_CA_92630_M15728-64608</t>
  </si>
  <si>
    <t>Gwen Stavros</t>
  </si>
  <si>
    <t>gwenstavros@gmail.com</t>
  </si>
  <si>
    <t>Home Smart Evergreen Realty</t>
  </si>
  <si>
    <t>6007 Holmes Ave, Los Angeles, CA 90001</t>
  </si>
  <si>
    <t>https://www.realtor.com/realestateandhomes-detail/6007-Holmes-Ave_Los-Angeles_CA_90001_M95225-47213</t>
  </si>
  <si>
    <t>Tony Lopez</t>
  </si>
  <si>
    <t>tony@tonylopezrealtor.com</t>
  </si>
  <si>
    <t>Coldwell Banker Envision</t>
  </si>
  <si>
    <t>229 W 82nd St, Los Angeles, CA 90003</t>
  </si>
  <si>
    <t>https://www.realtor.com/realestateandhomes-detail/229-W-82nd-St_Los-Angeles_CA_90003_M14643-78558</t>
  </si>
  <si>
    <t>Maria Leon</t>
  </si>
  <si>
    <t>marialeonmyrealtor@gmail.com</t>
  </si>
  <si>
    <t>Excellence Re Real Estate</t>
  </si>
  <si>
    <t>1450 W 35th Pl, Los Angeles, CA 90018</t>
  </si>
  <si>
    <t>https://www.realtor.com/realestateandhomes-detail/1450-W-35th-Pl_Los-Angeles_CA_90018_M28825-24553</t>
  </si>
  <si>
    <t>Maria Olmos</t>
  </si>
  <si>
    <t>msolmos@me.com</t>
  </si>
  <si>
    <t>Y Realty</t>
  </si>
  <si>
    <t>Christopher Cervantes</t>
  </si>
  <si>
    <t>chrisncervantes@hotmail.com</t>
  </si>
  <si>
    <t>Jani Realty &amp; Investments</t>
  </si>
  <si>
    <t>225 N Coffman St, Anaheim, CA 92805</t>
  </si>
  <si>
    <t>https://www.realtor.com/realestateandhomes-detail/225-N-Coffman-St_Anaheim_CA_92805_M18255-84286</t>
  </si>
  <si>
    <t>Thao Vo</t>
  </si>
  <si>
    <t>xelenarealtor@gmail.com</t>
  </si>
  <si>
    <t>2286 Silver Ridge Ave, Los Angeles, CA 90039</t>
  </si>
  <si>
    <t>https://www.realtor.com/realestateandhomes-detail/2286-Silver-Ridge-Ave_Los-Angeles_CA_90039_M11871-43851</t>
  </si>
  <si>
    <t>Manuel Reyes</t>
  </si>
  <si>
    <t>manuel.reyes21realtor@gmail.com</t>
  </si>
  <si>
    <t>First Family Homes</t>
  </si>
  <si>
    <t>151 W 110th St, Los Angeles, CA 90061</t>
  </si>
  <si>
    <t>https://www.realtor.com/realestateandhomes-detail/151-W-110th-St_Los-Angeles_CA_90061_M25938-34743</t>
  </si>
  <si>
    <t>Naush Lalani</t>
  </si>
  <si>
    <t>lalani777@gmail.com</t>
  </si>
  <si>
    <t>Naush Lalani, Broker</t>
  </si>
  <si>
    <t>3810 Wilshire Blvd Apt 802, Los Angeles, CA 90010</t>
  </si>
  <si>
    <t>https://www.realtor.com/realestateandhomes-detail/3810-Wilshire-Blvd-Apt-802_Los-Angeles_CA_90010_M13910-06319</t>
  </si>
  <si>
    <t>Beatrix Whipple</t>
  </si>
  <si>
    <t>beatrix@thewhipplegroup.com</t>
  </si>
  <si>
    <t>328 Regatta Way, Seal Beach, CA 90740</t>
  </si>
  <si>
    <t>https://www.realtor.com/realestateandhomes-detail/328-Regatta-Way_Seal-Beach_CA_90740_M27576-51271</t>
  </si>
  <si>
    <t>Kimberly Kelly</t>
  </si>
  <si>
    <t>Kim@kimberlykelly.com</t>
  </si>
  <si>
    <t>2109 Calle Ola Verde Unit 134, San Clemente, CA 92673</t>
  </si>
  <si>
    <t>https://www.realtor.com/realestateandhomes-detail/2109-Calle-Ola-Verde-134_San-Clemente_CA_92673_M91945-12757</t>
  </si>
  <si>
    <t>Logan Okanski</t>
  </si>
  <si>
    <t>logan.okanski@gmail.com</t>
  </si>
  <si>
    <t>13691 Gavina Ave Unit 609, Sylmar, CA 91342</t>
  </si>
  <si>
    <t>https://www.realtor.com/realestateandhomes-detail/13691-Gavina-Ave-Unit-609_Sylmar_CA_91342_M98120-74447</t>
  </si>
  <si>
    <t>Mark Green</t>
  </si>
  <si>
    <t>greengrouprealestate@gmail.com</t>
  </si>
  <si>
    <t>TXR Homes</t>
  </si>
  <si>
    <t>Mackenzie Black</t>
  </si>
  <si>
    <t>mackenzie.black@beerhometeam.com</t>
  </si>
  <si>
    <t>2420 E Agave Ave Unit 5, Anaheim, CA 92806</t>
  </si>
  <si>
    <t>https://www.realtor.com/realestateandhomes-detail/2420-E-Agave-St-Unit-5_Anaheim_CA_92806_M93381-35282</t>
  </si>
  <si>
    <t>Nicole Mascola-Taylor</t>
  </si>
  <si>
    <t>nicole@nicolesellshomes.net</t>
  </si>
  <si>
    <t>Kb Home Sales - So Cal, Inc.</t>
  </si>
  <si>
    <t>3814 Portola Ave, Los Angeles, CA 90032</t>
  </si>
  <si>
    <t>https://www.realtor.com/realestateandhomes-detail/3814-Portola-Ave_Los-Angeles_CA_90032_M20142-19778</t>
  </si>
  <si>
    <t>Christian Godoy</t>
  </si>
  <si>
    <t>christianjgodoy@gmail.com</t>
  </si>
  <si>
    <t>Granada Knoll Realty</t>
  </si>
  <si>
    <t>4317 Winchester Ave, Los Angeles, CA 90032</t>
  </si>
  <si>
    <t>https://www.realtor.com/realestateandhomes-detail/4317-Winchester-Ave_Los-Angeles_CA_90032_M20018-96215</t>
  </si>
  <si>
    <t>Karen Wu</t>
  </si>
  <si>
    <t>karen88realtor@gmail.com</t>
  </si>
  <si>
    <t>We Trust Realty</t>
  </si>
  <si>
    <t>5652 LA Mirada Ave, Los Angeles, CA 90038</t>
  </si>
  <si>
    <t>https://www.realtor.com/realestateandhomes-detail/5652-LA-Mirada-Ave_Los-Angeles_CA_90038_M25225-90484</t>
  </si>
  <si>
    <t>Zhu Liu</t>
  </si>
  <si>
    <t>liuzhu890714@gmail.com</t>
  </si>
  <si>
    <t>267 S San Pedro St, Los Angeles, CA 90012</t>
  </si>
  <si>
    <t>https://www.realtor.com/realestateandhomes-detail/267-S-San-Pedro-St_Los-Angeles_CA_90012_M96631-49761</t>
  </si>
  <si>
    <t>Steven Sakata</t>
  </si>
  <si>
    <t>stevensakata4realestate@gmail.com</t>
  </si>
  <si>
    <t>RE/MAX Galaxy</t>
  </si>
  <si>
    <t>1421 S Shenandoah St, Los Angeles, CA 90035</t>
  </si>
  <si>
    <t>https://www.realtor.com/realestateandhomes-detail/1421-S-Shenandoah-St_Los-Angeles_CA_90035_M27122-30658</t>
  </si>
  <si>
    <t>Jagmeet Singh</t>
  </si>
  <si>
    <t>jsingh@sigcommercial.com</t>
  </si>
  <si>
    <t>Keller Williams - Eagle Rock</t>
  </si>
  <si>
    <t>95 Wildwood, Irvine, CA 92604</t>
  </si>
  <si>
    <t>https://www.realtor.com/realestateandhomes-detail/95-Wildwood_Irvine_CA_92604_M90371-20765</t>
  </si>
  <si>
    <t>Kathy Wang</t>
  </si>
  <si>
    <t>kathywangrealty@gmail.com</t>
  </si>
  <si>
    <t>Wetrust Realty</t>
  </si>
  <si>
    <t>402 E 92nd St, Los Angeles, CA 90003</t>
  </si>
  <si>
    <t>https://www.realtor.com/realestateandhomes-detail/402-E-92nd-St_Los-Angeles_CA_90003_M20973-77858</t>
  </si>
  <si>
    <t>Danny Alvarado</t>
  </si>
  <si>
    <t>alvarado323@hotmail.com</t>
  </si>
  <si>
    <t>RE MAX Top Producers</t>
  </si>
  <si>
    <t>27 Alessio, Lake Forest, CA 92630</t>
  </si>
  <si>
    <t>https://www.realtor.com/realestateandhomes-detail/27-Alessio_Lake-Forest_CA_92630_M96936-89461</t>
  </si>
  <si>
    <t>Jing Chen</t>
  </si>
  <si>
    <t>olay2255@hotmail.com</t>
  </si>
  <si>
    <t>RE MAX Champions</t>
  </si>
  <si>
    <t>889 Francisco St Unit 2507, Los Angeles, CA 90017</t>
  </si>
  <si>
    <t>https://www.realtor.com/realestateandhomes-detail/889-Francisco-St-Unit-2507_Los-Angeles_CA_90017_M23276-15469</t>
  </si>
  <si>
    <t>Xiaoqi Geng</t>
  </si>
  <si>
    <t>xiaoqigeng1227@gmail.com</t>
  </si>
  <si>
    <t>REGA Management</t>
  </si>
  <si>
    <t>27 Gillman St, Irvine, CA 92612</t>
  </si>
  <si>
    <t>https://www.realtor.com/realestateandhomes-detail/27-Gillman-St_Irvine_CA_92612_M16594-07499</t>
  </si>
  <si>
    <t>Qian Yuan</t>
  </si>
  <si>
    <t>yuanqian0@gmail.com</t>
  </si>
  <si>
    <t>1615 W 67th St, Los Angeles, CA 90047</t>
  </si>
  <si>
    <t>https://www.realtor.com/realestateandhomes-detail/1615-W-67th-St_Los-Angeles_CA_90047_M29843-55927</t>
  </si>
  <si>
    <t>Herlinda Valdovinos</t>
  </si>
  <si>
    <t>herlinda.homes@gmail.com</t>
  </si>
  <si>
    <t>ROA California Inc.</t>
  </si>
  <si>
    <t>400 S La Fayette Park Pl Apt 213, Los Angeles, CA 90057</t>
  </si>
  <si>
    <t>https://www.realtor.com/realestateandhomes-detail/400-S-La-Fayette-Park-Pl-Apt-213_Los-Angeles_CA_90057_M29553-30833</t>
  </si>
  <si>
    <t>Zhongmin Su</t>
  </si>
  <si>
    <t>michaelsu830@gmail.com</t>
  </si>
  <si>
    <t>877 Francisco St Apt 1720, Los Angeles, CA 90017</t>
  </si>
  <si>
    <t>https://www.realtor.com/realestateandhomes-detail/877-Francisco-St-Apt-1720_Los-Angeles_CA_90017_M26147-62303</t>
  </si>
  <si>
    <t>GUANNAN LI</t>
  </si>
  <si>
    <t>bryanlihome@gmail.com</t>
  </si>
  <si>
    <t>Rg Realty</t>
  </si>
  <si>
    <t>Letty Cuevas / Christian Godoy</t>
  </si>
  <si>
    <t>lcuevas626@earthlink.net</t>
  </si>
  <si>
    <t>3884 Fredonia Dr Apt F, Los Angeles, CA 90068</t>
  </si>
  <si>
    <t>https://www.realtor.com/realestateandhomes-detail/3884-Fredonia-Dr-Apt-F_Los-Angeles_CA_90068_M20974-15827</t>
  </si>
  <si>
    <t>Qiu Autumn Yuan</t>
  </si>
  <si>
    <t>autumnyuan@gmail.com</t>
  </si>
  <si>
    <t>4960-4962 Gambier St, Los Angeles, CA 90032</t>
  </si>
  <si>
    <t>https://www.realtor.com/realestateandhomes-detail/4960-4962-Gambier-St_Los-Angeles_CA_90032_M92179-46007</t>
  </si>
  <si>
    <t>MONICA OLMOS</t>
  </si>
  <si>
    <t>monicaolmosteam@gmail.com</t>
  </si>
  <si>
    <t>CENTURY 21 MASTERS</t>
  </si>
  <si>
    <t>235 Verbena Ln, Brea, CA 92823</t>
  </si>
  <si>
    <t>https://www.realtor.com/realestateandhomes-detail/235-Verbena-Ln_Brea_CA_92823_M29548-91681</t>
  </si>
  <si>
    <t>Guowei Feng</t>
  </si>
  <si>
    <t>sam.feng79@gmail.com</t>
  </si>
  <si>
    <t>414 Main St Unit 300, Huntington Beach, CA 92648</t>
  </si>
  <si>
    <t>https://www.realtor.com/realestateandhomes-detail/414-Main-St-Unit-300_Huntington-Beach_CA_92648_M91224-23042</t>
  </si>
  <si>
    <t>Susy Cabrera</t>
  </si>
  <si>
    <t>susy@andersonreg.com</t>
  </si>
  <si>
    <t>2248 Gatewood St, Los Angeles, CA 90031</t>
  </si>
  <si>
    <t>https://www.realtor.com/realestateandhomes-detail/2248-Gatewood-St_Los-Angeles_CA_90031_M29102-04925</t>
  </si>
  <si>
    <t>Michael A DePerio</t>
  </si>
  <si>
    <t>michael@realestategl.com</t>
  </si>
  <si>
    <t>Kirela Real Estate Co</t>
  </si>
  <si>
    <t>247 S Carondelet St, Los Angeles, CA 90057</t>
  </si>
  <si>
    <t>https://www.realtor.com/realestateandhomes-detail/247-S-Carondelet-St_Los-Angeles_CA_90057_M29843-23736</t>
  </si>
  <si>
    <t>David Xu</t>
  </si>
  <si>
    <t>weijun_xu@hotmail.com</t>
  </si>
  <si>
    <t>357 Cornwell St, Los Angeles, CA 90033</t>
  </si>
  <si>
    <t>https://www.realtor.com/realestateandhomes-detail/357-Cornwell-St_Los-Angeles_CA_90033_M10345-20986</t>
  </si>
  <si>
    <t>BRANDON BECKWITH</t>
  </si>
  <si>
    <t>brandon@southlandproperties.net</t>
  </si>
  <si>
    <t>Southland Properties Real Estate Services, Inc</t>
  </si>
  <si>
    <t>1147 Fedora St, Los Angeles, CA 90006</t>
  </si>
  <si>
    <t>https://www.realtor.com/realestateandhomes-detail/1147-Fedora-St_Los-Angeles_CA_90006_M18979-84246</t>
  </si>
  <si>
    <t>Caren Chen</t>
  </si>
  <si>
    <t>carenchenrealtor@gmail.com</t>
  </si>
  <si>
    <t>132 Abacus, Irvine, CA 92618</t>
  </si>
  <si>
    <t>https://www.realtor.com/realestateandhomes-detail/132-Abacus_Irvine_CA_92618_M97333-33829</t>
  </si>
  <si>
    <t>Rongrong Jin</t>
  </si>
  <si>
    <t>heidijin888@gmail.com</t>
  </si>
  <si>
    <t>1550 El Paso Dr, Los Angeles, CA 90065</t>
  </si>
  <si>
    <t>https://www.realtor.com/realestateandhomes-detail/1550-El-Paso-Dr_Los-Angeles_CA_90065_M23925-42494</t>
  </si>
  <si>
    <t>Armen Sarkissian</t>
  </si>
  <si>
    <t>armen@armensark.com</t>
  </si>
  <si>
    <t>8744 Burnet Ave Unit 14, North Hills, CA 91343</t>
  </si>
  <si>
    <t>https://www.realtor.com/realestateandhomes-detail/8744-Burnet-Ave-Unit-14_North-Hills_CA_91343_M10231-90917</t>
  </si>
  <si>
    <t>Carlos Alfonso Flores</t>
  </si>
  <si>
    <t>carlos.flores@soldbymmg.com</t>
  </si>
  <si>
    <t>Better Homes and Gardens RE</t>
  </si>
  <si>
    <t>114 Crossover, Irvine, CA 92618</t>
  </si>
  <si>
    <t>https://www.realtor.com/realestateandhomes-detail/114-Crossover_Irvine_CA_92618_M91606-01312</t>
  </si>
  <si>
    <t>Angela Wong</t>
  </si>
  <si>
    <t>angelawong@kw.com</t>
  </si>
  <si>
    <t>1204 Birchcrest Ave, Brea, CA 92821</t>
  </si>
  <si>
    <t>https://www.realtor.com/realestateandhomes-detail/1204-Birchcrest-Ave_Brea_CA_92821_M24996-13662</t>
  </si>
  <si>
    <t>JENNIFER LEE</t>
  </si>
  <si>
    <t>Jennifer@JLeeProperty.com</t>
  </si>
  <si>
    <t>ReMax 2000 Realty</t>
  </si>
  <si>
    <t>4536 Maycrest St, Los Angeles, CA 90032</t>
  </si>
  <si>
    <t>https://www.realtor.com/realestateandhomes-detail/4536-Maycrest-Ave_Los-Angeles_CA_90032_M20784-40461</t>
  </si>
  <si>
    <t>Jie Cheng</t>
  </si>
  <si>
    <t>chzoya.cb@gmail.com</t>
  </si>
  <si>
    <t>4140 Edenhurst Ave, Los Angeles, CA 90039</t>
  </si>
  <si>
    <t>https://www.realtor.com/realestateandhomes-detail/4140-Edenhurst-Ave_Los-Angeles_CA_90039_M15728-56568</t>
  </si>
  <si>
    <t>Annabelle Pacheco</t>
  </si>
  <si>
    <t>pachecoannabelle@gmail.com</t>
  </si>
  <si>
    <t>360 W Avenue 26 Apt 215, Los Angeles, CA 90031</t>
  </si>
  <si>
    <t>https://www.realtor.com/realestateandhomes-detail/360-W-Avenue-26-Apt-215_Los-Angeles_CA_90031_M10513-36699</t>
  </si>
  <si>
    <t>Fan Zhang</t>
  </si>
  <si>
    <t>ff2182000@gmail.com</t>
  </si>
  <si>
    <t>1243 W 98th St, Los Angeles, CA 90044</t>
  </si>
  <si>
    <t>https://www.realtor.com/realestateandhomes-detail/1243-W-98th-St_Los-Angeles_CA_90044_M21763-44390</t>
  </si>
  <si>
    <t>Leo Jing</t>
  </si>
  <si>
    <t>leojing0621@gmail.com</t>
  </si>
  <si>
    <t>400 S Broadway Apt 921, Los Angeles, CA 90013</t>
  </si>
  <si>
    <t>https://www.realtor.com/realestateandhomes-detail/400-S-Broadway-Apt-921_Los-Angeles_CA_90013_M93499-03612</t>
  </si>
  <si>
    <t>Ying Liang</t>
  </si>
  <si>
    <t>yinginluv@gmail.com</t>
  </si>
  <si>
    <t>Star Max Realty</t>
  </si>
  <si>
    <t>1251 Edris Dr, Los Angeles, CA 90035</t>
  </si>
  <si>
    <t>https://www.realtor.com/realestateandhomes-detail/1251-Edris-Dr_Los-Angeles_CA_90035_M10417-60573</t>
  </si>
  <si>
    <t>Daniel Stevenson</t>
  </si>
  <si>
    <t>dstevenson@theagencyre.com</t>
  </si>
  <si>
    <t>6951 Stanford Ave, Garden Grove, CA 92845</t>
  </si>
  <si>
    <t>https://www.realtor.com/realestateandhomes-detail/6951-Stanford-Ave_Garden-Grove_CA_92845_M14261-65040</t>
  </si>
  <si>
    <t>Bao Andrew Nguyen</t>
  </si>
  <si>
    <t>andrewindm@gmail.com</t>
  </si>
  <si>
    <t>Copley Realty</t>
  </si>
  <si>
    <t>37 Caspian, Lake Forest, CA 92630</t>
  </si>
  <si>
    <t>https://www.realtor.com/realestateandhomes-detail/37-Caspian_Lake-Forest_CA_92630_M99839-76270</t>
  </si>
  <si>
    <t>Nan Liu</t>
  </si>
  <si>
    <t>nan_liu@me.com</t>
  </si>
  <si>
    <t>14642 Birch St, Westminster, CA 92683</t>
  </si>
  <si>
    <t>https://www.realtor.com/realestateandhomes-detail/14642-Birch-St_Westminster_CA_92683_M13784-02450</t>
  </si>
  <si>
    <t>Melanie Pham</t>
  </si>
  <si>
    <t>melaniephamweb@gmail.com</t>
  </si>
  <si>
    <t>Van Thien Tran, Broker</t>
  </si>
  <si>
    <t>1410 W Camden Pl, Santa Ana, CA 92704</t>
  </si>
  <si>
    <t>https://www.realtor.com/realestateandhomes-detail/1410-W-Camden-Pl_Santa-Ana_CA_92704_M20659-90304</t>
  </si>
  <si>
    <t>Lanh Vu</t>
  </si>
  <si>
    <t>lanhvu@firstteam.com</t>
  </si>
  <si>
    <t>117 E Sycamore St, Anaheim, CA 92805</t>
  </si>
  <si>
    <t>https://www.realtor.com/realestateandhomes-detail/117-E-Sycamore-St_Anaheim_CA_92805_M28371-17085</t>
  </si>
  <si>
    <t>Ace Nguyen</t>
  </si>
  <si>
    <t>Ace@Aceestate.com</t>
  </si>
  <si>
    <t>5930 Tampa Ave Apt 204, Tarzana, CA 91356</t>
  </si>
  <si>
    <t>https://www.realtor.com/realestateandhomes-detail/5930-Tampa-Ave-Apt-204_Tarzana_CA_91356_M12111-91299</t>
  </si>
  <si>
    <t>Rima Rafeh</t>
  </si>
  <si>
    <t>rima@therafehgroup.com</t>
  </si>
  <si>
    <t>3428 Gardenside Ln, Los Angeles, CA 90039</t>
  </si>
  <si>
    <t>https://www.realtor.com/realestateandhomes-detail/3428-Gardenside-Ln_Los-Angeles_CA_90039_M27481-72607</t>
  </si>
  <si>
    <t>Neal Weichel</t>
  </si>
  <si>
    <t>neal@nealweichel.com</t>
  </si>
  <si>
    <t>RE MAX of Santa Clarita</t>
  </si>
  <si>
    <t>Stacey Havener-Hudson</t>
  </si>
  <si>
    <t>shavener@gmail.com</t>
  </si>
  <si>
    <t>True North Realty</t>
  </si>
  <si>
    <t>8310 Faust Ave, West Hills, CA 91304</t>
  </si>
  <si>
    <t>https://www.realtor.com/realestateandhomes-detail/8310-Faust-Ave_West-Hills_CA_91304_M27802-40455</t>
  </si>
  <si>
    <t>Tammy Crawford</t>
  </si>
  <si>
    <t>tammy@alwaysyourrealtor.com</t>
  </si>
  <si>
    <t>eXp Realty of California, Inc.</t>
  </si>
  <si>
    <t>N High Top Dr, Tujunga, CA 91042</t>
  </si>
  <si>
    <t>https://www.realtor.com/realestateandhomes-detail/9820-High-Top-Dr_Tujunga_CA_91042_M91031-21271</t>
  </si>
  <si>
    <t>Kirk Swirczynski</t>
  </si>
  <si>
    <t>kirkcent21@yahoo.com</t>
  </si>
  <si>
    <t>Century 21 Doug Anderson</t>
  </si>
  <si>
    <t>13005 Magnolia Blvd, Sherman Oaks, CA 91423</t>
  </si>
  <si>
    <t>https://www.realtor.com/realestateandhomes-detail/13005-Magnolia-Blvd_Sherman-Oaks_CA_91423_M25306-81046</t>
  </si>
  <si>
    <t>Gage Nelson</t>
  </si>
  <si>
    <t>realestatenelson3@gmail.com</t>
  </si>
  <si>
    <t>Coldwell Banker Assoc.Brks-CL</t>
  </si>
  <si>
    <t>6732 Wooster Ave, Los Angeles, CA 90056</t>
  </si>
  <si>
    <t>https://www.realtor.com/realestateandhomes-detail/6732-Wooster-Ave_Los-Angeles_CA_90056_M11863-84777</t>
  </si>
  <si>
    <t>Luke Smith</t>
  </si>
  <si>
    <t>lukebroker@yahoo.com</t>
  </si>
  <si>
    <t>3552 Ivy Way, Rancho Mission Viejo, CA 92694</t>
  </si>
  <si>
    <t>https://www.realtor.com/realestateandhomes-detail/3552-Ivy-Way_Ladera-Ranch_CA_92694_M99567-22209</t>
  </si>
  <si>
    <t>Roy Fenn</t>
  </si>
  <si>
    <t>royfenn@gmail.com</t>
  </si>
  <si>
    <t>Carrie Hale</t>
  </si>
  <si>
    <t>info@caliberre.net</t>
  </si>
  <si>
    <t>Caliber Real Estate</t>
  </si>
  <si>
    <t>641 Maria Ave, Placentia, CA 92870</t>
  </si>
  <si>
    <t>https://www.realtor.com/realestateandhomes-detail/641-Maria-Ave_Placentia_CA_92870_M29151-54814</t>
  </si>
  <si>
    <t>Tony Phong</t>
  </si>
  <si>
    <t>tonyphongrealtor@gmail.com</t>
  </si>
  <si>
    <t>6970 Crimson Dr, Buena Park, CA 90621</t>
  </si>
  <si>
    <t>https://www.realtor.com/realestateandhomes-detail/6970-Crimson-Dr_Buena-Park_CA_90621_M98411-01564</t>
  </si>
  <si>
    <t>Michael Rogers</t>
  </si>
  <si>
    <t>mrogers95@live.com</t>
  </si>
  <si>
    <t>MDR Homes</t>
  </si>
  <si>
    <t>2902 E Winfield Ave, Anaheim, CA 92806</t>
  </si>
  <si>
    <t>https://www.realtor.com/realestateandhomes-detail/2902-E-Winfield-Ave_Anaheim_CA_92806_M26248-75867</t>
  </si>
  <si>
    <t>Janan Hishmeh</t>
  </si>
  <si>
    <t>janansellinghomes@yahoo.com</t>
  </si>
  <si>
    <t>Sal Nesh, Broker</t>
  </si>
  <si>
    <t>12592 Palomar St, Garden Grove, CA 92845</t>
  </si>
  <si>
    <t>https://www.realtor.com/realestateandhomes-detail/12592-Palomar-St_Garden-Grove_CA_92845_M19137-12217</t>
  </si>
  <si>
    <t>Laura Rose</t>
  </si>
  <si>
    <t>laura@laurarosehomes.com</t>
  </si>
  <si>
    <t>1400 W Warner Ave Apt 42, Santa Ana, CA 92704</t>
  </si>
  <si>
    <t>https://www.realtor.com/realestateandhomes-detail/1400-W-Warner-Ave-Apt-42_Santa-Ana_CA_92704_M16972-21210</t>
  </si>
  <si>
    <t>Caesar Ruiz</t>
  </si>
  <si>
    <t>caesarfv@gmail.com</t>
  </si>
  <si>
    <t>Grason Homes</t>
  </si>
  <si>
    <t>3964 Sumac Dr, Sherman Oaks, CA 91403</t>
  </si>
  <si>
    <t>https://www.realtor.com/realestateandhomes-detail/3964-Sumac-Dr_Sherman-Oaks_CA_91403_M26358-56908</t>
  </si>
  <si>
    <t>Nicolas Alexander</t>
  </si>
  <si>
    <t>nevadawest101@gmail.com</t>
  </si>
  <si>
    <t>Avenue West Properties</t>
  </si>
  <si>
    <t>700 W LA Veta Ave Unit T4, Orange, CA 92868</t>
  </si>
  <si>
    <t>https://www.realtor.com/realestateandhomes-detail/700-W-LA-Veta-Ave-Unit-T4_Orange_CA_92868_M19003-49487</t>
  </si>
  <si>
    <t>Chris Diaz</t>
  </si>
  <si>
    <t>cdiaz@charisre.com</t>
  </si>
  <si>
    <t>5321 Victoria Pl, Westminster, CA 92683</t>
  </si>
  <si>
    <t>https://www.realtor.com/realestateandhomes-detail/5321-Victoria-Pl_Westminster_CA_92683_M26461-14305</t>
  </si>
  <si>
    <t>Sandy Kocsis</t>
  </si>
  <si>
    <t>sandykocsis@gmail.com</t>
  </si>
  <si>
    <t>1028 N Anaheim Blvd Unit 9, Anaheim, CA 92801</t>
  </si>
  <si>
    <t>https://www.realtor.com/realestateandhomes-detail/1028-N-Anaheim-Blvd-Unit-9_Anaheim_CA_92801_M90834-82728</t>
  </si>
  <si>
    <t>Juan Cevallos</t>
  </si>
  <si>
    <t>juansellshomes@aol.com</t>
  </si>
  <si>
    <t>311 Duke Ln, Santa Ana, CA 92704</t>
  </si>
  <si>
    <t>https://www.realtor.com/realestateandhomes-detail/311-Duke-Ln_Santa-Ana_CA_92704_M28951-23468</t>
  </si>
  <si>
    <t>Efrain Guzman-Grande</t>
  </si>
  <si>
    <t>efrain4homes@gmail.com</t>
  </si>
  <si>
    <t>10685 Lynn Cir, Cypress, CA 90630</t>
  </si>
  <si>
    <t>https://www.realtor.com/realestateandhomes-detail/10685-Lynn-Cir_Cypress_CA_90630_M23907-90813</t>
  </si>
  <si>
    <t>Miki Singer</t>
  </si>
  <si>
    <t>mikisellshomes@gmail.com</t>
  </si>
  <si>
    <t xml:space="preserve">Coldwell Banker Realty </t>
  </si>
  <si>
    <t>318 N Claudina St, Anaheim, CA 92805</t>
  </si>
  <si>
    <t>https://www.realtor.com/realestateandhomes-detail/318-N-Claudina-St_Anaheim_CA_92805_M29486-58823</t>
  </si>
  <si>
    <t>Kacey Taormina</t>
  </si>
  <si>
    <t>kacey.taormina@compass.com</t>
  </si>
  <si>
    <t>17372 Forbes Ln, Huntington Beach, CA 92649</t>
  </si>
  <si>
    <t>https://www.realtor.com/realestateandhomes-detail/17372-Forbes-Ln_Huntington-Beach_CA_92649_M28070-77283</t>
  </si>
  <si>
    <t>Debbie Neugebauer</t>
  </si>
  <si>
    <t>debneuge@socal.rr.com</t>
  </si>
  <si>
    <t>354 E Culver Ave, Orange, CA 92866</t>
  </si>
  <si>
    <t>https://www.realtor.com/realestateandhomes-detail/354-E-Culver-Ave_Orange_CA_92866_M12608-22350</t>
  </si>
  <si>
    <t>Blanca M Lopez</t>
  </si>
  <si>
    <t>blanca@reoptionstoday.com</t>
  </si>
  <si>
    <t>27 Via Lavendera, Rancho Santa Margarita, CA 92688</t>
  </si>
  <si>
    <t>https://www.realtor.com/realestateandhomes-detail/27-Via-Lavendera_Rancho-Santa-Margarita_CA_92688_M20000-47256</t>
  </si>
  <si>
    <t>Julia Hunter</t>
  </si>
  <si>
    <t>julia@xoxohomes.com</t>
  </si>
  <si>
    <t>130 Tierra Ln, Cypress, CA 90630</t>
  </si>
  <si>
    <t>https://www.realtor.com/realestateandhomes-detail/130-Tierra-Ln_Cypress_CA_90630_M93409-70581</t>
  </si>
  <si>
    <t>Brian Taylor</t>
  </si>
  <si>
    <t>btaylor@theolsonco.com</t>
  </si>
  <si>
    <t>In Town Living, Inc.</t>
  </si>
  <si>
    <t>730 N Adele St, Orange, CA 92867</t>
  </si>
  <si>
    <t>https://www.realtor.com/realestateandhomes-detail/730-N-Adele-St_Orange_CA_92867_M10921-19428</t>
  </si>
  <si>
    <t>Britt Nelson</t>
  </si>
  <si>
    <t>nelsonfinancial@gmail.com</t>
  </si>
  <si>
    <t>American Home Realty</t>
  </si>
  <si>
    <t>824 S Dune St, Anaheim, CA 92806</t>
  </si>
  <si>
    <t>https://www.realtor.com/realestateandhomes-detail/824-S-Dune-St_Anaheim_CA_92806_M99305-81753</t>
  </si>
  <si>
    <t>Ryan Edwards</t>
  </si>
  <si>
    <t>Ryan@ElizabethDo.com</t>
  </si>
  <si>
    <t>632 W Romneya, Anaheim, CA 92801</t>
  </si>
  <si>
    <t>https://www.realtor.com/realestateandhomes-detail/632-W-Romneya-Dr_Anaheim_CA_92801_M22325-23638</t>
  </si>
  <si>
    <t>Diolinda Nieto</t>
  </si>
  <si>
    <t>dio32002@yahoo.com</t>
  </si>
  <si>
    <t>Titanium Realty</t>
  </si>
  <si>
    <t>1380 Cabrillo Park Dr Apt G, Santa Ana, CA 92701</t>
  </si>
  <si>
    <t>https://www.realtor.com/realestateandhomes-detail/1380-Cabrillo-Park-Dr-Apt-G_Santa-Ana_CA_92701_M23790-58064</t>
  </si>
  <si>
    <t>ALISON LANE</t>
  </si>
  <si>
    <t>alisonl@sevengables.com</t>
  </si>
  <si>
    <t>11 Thunder Trl Unit 6, Irvine, CA 92614</t>
  </si>
  <si>
    <t>https://www.realtor.com/realestateandhomes-detail/11-Thunder-Trl-Unit-6_Irvine_CA_92614_M23514-27581</t>
  </si>
  <si>
    <t>JAMES JEKUMS</t>
  </si>
  <si>
    <t>jamesj@sevengables.com</t>
  </si>
  <si>
    <t>5215 Emporia Ave, Los Angeles, CA 90230</t>
  </si>
  <si>
    <t>https://www.realtor.com/realestateandhomes-detail/5215-Emporia-Ave_Los-Angeles_CA_90230_M11768-96482</t>
  </si>
  <si>
    <t>Daryl Owen</t>
  </si>
  <si>
    <t>Darylo@nreliving.com</t>
  </si>
  <si>
    <t>45 Golden Glen St Unit 75, Irvine, CA 92604</t>
  </si>
  <si>
    <t>https://www.realtor.com/realestateandhomes-detail/45-Golden-Glen-St-75_Irvine_CA_92604_M26395-47001</t>
  </si>
  <si>
    <t>Ronda Smith</t>
  </si>
  <si>
    <t>ronda.smith@bhhscaproperties.com</t>
  </si>
  <si>
    <t>4117 W McFadden Ave Spc 525, Santa Ana, CA 92704</t>
  </si>
  <si>
    <t>https://www.realtor.com/realestateandhomes-detail/4117-W-McFadden-Ave-Spc-525_Santa-Ana_CA_92704_M21397-36514</t>
  </si>
  <si>
    <t>Jane Do</t>
  </si>
  <si>
    <t>janekimdo@sbcglobal.net</t>
  </si>
  <si>
    <t>3051 Madeira Ave, Costa Mesa, CA 92626</t>
  </si>
  <si>
    <t>https://www.realtor.com/realestateandhomes-detail/3051-Madeira-Ave_Costa-Mesa_CA_92626_M25779-03109</t>
  </si>
  <si>
    <t>Garrett Gahn</t>
  </si>
  <si>
    <t>garrett@kasere.com</t>
  </si>
  <si>
    <t>Cadence Real Estate, Inc.</t>
  </si>
  <si>
    <t>6938 Laurel Canyon Blvd Unit 303, North Hollywood, CA 91605</t>
  </si>
  <si>
    <t>https://www.realtor.com/realestateandhomes-detail/6938-Laurel-Canyon-Blvd-Unit-303_North-Hollywood_CA_91605_M17455-07600</t>
  </si>
  <si>
    <t>Darlene Stinson</t>
  </si>
  <si>
    <t>darlenestinson4re@gmail.com</t>
  </si>
  <si>
    <t>1414 W Oceanfront, Newport Beach, CA 92661</t>
  </si>
  <si>
    <t>https://www.realtor.com/realestateandhomes-detail/1414-W-Oceanfront_Newport-Beach_CA_92661_M15752-85672</t>
  </si>
  <si>
    <t>Kim Bibb</t>
  </si>
  <si>
    <t>kbibb10@gmail.com</t>
  </si>
  <si>
    <t>11 Patina Ln, Ladera Ranch, CA 92694</t>
  </si>
  <si>
    <t>https://www.realtor.com/realestateandhomes-detail/11-Patina-Ln_Ladera-Ranch_CA_92694_M21204-87359</t>
  </si>
  <si>
    <t>Patti Gregory</t>
  </si>
  <si>
    <t>pattigregoryrealestate@gmail.com</t>
  </si>
  <si>
    <t>10412 Boca Canyon Dr, North Tustin, CA 92705</t>
  </si>
  <si>
    <t>https://www.realtor.com/realestateandhomes-detail/10412-Boca-Canyon-Dr_Santa-Ana_CA_92705_M28581-41071</t>
  </si>
  <si>
    <t>Monica Carr</t>
  </si>
  <si>
    <t>monica@monicacarr.com</t>
  </si>
  <si>
    <t>1519 Victoria Dr, Fullerton, CA 92831</t>
  </si>
  <si>
    <t>https://www.realtor.com/realestateandhomes-detail/1519-Victoria-Dr_Fullerton_CA_92831_M18419-34863</t>
  </si>
  <si>
    <t>Jacqueline Orzechowski</t>
  </si>
  <si>
    <t>porzejac@mac.com</t>
  </si>
  <si>
    <t>17110 Bluewater Ln, Huntington Beach, CA 92649</t>
  </si>
  <si>
    <t>https://www.realtor.com/realestateandhomes-detail/17110-Bluewater-Ln_Huntington-Beach_CA_92649_M96537-02042</t>
  </si>
  <si>
    <t>Stephanie St Pierre</t>
  </si>
  <si>
    <t>stpierre@aol.com</t>
  </si>
  <si>
    <t>1910 W Palmyra Ave Unit 112, Orange, CA 92868</t>
  </si>
  <si>
    <t>https://www.realtor.com/realestateandhomes-detail/1910-W-Palmyra-Ave-Unit-112_Orange_CA_92868_M12156-18762</t>
  </si>
  <si>
    <t>Kim Coelho</t>
  </si>
  <si>
    <t>JustSoldByKim@gmail.com</t>
  </si>
  <si>
    <t>1881 Mitchell Ave Unit 95, Tustin, CA 92780</t>
  </si>
  <si>
    <t>https://www.realtor.com/realestateandhomes-detail/1881-Mitchell-Ave-Unit-95_Tustin_CA_92780_M24982-18375</t>
  </si>
  <si>
    <t>Matt Luke</t>
  </si>
  <si>
    <t>matt@majorleaguesocal.com</t>
  </si>
  <si>
    <t>Major League Properties</t>
  </si>
  <si>
    <t>692 N Adele St Spc 50, Orange, CA 92867</t>
  </si>
  <si>
    <t>https://www.realtor.com/realestateandhomes-detail/692-N-Adele-St-Spc-50_Orange_CA_92867_M14044-31686</t>
  </si>
  <si>
    <t>Garcia Kincaid Family Realty Team</t>
  </si>
  <si>
    <t>info@garciakincaidrealty.com</t>
  </si>
  <si>
    <t>Real Estate Ebroker Inc</t>
  </si>
  <si>
    <t>612 Begonia Ave, Corona Del Mar, CA 92625</t>
  </si>
  <si>
    <t>https://www.realtor.com/realestateandhomes-detail/612-Begonia-Ave_Corona-Del-Mar_CA_92625_M21173-31401</t>
  </si>
  <si>
    <t>Ghazal shahbazi</t>
  </si>
  <si>
    <t>giselle.broker@gmail.com</t>
  </si>
  <si>
    <t>1676 W 24th St, Los Angeles, CA 90007</t>
  </si>
  <si>
    <t>https://www.realtor.com/realestateandhomes-detail/1676-W-24th-St_Los-Angeles_CA_90007_M13062-01079</t>
  </si>
  <si>
    <t>Jerry Magdaleno</t>
  </si>
  <si>
    <t>jerrymagdaleno@kw.com</t>
  </si>
  <si>
    <t>1 Vision Real Estate</t>
  </si>
  <si>
    <t>1001 W Dorothy Dr, Brea, CA 92821</t>
  </si>
  <si>
    <t>https://www.realtor.com/realestateandhomes-detail/1001-W-Dorothy-Dr_Brea_CA_92821_M28193-92714</t>
  </si>
  <si>
    <t>Travis Harms</t>
  </si>
  <si>
    <t>travis@nateandtravis.com</t>
  </si>
  <si>
    <t>Alex Lee</t>
  </si>
  <si>
    <t>alex@cmrealty.com</t>
  </si>
  <si>
    <t>Sal Nesh</t>
  </si>
  <si>
    <t>salneshrealty@gmail.com</t>
  </si>
  <si>
    <t>2112 Tidewater Cir, Costa Mesa, CA 92627</t>
  </si>
  <si>
    <t>https://www.realtor.com/realestateandhomes-detail/2112-Tidewater-Cir_Costa-Mesa_CA_92627_M20371-45270</t>
  </si>
  <si>
    <t>Bernice Devries</t>
  </si>
  <si>
    <t>bernice@kastellgroup.com</t>
  </si>
  <si>
    <t>Kastell Real Estate Group</t>
  </si>
  <si>
    <t>8135 Keith Grn, Buena Park, CA 90621</t>
  </si>
  <si>
    <t>https://www.realtor.com/realestateandhomes-detail/8135-Keith-Grn_Buena-Park_CA_90621_M22416-37990</t>
  </si>
  <si>
    <t>Kay G. Jun</t>
  </si>
  <si>
    <t>kaygjun@yahoo.com</t>
  </si>
  <si>
    <t>CENTURY 21 Sunny Hills</t>
  </si>
  <si>
    <t>11921 Medina Dr, Garden Grove, CA 92840</t>
  </si>
  <si>
    <t>https://www.realtor.com/realestateandhomes-detail/11921-Medina-Dr_Garden-Grove_CA_92840_M13222-01284</t>
  </si>
  <si>
    <t>Jennifer Perez</t>
  </si>
  <si>
    <t>jenniferperez@bhhscal.com</t>
  </si>
  <si>
    <t>8960 Crescent Dr, Los Angeles, CA 90046</t>
  </si>
  <si>
    <t>https://www.realtor.com/realestateandhomes-detail/8960-Crescent-Dr_Los-Angeles_CA_90046_M10012-71542</t>
  </si>
  <si>
    <t>Gregory Falvo</t>
  </si>
  <si>
    <t>eandrprops@aol.com</t>
  </si>
  <si>
    <t>Andrew John Young</t>
  </si>
  <si>
    <t>8932 Biscayne Ct Unit 1318A, Huntington Beach, CA 92646</t>
  </si>
  <si>
    <t>https://www.realtor.com/realestateandhomes-detail/8932-Biscayne-Ct-Unit-1318A_Huntington-Beach_CA_92646_M19380-68644</t>
  </si>
  <si>
    <t>Diana Denney</t>
  </si>
  <si>
    <t>HLandRealty@outlook.com</t>
  </si>
  <si>
    <t>Huntington Landmark Realty</t>
  </si>
  <si>
    <t>2057 N Bush St, Santa Ana, CA 92706</t>
  </si>
  <si>
    <t>https://www.realtor.com/realestateandhomes-detail/2057-N-Bush-St_Santa-Ana_CA_92706_M29133-01513</t>
  </si>
  <si>
    <t>Phil Schaefer</t>
  </si>
  <si>
    <t>Philschaefer1@gmail.com</t>
  </si>
  <si>
    <t>12905 Paxton St, Pacoima, CA 91331</t>
  </si>
  <si>
    <t>https://www.realtor.com/realestateandhomes-detail/12905-Paxton-St_Pacoima_CA_91331_M21542-35017</t>
  </si>
  <si>
    <t>Manuel Tario</t>
  </si>
  <si>
    <t>manueltario@outlook.com</t>
  </si>
  <si>
    <t>Cal One Realty Corp.</t>
  </si>
  <si>
    <t>1001 W Macarthur Blvd Unit 110, Santa Ana, CA 92707</t>
  </si>
  <si>
    <t>https://www.realtor.com/realestateandhomes-detail/1001-W-Macarthur-Blvd-Unit-110_Santa-Ana_CA_92707_M17275-10046</t>
  </si>
  <si>
    <t>Robert Diulio</t>
  </si>
  <si>
    <t>diulioteam@aol.com</t>
  </si>
  <si>
    <t>12401 Ridge Line Gate Ct, Porter Ranch, CA 91326</t>
  </si>
  <si>
    <t>https://www.realtor.com/realestateandhomes-detail/12401-Ridge-Line-Gate-Ct_Porter-Ranch_CA_91326_M92560-93807</t>
  </si>
  <si>
    <t>Chris Saunders</t>
  </si>
  <si>
    <t>chris@sorgp.com</t>
  </si>
  <si>
    <t>Signature One Realty Group, Inc</t>
  </si>
  <si>
    <t>20 Lagunita Dr, Laguna Beach, CA 92651</t>
  </si>
  <si>
    <t>https://www.realtor.com/realestateandhomes-detail/20-Lagunita-Dr_Laguna-Beach_CA_92651_M28021-12415</t>
  </si>
  <si>
    <t>Ryan Tarr</t>
  </si>
  <si>
    <t>rtarr80@yahoo.com</t>
  </si>
  <si>
    <t>3815 Paloma St, Los Angeles, CA 90011</t>
  </si>
  <si>
    <t>https://www.realtor.com/realestateandhomes-detail/3815-Paloma-St_Los-Angeles_CA_90011_M25300-14631</t>
  </si>
  <si>
    <t>Sheila Alvarez</t>
  </si>
  <si>
    <t>sheilanationone@gmail.com</t>
  </si>
  <si>
    <t>Nation One Realty Group Corp</t>
  </si>
  <si>
    <t>14851 Jeffrey Rd Spc 199, Irvine, CA 92618</t>
  </si>
  <si>
    <t>https://www.realtor.com/realestateandhomes-detail/14851-Jeffrey-Rd-Spc-199_Irvine_CA_92618_M18193-16758</t>
  </si>
  <si>
    <t>Debbie Collis</t>
  </si>
  <si>
    <t>debbiecollis@gmail.com</t>
  </si>
  <si>
    <t>Paez Realty Company</t>
  </si>
  <si>
    <t>2139 Ronda Granada Unit B, Laguna Woods, CA 92637</t>
  </si>
  <si>
    <t>https://www.realtor.com/realestateandhomes-detail/2139-Ronda-Granada-Unit-B_Laguna-Woods_CA_92637_M97867-59847</t>
  </si>
  <si>
    <t>Dani Walker</t>
  </si>
  <si>
    <t>daniwalker@firstteam.com</t>
  </si>
  <si>
    <t>101 Scholz Plz Ph 19, Newport Beach, CA 92663</t>
  </si>
  <si>
    <t>https://www.realtor.com/realestateandhomes-detail/101-Scholz-Plz-Ph-19_Newport-Beach_CA_92663_M18540-65187</t>
  </si>
  <si>
    <t>Larry Birnbaum</t>
  </si>
  <si>
    <t>LBomb33@gmail.com</t>
  </si>
  <si>
    <t>Lmb Enterprises</t>
  </si>
  <si>
    <t>12361 Santa Rosalia St, Garden Grove, CA 92841</t>
  </si>
  <si>
    <t>https://www.realtor.com/realestateandhomes-detail/12361-Santa-Rosalia-St_Garden-Grove_CA_92841_M20483-54067</t>
  </si>
  <si>
    <t>MICHAEL HUYNH</t>
  </si>
  <si>
    <t>michaelhuynhhomes@gmail.com</t>
  </si>
  <si>
    <t>662 Via Los Altos Unit Q, Laguna Woods, CA 92637</t>
  </si>
  <si>
    <t>https://www.realtor.com/realestateandhomes-detail/662-Via-Los-Altos-Unit-Q_Laguna-Woods_CA_92637_M29585-24085</t>
  </si>
  <si>
    <t>Danae Aballi</t>
  </si>
  <si>
    <t>danae@danaeaballi.com</t>
  </si>
  <si>
    <t>Real Brokerage Technologies, Inc</t>
  </si>
  <si>
    <t>Judie Callan</t>
  </si>
  <si>
    <t>judiecallan@gmail.com</t>
  </si>
  <si>
    <t>450 E 4th St Apt 107, Santa Ana, CA 92701</t>
  </si>
  <si>
    <t>https://www.realtor.com/realestateandhomes-detail/450-E-4th-St-Apt-107_Santa-Ana_CA_92701_M22547-48601</t>
  </si>
  <si>
    <t>Robert Esparza</t>
  </si>
  <si>
    <t>r_esparza_1@yahoo.com</t>
  </si>
  <si>
    <t>Transunited Realty Group</t>
  </si>
  <si>
    <t>16511 Newland St, Huntington Beach, CA 92647</t>
  </si>
  <si>
    <t>https://www.realtor.com/realestateandhomes-detail/16511-Newland-St_Huntington-Beach_CA_92647_M25889-45201</t>
  </si>
  <si>
    <t>Pamela Etem</t>
  </si>
  <si>
    <t>Pam@TeamEtem.com</t>
  </si>
  <si>
    <t>The OC Real Estate</t>
  </si>
  <si>
    <t>Nigel Etem</t>
  </si>
  <si>
    <t>nigel@teametem.com</t>
  </si>
  <si>
    <t>11 Silver Spruce Ct, Lake Forest, CA 92630</t>
  </si>
  <si>
    <t>https://www.realtor.com/realestateandhomes-detail/11-Silver-Spruce-Ct_Lake-Forest_CA_92630_M26394-78734</t>
  </si>
  <si>
    <t>Vanessa Bui</t>
  </si>
  <si>
    <t>vanbui29@yahoo.com</t>
  </si>
  <si>
    <t>House 2 Home Realtors</t>
  </si>
  <si>
    <t>7195 Little Harbor Dr, Huntington Beach, CA 92648</t>
  </si>
  <si>
    <t>https://www.realtor.com/realestateandhomes-detail/7195-Little-Harbor-Dr_Huntington-Beach_CA_92648_M12905-85243</t>
  </si>
  <si>
    <t>Bridgett Harris</t>
  </si>
  <si>
    <t>bridgett.harris@remax.net</t>
  </si>
  <si>
    <t>11822 Moen St, Anaheim, CA 92804</t>
  </si>
  <si>
    <t>https://www.realtor.com/realestateandhomes-detail/11822-Moen-St_Anaheim_CA_92804_M20044-54787</t>
  </si>
  <si>
    <t>David Lieu</t>
  </si>
  <si>
    <t>davelieu09@gmail.com</t>
  </si>
  <si>
    <t>400 S La Fayette Park Pl Apt 314, Los Angeles, CA 90057</t>
  </si>
  <si>
    <t>https://www.realtor.com/realestateandhomes-detail/400-S-La-Fayette-Park-Pl-Apt-314_Los-Angeles_CA_90057_M29482-13038</t>
  </si>
  <si>
    <t>Michael Yun</t>
  </si>
  <si>
    <t>realtoryun@yahoo.com</t>
  </si>
  <si>
    <t>J &amp; C Investment Group, Inc</t>
  </si>
  <si>
    <t>1412 Ravenna Ave, Wilmington, CA 90744</t>
  </si>
  <si>
    <t>https://www.realtor.com/realestateandhomes-detail/1412-Ravenna-Ave_Wilmington_CA_90744_M20918-86466</t>
  </si>
  <si>
    <t>Matthew Drenner</t>
  </si>
  <si>
    <t>reemattdren@gmail.com</t>
  </si>
  <si>
    <t>Real Estate Establishment Inc.</t>
  </si>
  <si>
    <t>634 E Adams Ave, Orange, CA 92867</t>
  </si>
  <si>
    <t>https://www.realtor.com/realestateandhomes-detail/634-E-Adams-Ave_Orange_CA_92867_M27371-61300</t>
  </si>
  <si>
    <t>James Festini</t>
  </si>
  <si>
    <t>james@jamesfestini.com</t>
  </si>
  <si>
    <t>182 S Virgil Ave, Los Angeles, CA 90004</t>
  </si>
  <si>
    <t>https://www.realtor.com/realestateandhomes-detail/182-S-Virgil-Ave_Los-Angeles_CA_90004_M17350-64452</t>
  </si>
  <si>
    <t>Jonathan Zamora</t>
  </si>
  <si>
    <t>jz1325731@gmail.com</t>
  </si>
  <si>
    <t>208 Ocean Pl, Seal Beach, CA 90740</t>
  </si>
  <si>
    <t>https://www.realtor.com/realestateandhomes-detail/208-Ocean-Pl_Seal-Beach_CA_90740_M92078-15209</t>
  </si>
  <si>
    <t>Hung Hoang</t>
  </si>
  <si>
    <t>hunghoang1@gmail.com</t>
  </si>
  <si>
    <t>New Empire Realty</t>
  </si>
  <si>
    <t>945 N Summer St, Anaheim, CA 92805</t>
  </si>
  <si>
    <t>https://www.realtor.com/realestateandhomes-detail/945-N-Summer-St_Anaheim_CA_92805_M14137-70002</t>
  </si>
  <si>
    <t>Jason Davila</t>
  </si>
  <si>
    <t>supremelegacyhomes@gmail.com</t>
  </si>
  <si>
    <t>Supreme Legacy Homes</t>
  </si>
  <si>
    <t>967 S Citron St, Anaheim, CA 92805</t>
  </si>
  <si>
    <t>https://www.realtor.com/realestateandhomes-detail/967-S-Citron-St_Anaheim_CA_92805_M99167-39224</t>
  </si>
  <si>
    <t>Lizbeth Alonzo</t>
  </si>
  <si>
    <t>lizalonzo@att.net</t>
  </si>
  <si>
    <t>3761 Lake Glen Dr Unit 146, Yorba Linda, CA 92886</t>
  </si>
  <si>
    <t>https://www.realtor.com/realestateandhomes-detail/3761-Lake-Glen-Dr-146_Yorba-Linda_CA_92886_M98951-18552</t>
  </si>
  <si>
    <t>Beverly Williams</t>
  </si>
  <si>
    <t>bankonbev.realtor@gmail.com</t>
  </si>
  <si>
    <t>27658 S Heartwood Dr, San Pedro, CA 90732</t>
  </si>
  <si>
    <t>https://www.realtor.com/realestateandhomes-detail/27658-Heartwood-Dr_San-Pedro_CA_90732_M94405-09962</t>
  </si>
  <si>
    <t>David Buster</t>
  </si>
  <si>
    <t>meridianprop@gmail.com</t>
  </si>
  <si>
    <t>David Buster, Broker</t>
  </si>
  <si>
    <t>400 N Acacia Ave Unit D35, Fullerton, CA 92831</t>
  </si>
  <si>
    <t>https://www.realtor.com/realestateandhomes-detail/400-N-Acacia-Ave-Unit-D35_Fullerton_CA_92831_M25601-94999</t>
  </si>
  <si>
    <t>Tony M Hong</t>
  </si>
  <si>
    <t>tonyhongrealtor@gmail.com</t>
  </si>
  <si>
    <t>8250 Lankershim Blvd Unit ELM3, North Hollywood, CA 91605</t>
  </si>
  <si>
    <t>https://www.realtor.com/realestateandhomes-detail/8250-Lankershim-Blvd-Elm3_North-Hollywood_CA_91605_M95788-25706</t>
  </si>
  <si>
    <t>Christopher Pham</t>
  </si>
  <si>
    <t>cntpham@gmail.com</t>
  </si>
  <si>
    <t>Advantage Homes</t>
  </si>
  <si>
    <t>1631 Interlachen Rd # M11264, Seal Beach, CA 90740</t>
  </si>
  <si>
    <t>https://www.realtor.com/realestateandhomes-detail/1631-Interlachen-Rd-M11-264G_Seal-Beach_CA_90740_M94754-02958</t>
  </si>
  <si>
    <t>Verna Chumley</t>
  </si>
  <si>
    <t>lwonsite@aol.com</t>
  </si>
  <si>
    <t>Cindy Prohaska</t>
  </si>
  <si>
    <t>cprohaska@dovelendinggroup.com</t>
  </si>
  <si>
    <t>20276 Green Hill Ln Unit 62, Yorba Linda, CA 92886</t>
  </si>
  <si>
    <t>https://www.realtor.com/realestateandhomes-detail/20276-Green-Hill-Ln-62_Yorba-Linda_CA_92886_M12069-44325</t>
  </si>
  <si>
    <t>Nadia Kohlwey</t>
  </si>
  <si>
    <t>homes@nadiakohlwey.com</t>
  </si>
  <si>
    <t>11740 W Sunset Blvd Apt 14, Los Angeles, CA 90049</t>
  </si>
  <si>
    <t>https://www.realtor.com/realestateandhomes-detail/11740-W-Sunset-Blvd-Apt-14_Los-Angeles_CA_90049_M24509-23247</t>
  </si>
  <si>
    <t>Jason Thorman</t>
  </si>
  <si>
    <t>jasonthormanre@gmail.com</t>
  </si>
  <si>
    <t>Brian Liberto</t>
  </si>
  <si>
    <t>brian@brianliberto.com</t>
  </si>
  <si>
    <t>5470 Copper Canyon Rd Unit 2E, Yorba Linda, CA 92887</t>
  </si>
  <si>
    <t>https://www.realtor.com/realestateandhomes-detail/5470-Copper-Canyon-Rd_Yorba-Linda_CA_92887_M29618-39624</t>
  </si>
  <si>
    <t>Kina De Santis</t>
  </si>
  <si>
    <t>kina@reframere.com</t>
  </si>
  <si>
    <t>reframe</t>
  </si>
  <si>
    <t>Cannon, Orange, CA 92861</t>
  </si>
  <si>
    <t>https://www.realtor.com/realestateandhomes-detail/Cannon_Orange_CA_92861_M93079-16329</t>
  </si>
  <si>
    <t>Joel Kott</t>
  </si>
  <si>
    <t>joel@joelkott.com</t>
  </si>
  <si>
    <t>28187 LA Gallina, Laguna Niguel, CA 92677</t>
  </si>
  <si>
    <t>https://www.realtor.com/realestateandhomes-detail/28187-LA-Gallina_Laguna-Niguel_CA_92677_M11769-96450</t>
  </si>
  <si>
    <t>Cindy Bowden</t>
  </si>
  <si>
    <t>bwdcin@yahoo.com</t>
  </si>
  <si>
    <t>Lido Real Estate &amp; Investments</t>
  </si>
  <si>
    <t>8415 Benjamin Dr, Huntington Beach, CA 92647</t>
  </si>
  <si>
    <t>https://www.realtor.com/realestateandhomes-detail/8415-Benjamin-Dr_Huntington-Beach_CA_92647_M14232-60922</t>
  </si>
  <si>
    <t>Kurt Galitski</t>
  </si>
  <si>
    <t>kurt@kurtrealestate.com</t>
  </si>
  <si>
    <t>4790 Montefino Dr, Cypress, CA 90630</t>
  </si>
  <si>
    <t>https://www.realtor.com/realestateandhomes-detail/4790-Montefino-Dr_Cypress_CA_90630_M23179-27672</t>
  </si>
  <si>
    <t>Cary Hairabedian</t>
  </si>
  <si>
    <t>caryh@remax.net</t>
  </si>
  <si>
    <t>College Park Realty</t>
  </si>
  <si>
    <t>102 Kauai Ln, Placentia, CA 92870</t>
  </si>
  <si>
    <t>https://www.realtor.com/realestateandhomes-detail/102-Kauai-Ln_Placentia_CA_92870_M23301-16784</t>
  </si>
  <si>
    <t>Aaron Zapata</t>
  </si>
  <si>
    <t>Aaron@ImpactProp.com</t>
  </si>
  <si>
    <t>Wei Chen</t>
  </si>
  <si>
    <t>reprofession@gmail.com</t>
  </si>
  <si>
    <t>Wei Chen, Broker</t>
  </si>
  <si>
    <t>6344 Orange Ave, Cypress, CA 90630</t>
  </si>
  <si>
    <t>https://www.realtor.com/realestateandhomes-detail/6344-Orange-Ave_Cypress_CA_90630_M22747-07402</t>
  </si>
  <si>
    <t>Catherin Youngerman</t>
  </si>
  <si>
    <t>catherineyoungermanrealestate@gmail.com</t>
  </si>
  <si>
    <t>Bowman Real Estate</t>
  </si>
  <si>
    <t>Adam Sikorski</t>
  </si>
  <si>
    <t>asikorski@compass.com</t>
  </si>
  <si>
    <t>1018 Manzanita St, Los Angeles, CA 90029</t>
  </si>
  <si>
    <t>https://www.realtor.com/realestateandhomes-detail/1018-Manzanita-St_Los-Angeles_CA_90029_M24811-24863</t>
  </si>
  <si>
    <t>Courtney Pickard</t>
  </si>
  <si>
    <t>courtney.pickard@compass.com</t>
  </si>
  <si>
    <t>22736 Schoolcraft St, West Hills, CA 91307</t>
  </si>
  <si>
    <t>https://www.realtor.com/realestateandhomes-detail/22736-Schoolcraft-St_West-Hills_CA_91307_M23045-39477</t>
  </si>
  <si>
    <t>Amin Mehrabi</t>
  </si>
  <si>
    <t>amin@aminmehrabi.com</t>
  </si>
  <si>
    <t>11753 Blythe St, North Hollywood, CA 91605</t>
  </si>
  <si>
    <t>https://www.realtor.com/realestateandhomes-detail/11753-Blythe-St_North-Hollywood_CA_91605_M15429-47241</t>
  </si>
  <si>
    <t>Tamar Kassabian</t>
  </si>
  <si>
    <t>estatesbytamar@gmail.com</t>
  </si>
  <si>
    <t>2133 Mayview Dr, Los Angeles, CA 90027</t>
  </si>
  <si>
    <t>https://www.realtor.com/realestateandhomes-detail/2133-Mayview-Dr_Los-Angeles_CA_90027_M25597-93268</t>
  </si>
  <si>
    <t>Martha Brown</t>
  </si>
  <si>
    <t>marthasellslaquinta@gmail.com</t>
  </si>
  <si>
    <t>Windermere Real Estate</t>
  </si>
  <si>
    <t>Cleland Ave, Los Angeles, CA 90065</t>
  </si>
  <si>
    <t>https://www.realtor.com/realestateandhomes-detail/Cleland-Ave_Los-Angeles_CA_90065_M96409-30121</t>
  </si>
  <si>
    <t>Dilip Sheth</t>
  </si>
  <si>
    <t>dsheth2737@yahoo.com</t>
  </si>
  <si>
    <t>Bankers Realty Exclusive, Inc.</t>
  </si>
  <si>
    <t>1818 HI Point St, Los Angeles, CA 90035</t>
  </si>
  <si>
    <t>https://www.realtor.com/realestateandhomes-detail/1818-HI-Point-St_Los-Angeles_CA_90035_M15451-13037</t>
  </si>
  <si>
    <t>Sinan Zakaria</t>
  </si>
  <si>
    <t>inquiries@listedsimply.com</t>
  </si>
  <si>
    <t>Listed Simply</t>
  </si>
  <si>
    <t>6149 Auckland Ave, North Hollywood, CA 91606</t>
  </si>
  <si>
    <t>https://www.realtor.com/realestateandhomes-detail/6149-Auckland-Ave_North-Hollywood_CA_91606_M18331-25762</t>
  </si>
  <si>
    <t>Ike Barcarse</t>
  </si>
  <si>
    <t>ikebarcarse@gmail.com</t>
  </si>
  <si>
    <t>Coldwell Banker Exclusive</t>
  </si>
  <si>
    <t>11734 N Manchester Way, Porter Ranch, CA 91326</t>
  </si>
  <si>
    <t>https://www.realtor.com/realestateandhomes-detail/11734-Manchester-Way_Porter-Ranch_CA_91326_M96004-68123</t>
  </si>
  <si>
    <t>Suzi Farajiani</t>
  </si>
  <si>
    <t>sf.suzi@gmail.com</t>
  </si>
  <si>
    <t>Andrea Doi</t>
  </si>
  <si>
    <t>andi@acme-re.com</t>
  </si>
  <si>
    <t>8657 Valley Circle Blvd, West Hills, CA 91304</t>
  </si>
  <si>
    <t>https://www.realtor.com/realestateandhomes-detail/8657-Valley-Circle-Blvd_West-Hills_CA_91304_M90543-88624</t>
  </si>
  <si>
    <t>Julliann Woods</t>
  </si>
  <si>
    <t>jewlz329@yahoo.com</t>
  </si>
  <si>
    <t>5001 Buchanan St, Los Angeles, CA 90042</t>
  </si>
  <si>
    <t>https://www.realtor.com/realestateandhomes-detail/5001-Buchanan-St_Los-Angeles_CA_90042_M14457-91076</t>
  </si>
  <si>
    <t>Steve Nemeth</t>
  </si>
  <si>
    <t>Steve@MoveInPerfect.com</t>
  </si>
  <si>
    <t>RE MAX One</t>
  </si>
  <si>
    <t>11750 Hatteras St, Valley Village, CA 91607</t>
  </si>
  <si>
    <t>https://www.realtor.com/realestateandhomes-detail/11750-Hatteras-St_Valley-Village_CA_91607_M23474-44408</t>
  </si>
  <si>
    <t>Pascual Salazar</t>
  </si>
  <si>
    <t>pascuals@brokerintrust.com</t>
  </si>
  <si>
    <t>Broker In Trust Real Estate -</t>
  </si>
  <si>
    <t>23227 Burbank Blvd, Woodland Hills, CA 91367</t>
  </si>
  <si>
    <t>https://www.realtor.com/realestateandhomes-detail/23227-Burbank-Blvd_Woodland-Hills_CA_91367_M18861-37529</t>
  </si>
  <si>
    <t>Maxim Sidelnik</t>
  </si>
  <si>
    <t>maximsidelnik@theagencyre.com</t>
  </si>
  <si>
    <t>602 W Vernon Ave, Los Angeles, CA 90037</t>
  </si>
  <si>
    <t>https://www.realtor.com/realestateandhomes-detail/602-W-Vernon-Ave_Los-Angeles_CA_90037_M22966-29406</t>
  </si>
  <si>
    <t>Deborah Moussighi</t>
  </si>
  <si>
    <t>debby_kohut@yahoo.com</t>
  </si>
  <si>
    <t>Naomi Johnson</t>
  </si>
  <si>
    <t>naomilynnejohnson@gmail.com</t>
  </si>
  <si>
    <t>13520 Rye St, Sherman Oaks, CA 91423</t>
  </si>
  <si>
    <t>https://www.realtor.com/realestateandhomes-detail/13520-Rye-St_Sherman-Oaks_CA_91423_M29356-50043</t>
  </si>
  <si>
    <t>Jack Baboudjian</t>
  </si>
  <si>
    <t>contact@babprop.com</t>
  </si>
  <si>
    <t>Baboudjian Properties Inc.</t>
  </si>
  <si>
    <t>3004 Laurel Canyon Blvd, Studio City, CA 91604</t>
  </si>
  <si>
    <t>https://www.realtor.com/realestateandhomes-detail/3004-Laurel-Canyon-Blvd_Studio-City_CA_91604_M13882-07675</t>
  </si>
  <si>
    <t>Taylor Montana Catlin</t>
  </si>
  <si>
    <t>taylor.montana@compass.com</t>
  </si>
  <si>
    <t>6254 Etiwanda Ave, Tarzana, CA 91335</t>
  </si>
  <si>
    <t>https://www.realtor.com/realestateandhomes-detail/6254-Etiwanda-Ave_Tarzana_CA_91335_M23197-52663</t>
  </si>
  <si>
    <t>Billy Wynn</t>
  </si>
  <si>
    <t>billywynn@pacbell.net</t>
  </si>
  <si>
    <t>Blue Chavira</t>
  </si>
  <si>
    <t>bluechavira@rodeore.com</t>
  </si>
  <si>
    <t>12040 Maxwellton Rd, Studio City, CA 91604</t>
  </si>
  <si>
    <t>https://www.realtor.com/realestateandhomes-detail/12040-Maxwellton-Rd_Studio-City_CA_91604_M11918-16158</t>
  </si>
  <si>
    <t>Bryan Abrams</t>
  </si>
  <si>
    <t>Bryan@bryanabrams.com</t>
  </si>
  <si>
    <t>17905 Bullock St, Encino, CA 91316</t>
  </si>
  <si>
    <t>https://www.realtor.com/realestateandhomes-detail/17905-Bullock-St_Encino_CA_91316_M13994-96107</t>
  </si>
  <si>
    <t>Darren Shack</t>
  </si>
  <si>
    <t>darrenshack4re@gmail.com</t>
  </si>
  <si>
    <t>24365 Sterling Ranch Rd, West Hills, CA 91304</t>
  </si>
  <si>
    <t>https://www.realtor.com/realestateandhomes-detail/24365-Sterling-Ranch-Rd_Canoga-Park_CA_91304_M99078-01392</t>
  </si>
  <si>
    <t>Fay Firouzi</t>
  </si>
  <si>
    <t>fayf7@yahoo.com</t>
  </si>
  <si>
    <t>Beverly and Company</t>
  </si>
  <si>
    <t>14428 Rex St, Sylmar, CA 91342</t>
  </si>
  <si>
    <t>https://www.realtor.com/realestateandhomes-detail/14428-Rex-St_Sylmar_CA_91342_M13735-13521</t>
  </si>
  <si>
    <t>Martin Tapia</t>
  </si>
  <si>
    <t>martint828@yahoo.com</t>
  </si>
  <si>
    <t>20652 Lassen St Spc 114, Chatsworth, CA 91311</t>
  </si>
  <si>
    <t>https://www.realtor.com/realestateandhomes-detail/20652-Lassen-St-Spc-114_Chatsworth_CA_91311_M99504-54790</t>
  </si>
  <si>
    <t>Martin Hernandez</t>
  </si>
  <si>
    <t>martin@martinhernandez.com</t>
  </si>
  <si>
    <t>Mission Real Estate</t>
  </si>
  <si>
    <t>Raul Canada</t>
  </si>
  <si>
    <t>raul@designbuild.la</t>
  </si>
  <si>
    <t>13825 Beaver St Unit 35, Sylmar, CA 91342</t>
  </si>
  <si>
    <t>https://www.realtor.com/realestateandhomes-detail/13825-Beaver-St-Unit-35_Sylmar_CA_91342_M22264-93221</t>
  </si>
  <si>
    <t>Vic Markarian</t>
  </si>
  <si>
    <t>markarianrealty@gmail.com</t>
  </si>
  <si>
    <t>Markarian Realty</t>
  </si>
  <si>
    <t>5460 White Oak Ave Unit A204, Encino, CA 91316</t>
  </si>
  <si>
    <t>https://www.realtor.com/realestateandhomes-detail/5460-White-Oak-Ave-Unit-A204_Encino_CA_91316_M20190-31029</t>
  </si>
  <si>
    <t>Stacee Passen</t>
  </si>
  <si>
    <t>stacee@sandlothomes.com</t>
  </si>
  <si>
    <t>17336 Tulsa St, Granada Hills, CA 91344</t>
  </si>
  <si>
    <t>https://www.realtor.com/realestateandhomes-detail/17336-Tulsa-St_Granada-Hills_CA_91344_M17820-74570</t>
  </si>
  <si>
    <t>Ramon Castro</t>
  </si>
  <si>
    <t>ramoncastrohomes@gmail.com</t>
  </si>
  <si>
    <t>13435 Chase St, Arleta, CA 91331</t>
  </si>
  <si>
    <t>https://www.realtor.com/realestateandhomes-detail/13435-Chase-St_Arleta_CA_91331_M21772-53997</t>
  </si>
  <si>
    <t>Mauricio Arevalo</t>
  </si>
  <si>
    <t>info@moarealestate.com</t>
  </si>
  <si>
    <t>22232 Alizondo Dr, Woodland Hills, CA 91364</t>
  </si>
  <si>
    <t>https://www.realtor.com/realestateandhomes-detail/22232-Alizondo-Dr_Woodland-Hills_CA_91364_M19035-17979</t>
  </si>
  <si>
    <t>Ryan Shimp</t>
  </si>
  <si>
    <t>Ryan.Shimp@engelvoelkers.com</t>
  </si>
  <si>
    <t>Engel &amp;Volkers Westlake Villag</t>
  </si>
  <si>
    <t>7137 Coldwater Canyon Ave Apt 10, North Hollywood, CA 91605</t>
  </si>
  <si>
    <t>https://www.realtor.com/realestateandhomes-detail/7137-Coldwater-Canyon-Ave-Apt-10_North-Hollywood_CA_91605_M15215-34271</t>
  </si>
  <si>
    <t>Enrique Sifuentes</t>
  </si>
  <si>
    <t>enriquehomes@gmail.com</t>
  </si>
  <si>
    <t>15801-15803 Chatsworth, Granada Hills, CA 91344</t>
  </si>
  <si>
    <t>https://www.realtor.com/realestateandhomes-detail/15801-15803-Chatsworth_Granada-Hills_CA_91344_M97750-52589</t>
  </si>
  <si>
    <t>Arthur Aslanian</t>
  </si>
  <si>
    <t>realestateart@yahoo.com</t>
  </si>
  <si>
    <t>819 S Curson Ave, Los Angeles, CA 90036</t>
  </si>
  <si>
    <t>https://www.realtor.com/realestateandhomes-detail/819-S-Curson-Ave_Los-Angeles_CA_90036_M21646-22065</t>
  </si>
  <si>
    <t>Guy Azar</t>
  </si>
  <si>
    <t>guy.realestate@gmail.com</t>
  </si>
  <si>
    <t>10600 Helen Ave, Shadow Hills, CA 91040</t>
  </si>
  <si>
    <t>https://www.realtor.com/realestateandhomes-detail/Helen_Shadow-Hills_CA_91040_M11965-03135</t>
  </si>
  <si>
    <t>Brett Howard</t>
  </si>
  <si>
    <t>brettahoward@aol.com</t>
  </si>
  <si>
    <t>Howard Realty Group</t>
  </si>
  <si>
    <t>4918 Cahuenga Blvd, North Hollywood, CA 91601</t>
  </si>
  <si>
    <t>https://www.realtor.com/realestateandhomes-detail/4918-Cahuenga-Blvd_North-Hollywood_CA_91601_M19905-25273</t>
  </si>
  <si>
    <t>Vahe Parsekhian</t>
  </si>
  <si>
    <t>vic@vicsells.com</t>
  </si>
  <si>
    <t>Americana Real Estate Services</t>
  </si>
  <si>
    <t>3851 Beverly Ridge Dr, Sherman Oaks, CA 91423</t>
  </si>
  <si>
    <t>https://www.realtor.com/realestateandhomes-detail/3851-Beverly-Ridge-Dr_Sherman-Oaks_CA_91423_M25837-21855</t>
  </si>
  <si>
    <t>Emily Rose</t>
  </si>
  <si>
    <t>emily.rose@compass.com</t>
  </si>
  <si>
    <t>5016 Bakman Ave Unit 104, North Hollywood, CA 91601</t>
  </si>
  <si>
    <t>https://www.realtor.com/realestateandhomes-detail/5016-Bakman-Ave-Unit-104_North-Hollywood_CA_91601_M18844-93057</t>
  </si>
  <si>
    <t>Sean Curts</t>
  </si>
  <si>
    <t>seancurts@yahoo.com</t>
  </si>
  <si>
    <t>9819 Nestle Ave, Northridge, CA 91325</t>
  </si>
  <si>
    <t>https://www.realtor.com/realestateandhomes-detail/9819-Nestle-Ave_Northridge_CA_91325_M26471-66159</t>
  </si>
  <si>
    <t>Nadine McNulty</t>
  </si>
  <si>
    <t>Dreamhomes@NadineMcNulty.com</t>
  </si>
  <si>
    <t>7941 Wentworth St, Sunland, CA 91040</t>
  </si>
  <si>
    <t>https://www.realtor.com/realestateandhomes-detail/7941-Wentworth-St_Sunland_CA_91040_M27297-70232</t>
  </si>
  <si>
    <t>David Cruz</t>
  </si>
  <si>
    <t>vlyview75@aol.com</t>
  </si>
  <si>
    <t>Valley View Realty,Inc</t>
  </si>
  <si>
    <t>809 N Detroit St, Los Angeles, CA 90046</t>
  </si>
  <si>
    <t>https://www.realtor.com/realestateandhomes-detail/809-N-Detroit-St_Los-Angeles_CA_90046_M91152-20024</t>
  </si>
  <si>
    <t>Ed Sanchez</t>
  </si>
  <si>
    <t>ed@edsanchez.com</t>
  </si>
  <si>
    <t>RE/MAX Empower</t>
  </si>
  <si>
    <t>18645 Hatteras St Unit 187, Tarzana, CA 91356</t>
  </si>
  <si>
    <t>https://www.realtor.com/realestateandhomes-detail/18645-Hatteras-St-Unit-187_Tarzana_CA_91356_M12872-88354</t>
  </si>
  <si>
    <t>Amy Emmoyan</t>
  </si>
  <si>
    <t>amy@aedreamhomes.com</t>
  </si>
  <si>
    <t>7826 Winnetka Ave, Winnetka, CA 91306</t>
  </si>
  <si>
    <t>https://www.realtor.com/realestateandhomes-detail/7826-Winnetka-Ave_Winnetka_CA_91306_M11786-69504</t>
  </si>
  <si>
    <t>STEVEN GREEN</t>
  </si>
  <si>
    <t>stevengreen4re@aol.com</t>
  </si>
  <si>
    <t>10147 Janetta Way, Sunland, CA 91040</t>
  </si>
  <si>
    <t>https://www.realtor.com/realestateandhomes-detail/10147-Janetta-Way_Sunland_CA_91040_M25056-15588</t>
  </si>
  <si>
    <t>Jerry Armen</t>
  </si>
  <si>
    <t>jerry@teamrockproperties.com</t>
  </si>
  <si>
    <t>Team Rock Properties</t>
  </si>
  <si>
    <t>898 S Victoria Ave, Los Angeles, CA 90005</t>
  </si>
  <si>
    <t>https://www.realtor.com/realestateandhomes-detail/898-S-Victoria-Ave_Los-Angeles_CA_90005_M22494-76616</t>
  </si>
  <si>
    <t>Alin Glogovicean</t>
  </si>
  <si>
    <t>alin.glogovicean@redfin.com</t>
  </si>
  <si>
    <t>6022 Pat Ave, Woodland Hills, CA 91367</t>
  </si>
  <si>
    <t>https://www.realtor.com/realestateandhomes-detail/6022-Pat-Ave_Woodland-Hills_CA_91367_M15207-44962</t>
  </si>
  <si>
    <t>Alina Chubay</t>
  </si>
  <si>
    <t>alina@omegarealtyla.com</t>
  </si>
  <si>
    <t>Omega Realty &amp; Lending,Inc.</t>
  </si>
  <si>
    <t>3124 Goodview Trl, Los Angeles, CA 90068</t>
  </si>
  <si>
    <t>https://www.realtor.com/realestateandhomes-detail/3124-Goodview-Trl_Los-Angeles_CA_90068_M21483-58370</t>
  </si>
  <si>
    <t>Lorilee King</t>
  </si>
  <si>
    <t>lorikingre@aol.com</t>
  </si>
  <si>
    <t>Ramsey-Shilling Assoc</t>
  </si>
  <si>
    <t>5700 Etiwanda Ave Unit 149, Tarzana, CA 91356</t>
  </si>
  <si>
    <t>https://www.realtor.com/realestateandhomes-detail/5700-Etiwanda-Ave-Unit-149_Tarzana_CA_91356_M10098-34730</t>
  </si>
  <si>
    <t>Ken Marker</t>
  </si>
  <si>
    <t>sold@therealestateguys.com</t>
  </si>
  <si>
    <t>2340 Thomas St, Los Angeles, CA 90031</t>
  </si>
  <si>
    <t>https://www.realtor.com/realestateandhomes-detail/2340-Thomas-St_Los-Angeles_CA_90031_M14889-79155</t>
  </si>
  <si>
    <t>Gerardo Ascencio</t>
  </si>
  <si>
    <t>jerry@missionreo.com</t>
  </si>
  <si>
    <t>6232 Morse Ave, North Hollywood, CA 91606</t>
  </si>
  <si>
    <t>https://www.realtor.com/realestateandhomes-detail/6232-Morse-Ave_North-Hollywood_CA_91606_M20768-93665</t>
  </si>
  <si>
    <t>Patricia Mendoza</t>
  </si>
  <si>
    <t>patricia@thelaagent.com</t>
  </si>
  <si>
    <t>9168 Vena Ave, Arleta, CA 91331</t>
  </si>
  <si>
    <t>https://www.realtor.com/realestateandhomes-detail/9168-Vena-Ave_Arleta_CA_91331_M23018-71309</t>
  </si>
  <si>
    <t>Amy Oganyan</t>
  </si>
  <si>
    <t>amy@oganyangroup.com</t>
  </si>
  <si>
    <t>20356 Via Cellini, Porter Ranch, CA 91326</t>
  </si>
  <si>
    <t>https://www.realtor.com/realestateandhomes-detail/20356-Via-Cellini_Porter-Ranch_CA_91326_M18765-81000</t>
  </si>
  <si>
    <t>Dave Proctor</t>
  </si>
  <si>
    <t>Dave@MrPorterRanch.com</t>
  </si>
  <si>
    <t>9054 Willis Ave Unit 28, Panorama City, CA 91402</t>
  </si>
  <si>
    <t>https://www.realtor.com/realestateandhomes-detail/9054-Willis-Ave-Unit-28_Panorama-City_CA_91402_M29570-81109</t>
  </si>
  <si>
    <t>Sandra Kaplan</t>
  </si>
  <si>
    <t>sandra@sandrahomeseller.com</t>
  </si>
  <si>
    <t>19677 Horace St, Chatsworth, CA 91311</t>
  </si>
  <si>
    <t>https://www.realtor.com/realestateandhomes-detail/19677-Horace-St_Chatsworth_CA_91311_M20186-01507</t>
  </si>
  <si>
    <t>Roy Sulka</t>
  </si>
  <si>
    <t>rsulka@aol.com</t>
  </si>
  <si>
    <t>17848 Tuscan Dr, Granada Hills, CA 91344</t>
  </si>
  <si>
    <t>https://www.realtor.com/realestateandhomes-detail/17848-Tuscan-Dr_Granada-Hills_CA_91344_M13922-09652</t>
  </si>
  <si>
    <t>THE MATT HORN GROUP Matt Horn and Marlo Miller Horn Licensed Real Estate Brokers</t>
  </si>
  <si>
    <t>mattrebroker@gmail.com</t>
  </si>
  <si>
    <t>Keller Williams VIP Properties</t>
  </si>
  <si>
    <t>Tamara Tambe</t>
  </si>
  <si>
    <t>Tamara@TamaraTambe.com</t>
  </si>
  <si>
    <t>4022 Willowcrest Ave, Studio City, CA 91604</t>
  </si>
  <si>
    <t>https://www.realtor.com/realestateandhomes-detail/4022-Willowcrest-Ave_Studio-City_CA_91604_M20685-34721</t>
  </si>
  <si>
    <t>KEVIN ERIC GODLEY</t>
  </si>
  <si>
    <t>kevin.godley@gmail.com</t>
  </si>
  <si>
    <t>23103 Leonora Dr, Woodland Hills, CA 91367</t>
  </si>
  <si>
    <t>https://www.realtor.com/realestateandhomes-detail/23103-Leonora-Dr_Woodland-Hills_CA_91367_M19071-92786</t>
  </si>
  <si>
    <t>Sheryl Petway</t>
  </si>
  <si>
    <t>sherylpp@hotmail.com</t>
  </si>
  <si>
    <t>24310 Belford Ct, West Hills, CA 91307</t>
  </si>
  <si>
    <t>https://www.realtor.com/realestateandhomes-detail/24310-Belford-Ct_West-Hills_CA_91307_M14559-39488</t>
  </si>
  <si>
    <t>Marielle Epstein</t>
  </si>
  <si>
    <t>marielle.epstein19@gmail.com</t>
  </si>
  <si>
    <t>1st Point Realty</t>
  </si>
  <si>
    <t>19519 Rinaldi St Unit 55, Porter Ranch, CA 91326</t>
  </si>
  <si>
    <t>https://www.realtor.com/realestateandhomes-detail/19519-Rinaldi-St-Unit-55_Porter-Ranch_CA_91326_M18358-49325</t>
  </si>
  <si>
    <t>Jennifer Santulan</t>
  </si>
  <si>
    <t>jen@myhousesellers.com</t>
  </si>
  <si>
    <t>3398 Floyd Ter, Los Angeles, CA 90068</t>
  </si>
  <si>
    <t>https://www.realtor.com/realestateandhomes-detail/3398-Floyd-Ter_Los-Angeles_CA_90068_M12475-99422</t>
  </si>
  <si>
    <t>Marly Tempel</t>
  </si>
  <si>
    <t>marlytemp@yahoo.com</t>
  </si>
  <si>
    <t>7907 Vicksburg Ave, Los Angeles, CA 90045</t>
  </si>
  <si>
    <t>https://www.realtor.com/realestateandhomes-detail/7907-Vicksburg-Ave_Los-Angeles_CA_90045_M12526-43622</t>
  </si>
  <si>
    <t>Beatrice M. Stambulski</t>
  </si>
  <si>
    <t>Beatrice4Sold@gmail.com</t>
  </si>
  <si>
    <t>13601 Del Monte Dr Unit 54A, Seal Beach, CA 90740</t>
  </si>
  <si>
    <t>https://www.realtor.com/realestateandhomes-detail/13601-Del-Monte-Dr-Apt-A54_Seal-Beach_CA_90740_M95326-96245</t>
  </si>
  <si>
    <t>Mark Hughes</t>
  </si>
  <si>
    <t>markhughesrealestate@gmail.com</t>
  </si>
  <si>
    <t>Leisure Life Real Estate</t>
  </si>
  <si>
    <t>20101 Greenbriar Dr, Tarzana, CA 91356</t>
  </si>
  <si>
    <t>https://www.realtor.com/realestateandhomes-detail/20101-Greenbriar-Dr_Tarzana_CA_91356_M20949-53126</t>
  </si>
  <si>
    <t>Kristina Nazarova</t>
  </si>
  <si>
    <t>Nazarova0404@gmail.com</t>
  </si>
  <si>
    <t>16101 Royal Mount Dr, Encino, CA 91436</t>
  </si>
  <si>
    <t>https://www.realtor.com/realestateandhomes-detail/16101-Royal-Mount-Dr_Encino_CA_91436_M29856-35045</t>
  </si>
  <si>
    <t>Therese Hyde</t>
  </si>
  <si>
    <t>theresehyde@gmail.com</t>
  </si>
  <si>
    <t>5040 W Slauson Ave, Los Angeles, CA 90056</t>
  </si>
  <si>
    <t>https://www.realtor.com/realestateandhomes-detail/5040-W-Slauson-Ave_Los-Angeles_CA_90056_M28106-41850</t>
  </si>
  <si>
    <t>Kara Marotta</t>
  </si>
  <si>
    <t>kara.marotta@compass.com</t>
  </si>
  <si>
    <t>3635 Potosi Ave, Studio City, CA 91604</t>
  </si>
  <si>
    <t>https://www.realtor.com/realestateandhomes-detail/3635-Potosi-Ave_Studio-City_CA_91604_M14850-61859</t>
  </si>
  <si>
    <t>Ata and Ibrahim</t>
  </si>
  <si>
    <t>tajyarrealestate@gmail.com</t>
  </si>
  <si>
    <t>3721 Eureka Dr, Studio City, CA 91604</t>
  </si>
  <si>
    <t>https://www.realtor.com/realestateandhomes-detail/3721-Eureka-Dr_Studio-City_CA_91604_M94028-05417</t>
  </si>
  <si>
    <t>Corey Kessler</t>
  </si>
  <si>
    <t>corey@harmaslistings.com</t>
  </si>
  <si>
    <t>12917 El Dorado Ave, Sylmar, CA 91342</t>
  </si>
  <si>
    <t>https://www.realtor.com/realestateandhomes-detail/12917-El-Dorado-Ave_Sylmar_CA_91342_M90848-46994</t>
  </si>
  <si>
    <t>Jorge Martinez</t>
  </si>
  <si>
    <t>jorge@rmaxrealtor.com</t>
  </si>
  <si>
    <t>5318 Irvington Pl, Los Angeles, CA 90042</t>
  </si>
  <si>
    <t>https://www.realtor.com/realestateandhomes-detail/5318-Irvington-Pl_Los-Angeles_CA_90042_M12987-02401</t>
  </si>
  <si>
    <t>Maribel Munoz</t>
  </si>
  <si>
    <t>maribelsellshomes@gmail.com</t>
  </si>
  <si>
    <t>Trevino Properties Inc.</t>
  </si>
  <si>
    <t>900 W Olympic Blvd Unit 46G, Los Angeles, CA 90015</t>
  </si>
  <si>
    <t>https://www.realtor.com/realestateandhomes-detail/900-W-Olympic-Blvd-Unit-46G_Los-Angeles_CA_90015_M16210-27061</t>
  </si>
  <si>
    <t>Ivan Furman</t>
  </si>
  <si>
    <t>ivanfurmanre@gmail.com</t>
  </si>
  <si>
    <t>THE EXECUTIVE REALTY GROUP</t>
  </si>
  <si>
    <t>4 Oxford Way, Northridge, CA 91324</t>
  </si>
  <si>
    <t>https://www.realtor.com/realestateandhomes-detail/4-Oxford-Way_Northridge_CA_91324_M98853-35591</t>
  </si>
  <si>
    <t>Elise Shuben</t>
  </si>
  <si>
    <t>eliseshuben@gmail.com</t>
  </si>
  <si>
    <t>Paradise Estate Properties</t>
  </si>
  <si>
    <t>4731 Tyrone Ave, Sherman Oaks, CA 91423</t>
  </si>
  <si>
    <t>https://www.realtor.com/realestateandhomes-detail/4731-Tyrone-Ave_Sherman-Oaks_CA_91423_M17417-72416</t>
  </si>
  <si>
    <t>Pat  Losurdo</t>
  </si>
  <si>
    <t>patlosurdo@gmail.com</t>
  </si>
  <si>
    <t>5075 Hood Dr, Woodland Hills, CA 91364</t>
  </si>
  <si>
    <t>https://www.realtor.com/realestateandhomes-detail/5075-Hood-Dr_Woodland-Hills_CA_91364_M12963-49387</t>
  </si>
  <si>
    <t>Donald Pistotnik</t>
  </si>
  <si>
    <t>donpistotnik@aol.com</t>
  </si>
  <si>
    <t>Land &amp; Real Estate Investments</t>
  </si>
  <si>
    <t>15057 Paddock St, Sylmar, CA 91342</t>
  </si>
  <si>
    <t>https://www.realtor.com/realestateandhomes-detail/15057-Paddock-St_Sylmar_CA_91342_M15700-05464</t>
  </si>
  <si>
    <t>Bulmaro Jarquin</t>
  </si>
  <si>
    <t>marojarquin@oaxrealty.com</t>
  </si>
  <si>
    <t>Oax Realty</t>
  </si>
  <si>
    <t>4227 Bellaire Ave, Studio City, CA 91604</t>
  </si>
  <si>
    <t>https://www.realtor.com/realestateandhomes-detail/4227-Bellaire-Ave_Studio-City_CA_91604_M12480-50465</t>
  </si>
  <si>
    <t>Jamie Pearson Team Leader</t>
  </si>
  <si>
    <t>jamie@pearsoncusackrealestategroup.com</t>
  </si>
  <si>
    <t>Giovany Kirakossian</t>
  </si>
  <si>
    <t>geo@thelaagent.com</t>
  </si>
  <si>
    <t>4184 Lanai Rd, Encino, CA 91436</t>
  </si>
  <si>
    <t>https://www.realtor.com/realestateandhomes-detail/4184-Lanai-Rd_Encino_CA_91436_M28877-37414</t>
  </si>
  <si>
    <t>Renee Delgado</t>
  </si>
  <si>
    <t>renee@yourcaliforniahome.com</t>
  </si>
  <si>
    <t>805 Partners Inc</t>
  </si>
  <si>
    <t>14143 Victory Blvd, Van Nuys, CA 91401</t>
  </si>
  <si>
    <t>https://www.realtor.com/realestateandhomes-detail/14143-Victory-Blvd_Van-Nuys_CA_91401_M13376-63226</t>
  </si>
  <si>
    <t>Elvin Apelian</t>
  </si>
  <si>
    <t>elvin@equityunion.com</t>
  </si>
  <si>
    <t>Laurel Stuczynski</t>
  </si>
  <si>
    <t>laurelstuczynski@gmail.com</t>
  </si>
  <si>
    <t>5100 Orrville Ave, Woodland Hills, CA 91367</t>
  </si>
  <si>
    <t>https://www.realtor.com/realestateandhomes-detail/5100-Orrville-Ave_Woodland-Hills_CA_91367_M19449-80452</t>
  </si>
  <si>
    <t>David Emanuel</t>
  </si>
  <si>
    <t>david@DavidSellsLA.com</t>
  </si>
  <si>
    <t>20123 Haynes St, Winnetka, CA 91306</t>
  </si>
  <si>
    <t>https://www.realtor.com/realestateandhomes-detail/20123-Haynes-St_Winnetka_CA_91306_M26376-31152</t>
  </si>
  <si>
    <t>Daniel Ohana</t>
  </si>
  <si>
    <t>daniel.ohana@yahoo.com</t>
  </si>
  <si>
    <t>3721 Woodcliff Rd, Sherman Oaks, CA 91403</t>
  </si>
  <si>
    <t>https://www.realtor.com/realestateandhomes-detail/3721-Woodcliff-Rd_Sherman-Oaks_CA_91403_M27731-07374</t>
  </si>
  <si>
    <t>Alan Taylor</t>
  </si>
  <si>
    <t>Alan@ATRealEstateGroup.com</t>
  </si>
  <si>
    <t>1425 S Bonnie Brae St, Los Angeles, CA 90006</t>
  </si>
  <si>
    <t>https://www.realtor.com/realestateandhomes-detail/1425-S-Bonnie-Brae-St_Los-Angeles_CA_90006_M20462-43298</t>
  </si>
  <si>
    <t>Cricket Yee</t>
  </si>
  <si>
    <t>cricket.yee@camoves.com</t>
  </si>
  <si>
    <t>Ibrahim Habib</t>
  </si>
  <si>
    <t>isellyou57@gmail.com</t>
  </si>
  <si>
    <t>5232 Corteen Pl Unit 17, Valley Village, CA 91607</t>
  </si>
  <si>
    <t>https://www.realtor.com/realestateandhomes-detail/5232-Corteen-Pl-Unit-17_Valley-Village_CA_91607_M26199-70244</t>
  </si>
  <si>
    <t>Mohamed Hassan</t>
  </si>
  <si>
    <t>MohamedHassanJD@Gmail.com</t>
  </si>
  <si>
    <t>Viceroy Realty,Inc.</t>
  </si>
  <si>
    <t>15455 Glenoaks Blvd Spc 502, Sylmar, CA 91342</t>
  </si>
  <si>
    <t>https://www.realtor.com/realestateandhomes-detail/15455-Glenoaks-Blvd-Spc-502_Sylmar_CA_91342_M91234-30137</t>
  </si>
  <si>
    <t>Kimberly (Kim) Galvan</t>
  </si>
  <si>
    <t>kim@kimgalvan.com</t>
  </si>
  <si>
    <t>HomeSmart Evergreen Realty</t>
  </si>
  <si>
    <t>12753 Halkirk St, Studio City, CA 91604</t>
  </si>
  <si>
    <t>https://www.realtor.com/realestateandhomes-detail/12753-Halkirk-St_Studio-City_CA_91604_M14191-38407</t>
  </si>
  <si>
    <t>Andrew Teshinsky</t>
  </si>
  <si>
    <t>at@thedinskyteam.com</t>
  </si>
  <si>
    <t>11305 Valley Spring Ln, Studio City, CA 91602</t>
  </si>
  <si>
    <t>https://www.realtor.com/realestateandhomes-detail/11305-Valley-Spring-Ln_Studio-City_CA_91602_M10497-21119</t>
  </si>
  <si>
    <t>Arman Grigoryan</t>
  </si>
  <si>
    <t>arman@teamupmost.com</t>
  </si>
  <si>
    <t>9716 Oak Pass Rd, Beverly Hills, CA 90210</t>
  </si>
  <si>
    <t>https://www.realtor.com/realestateandhomes-detail/9716-Oak-Pass-Rd_Beverly-Hills_CA_90210_M29172-92821</t>
  </si>
  <si>
    <t>Sokrat Arzumanyan</t>
  </si>
  <si>
    <t>sokrat@coldwellbanker.com</t>
  </si>
  <si>
    <t>4522 Conchita Way, Tarzana, CA 91356</t>
  </si>
  <si>
    <t>https://www.realtor.com/realestateandhomes-detail/4522-Conchita-Way_Tarzana_CA_91356_M21279-70751</t>
  </si>
  <si>
    <t>Emy Serrano</t>
  </si>
  <si>
    <t>emyserrano7@gmail.com</t>
  </si>
  <si>
    <t>Gmax Properties Inc.</t>
  </si>
  <si>
    <t>448 W Central Ave, Brea, CA 92821</t>
  </si>
  <si>
    <t>https://www.realtor.com/realestateandhomes-detail/448-W-Central-Ave_Brea_CA_92821_M97756-37229</t>
  </si>
  <si>
    <t>Xuan Liu</t>
  </si>
  <si>
    <t>minaliu86@gmail.com</t>
  </si>
  <si>
    <t>7133 Coldwater Canyon Ave Apt 14, North Hollywood, CA 91605</t>
  </si>
  <si>
    <t>https://www.realtor.com/realestateandhomes-detail/7133-Coldwater-Canyon-Ave-Apt-14_North-Hollywood_CA_91605_M92459-11965</t>
  </si>
  <si>
    <t>Yuri Drell</t>
  </si>
  <si>
    <t>yuri@larealtyhub.com</t>
  </si>
  <si>
    <t>18350 Napa St, Northridge, CA 91325</t>
  </si>
  <si>
    <t>https://www.realtor.com/realestateandhomes-detail/18350-Napa-St_Northridge_CA_91325_M20258-66529</t>
  </si>
  <si>
    <t>Brad Wiseman</t>
  </si>
  <si>
    <t>bradwiseman@gmail.com</t>
  </si>
  <si>
    <t>285 W 9th St, San Pedro, CA 90731</t>
  </si>
  <si>
    <t>https://www.realtor.com/realestateandhomes-detail/285-W-9th-St_San-Pedro_CA_90731_M18236-55626</t>
  </si>
  <si>
    <t>Lido Delgado</t>
  </si>
  <si>
    <t>lido.delgado@engelvoelkers.com</t>
  </si>
  <si>
    <t>416 S Spring St Apt 1210, Los Angeles, CA 90013</t>
  </si>
  <si>
    <t>https://www.realtor.com/realestateandhomes-detail/416-S-Spring-St-Apt-1210_Los-Angeles_CA_90013_M26075-50902</t>
  </si>
  <si>
    <t>Karen Menjivar</t>
  </si>
  <si>
    <t>karen@karenmenjivar.com</t>
  </si>
  <si>
    <t>132 N Normandie Ave, Los Angeles, CA 90004</t>
  </si>
  <si>
    <t>https://www.realtor.com/realestateandhomes-detail/132-N-Normandie-Ave_Los-Angeles_CA_90004_M95311-89383</t>
  </si>
  <si>
    <t>Ash Ghavami</t>
  </si>
  <si>
    <t>ashk.ghavami@gmail.com</t>
  </si>
  <si>
    <t>5525 Carpenter Ave, Valley Village, CA 91607</t>
  </si>
  <si>
    <t>https://www.realtor.com/realestateandhomes-detail/5525-Carpenter-Ave_Valley-Village_CA_91607_M26375-97035</t>
  </si>
  <si>
    <t>Lior Bitan</t>
  </si>
  <si>
    <t>lior_bitan@yahoo.com</t>
  </si>
  <si>
    <t>20800 Campania Ln, Porter Ranch, CA 91326</t>
  </si>
  <si>
    <t>https://www.realtor.com/realestateandhomes-detail/20800-Campania-Ln_Porter-Ranch_CA_91326_M27266-82080</t>
  </si>
  <si>
    <t>Sonal Sojitra</t>
  </si>
  <si>
    <t>losangeleshomes@hotmail.com</t>
  </si>
  <si>
    <t>5206 Topeka Dr, Tarzana, CA 91356</t>
  </si>
  <si>
    <t>https://www.realtor.com/realestateandhomes-detail/5206-Topeka-Dr_Tarzana_CA_91356_M14901-64145</t>
  </si>
  <si>
    <t>Houman Jahangard</t>
  </si>
  <si>
    <t>Houman@RoyalREP.COM</t>
  </si>
  <si>
    <t>Royal Rep Realty, Inc.</t>
  </si>
  <si>
    <t>1158 N Kenmore Ave, Los Angeles, CA 90029</t>
  </si>
  <si>
    <t>https://www.realtor.com/realestateandhomes-detail/1158-N-Kenmore-Ave_Los-Angeles_CA_90029_M26034-94846</t>
  </si>
  <si>
    <t>Loren Mariel Aldana</t>
  </si>
  <si>
    <t>lorenmariel.aldana@gmail.com</t>
  </si>
  <si>
    <t>TruLine Realty</t>
  </si>
  <si>
    <t>5325 Newcastle Ave Unit 322, Encino, CA 91316</t>
  </si>
  <si>
    <t>https://www.realtor.com/realestateandhomes-detail/5325-Newcastle-Ave-Unit-322_Encino_CA_91316_M15277-65481</t>
  </si>
  <si>
    <t>Margreit Asanad</t>
  </si>
  <si>
    <t>margriet126@aol.com</t>
  </si>
  <si>
    <t>Alpha &amp; Associates Real Estate</t>
  </si>
  <si>
    <t>19918 Acre St, Northridge, CA 91324</t>
  </si>
  <si>
    <t>https://www.realtor.com/realestateandhomes-detail/19918-Acre-St_Northridge_CA_91324_M28864-88042</t>
  </si>
  <si>
    <t>Michael Melik-Bakchian</t>
  </si>
  <si>
    <t>mike@mr818.com</t>
  </si>
  <si>
    <t>LA Premier Realty, Inc.</t>
  </si>
  <si>
    <t>465 Panorama Dr, Laguna Beach, CA 92651</t>
  </si>
  <si>
    <t>https://www.realtor.com/realestateandhomes-detail/465-Panorama-Dr_Laguna-Beach_CA_92651_M17341-56407</t>
  </si>
  <si>
    <t>Roderic Stadelmann</t>
  </si>
  <si>
    <t>roderic@whitelabelhomecollective.com</t>
  </si>
  <si>
    <t>20138 W Marlow Ln, Porter Ranch, CA 91326</t>
  </si>
  <si>
    <t>https://www.realtor.com/realestateandhomes-detail/20138-W-Marlow-Ln_Porter-Ranch_CA_91326_M90728-77671</t>
  </si>
  <si>
    <t>Dan Jin</t>
  </si>
  <si>
    <t>ihousela@gmail.com</t>
  </si>
  <si>
    <t>1641 N Ogden Dr, Los Angeles, CA 90046</t>
  </si>
  <si>
    <t>https://www.realtor.com/realestateandhomes-detail/1641-N-Ogden-Dr_Los-Angeles_CA_90046_M28407-67102</t>
  </si>
  <si>
    <t>Bryn Schneider</t>
  </si>
  <si>
    <t>brynschneider@gmail.com</t>
  </si>
  <si>
    <t>8222 Pershing Dr Unit 24, Playa Del Rey, CA 90293</t>
  </si>
  <si>
    <t>https://www.realtor.com/realestateandhomes-detail/8222-Pershing-Dr-24_Playa-Del-Rey_CA_90293_M98253-08268</t>
  </si>
  <si>
    <t>Heba Abulazm</t>
  </si>
  <si>
    <t>habulazm@gmail.com</t>
  </si>
  <si>
    <t>Real Estate Source, Inc.</t>
  </si>
  <si>
    <t>4834 Adele Ct, Woodland Hills, CA 91364</t>
  </si>
  <si>
    <t>https://www.realtor.com/realestateandhomes-detail/4834-Adele-Ct_Woodland-Hills_CA_91364_M19567-71011</t>
  </si>
  <si>
    <t>Yeva Avetisyan</t>
  </si>
  <si>
    <t>eva.avetisyan05@gmail.com</t>
  </si>
  <si>
    <t>Luxury Home Real Estate</t>
  </si>
  <si>
    <t>2113 W Court St, Los Angeles, CA 90026</t>
  </si>
  <si>
    <t>https://www.realtor.com/realestateandhomes-detail/2113-W-Court-St_Los-Angeles_CA_90026_M10148-81834</t>
  </si>
  <si>
    <t>Carlos Barron</t>
  </si>
  <si>
    <t>realtor@carlosbarron.com</t>
  </si>
  <si>
    <t>Sirilo Ortiz</t>
  </si>
  <si>
    <t>sirilo@siriloortiz.com</t>
  </si>
  <si>
    <t>3633 Richardson Dr, Glassell Park, CA 90065</t>
  </si>
  <si>
    <t>https://www.realtor.com/realestateandhomes-detail/3633-Richardson-Dr_Glassell-Park_CA_90065_M11867-51412</t>
  </si>
  <si>
    <t>Chien-jing Hsiao</t>
  </si>
  <si>
    <t>winniehsiaousa@gmail.com</t>
  </si>
  <si>
    <t>Todd Anderson</t>
  </si>
  <si>
    <t>todd@impactprop.com</t>
  </si>
  <si>
    <t>7650 Balboa Blvd Spc 43, Van Nuys, CA 91406</t>
  </si>
  <si>
    <t>https://www.realtor.com/realestateandhomes-detail/7650-Balboa-Blvd-Spc-43_Van-Nuys_CA_91406_M96968-04164</t>
  </si>
  <si>
    <t>Robert Paez</t>
  </si>
  <si>
    <t>Robert@PaezRealty.com</t>
  </si>
  <si>
    <t>334 S Walnut Ave, Brea, CA 92821</t>
  </si>
  <si>
    <t>https://www.realtor.com/realestateandhomes-detail/334-S-Walnut-Ave_Brea_CA_92821_M91644-05992</t>
  </si>
  <si>
    <t>Andy Castaneda</t>
  </si>
  <si>
    <t>andycastanedarealtor@gmail.com</t>
  </si>
  <si>
    <t>Synergy Real Estate</t>
  </si>
  <si>
    <t>4553 W 17th St, Los Angeles, CA 90019</t>
  </si>
  <si>
    <t>https://www.realtor.com/realestateandhomes-detail/4553-W-17th-St_Los-Angeles_CA_90019_M17743-35849</t>
  </si>
  <si>
    <t>Alvin Benipayo</t>
  </si>
  <si>
    <t>avb300@aol.com</t>
  </si>
  <si>
    <t>320 S Ardmore Ave, Los Angeles, CA 90020</t>
  </si>
  <si>
    <t>https://www.realtor.com/realestateandhomes-detail/320-S-Ardmore-Ave_Los-Angeles_CA_90020_M95573-62270</t>
  </si>
  <si>
    <t>Mia McLeod</t>
  </si>
  <si>
    <t>mcleodfinancial@gmail.com</t>
  </si>
  <si>
    <t>Mcleod &amp; Associates</t>
  </si>
  <si>
    <t>Darwin Ciria</t>
  </si>
  <si>
    <t>darwin@themcleodteam.com</t>
  </si>
  <si>
    <t>DAVID GUSHUE</t>
  </si>
  <si>
    <t>dan@gushuefamilyrealtors.com</t>
  </si>
  <si>
    <t>1234 Wilshire Blvd Apt 233, Los Angeles, CA 90017</t>
  </si>
  <si>
    <t>https://www.realtor.com/realestateandhomes-detail/1234-Wilshire-Blvd-Apt-233_Los-Angeles_CA_90017_M11903-38481</t>
  </si>
  <si>
    <t>Hugo Mazariego-salazar</t>
  </si>
  <si>
    <t>hugo4koz@yahoo.com</t>
  </si>
  <si>
    <t>Haven Robledo Realty</t>
  </si>
  <si>
    <t>1822 Bridge St, Los Angeles, CA 90033</t>
  </si>
  <si>
    <t>https://www.realtor.com/realestateandhomes-detail/1822-Bridge-St_Los-Angeles_CA_90033_M10217-38768</t>
  </si>
  <si>
    <t>Matthew Guerra</t>
  </si>
  <si>
    <t>mguerra@growthinvestmentgroup.com</t>
  </si>
  <si>
    <t>KW Executive</t>
  </si>
  <si>
    <t>Alexander Enriquez</t>
  </si>
  <si>
    <t>Alexander.Enriquez@camoves.com</t>
  </si>
  <si>
    <t>1222 W Sharon Rd, Santa Ana, CA 92706</t>
  </si>
  <si>
    <t>https://www.realtor.com/realestateandhomes-detail/1222-W-Sharon-Rd_Santa-Ana_CA_92706_M26323-30981</t>
  </si>
  <si>
    <t>Cheryl Wozniak</t>
  </si>
  <si>
    <t>cheriw@sevengables.com</t>
  </si>
  <si>
    <t>11051 Strathmore Dr Unit 1, Los Angeles, CA 90024</t>
  </si>
  <si>
    <t>https://www.realtor.com/realestateandhomes-detail/11051-Strathmore-Dr-1_Los-Angeles_CA_90024_M23343-92646</t>
  </si>
  <si>
    <t>Christopher Newell</t>
  </si>
  <si>
    <t>cmnewell14@gmail.com</t>
  </si>
  <si>
    <t>Hanna Karcho-Polselli</t>
  </si>
  <si>
    <t>hannakarcho@gmail.com</t>
  </si>
  <si>
    <t>2501 S El Camino Real Unit 309, San Clemente, CA 92672</t>
  </si>
  <si>
    <t>https://www.realtor.com/realestateandhomes-detail/2501-S-El-Camino-Real-Unit-309_San-Clemente_CA_92672_M21939-74419</t>
  </si>
  <si>
    <t>Ryan Schramm</t>
  </si>
  <si>
    <t>ryan@creatusproperties.com</t>
  </si>
  <si>
    <t>Creatus Properties</t>
  </si>
  <si>
    <t>Silverado Canyon Rd, Silverado Canyon, CA 92676</t>
  </si>
  <si>
    <t>https://www.realtor.com/realestateandhomes-detail/Silverado-Canyon-Rd_Silverado-Canyon_CA_92676_M94407-22520</t>
  </si>
  <si>
    <t>Marion Schuller</t>
  </si>
  <si>
    <t>Marion.Schuller@camoves.com</t>
  </si>
  <si>
    <t>Jeff Lu</t>
  </si>
  <si>
    <t>wl.myproperties@gmail.com</t>
  </si>
  <si>
    <t>64 Emerald Bay, Laguna Beach, CA 92651</t>
  </si>
  <si>
    <t>https://www.realtor.com/realestateandhomes-detail/64-Emerald-Bay_Laguna-Beach_CA_92651_M20512-46289</t>
  </si>
  <si>
    <t>Maura Short</t>
  </si>
  <si>
    <t>maura@compass.com</t>
  </si>
  <si>
    <t>2701 Vista Umbrosa, Newport Beach, CA 92660</t>
  </si>
  <si>
    <t>https://www.realtor.com/realestateandhomes-detail/2701-Vista-Umbrosa_Newport-Beach_CA_92660_M11878-44262</t>
  </si>
  <si>
    <t>Kathe van Hoften</t>
  </si>
  <si>
    <t>kathevh@Hotmail.com</t>
  </si>
  <si>
    <t>412 Arenoso Ln Unit 106, San Clemente, CA 92672</t>
  </si>
  <si>
    <t>https://www.realtor.com/realestateandhomes-detail/412-Arenoso-Ln-Unit-106_San-Clemente_CA_92672_M22685-33728</t>
  </si>
  <si>
    <t>Drew Weddle</t>
  </si>
  <si>
    <t>drew@thebowenteam.com</t>
  </si>
  <si>
    <t>2727 Ocean Blvd, Corona Del Mar, CA 92625</t>
  </si>
  <si>
    <t>https://www.realtor.com/realestateandhomes-detail/2727-Ocean-Blvd_Corona-Del-Mar_CA_92625_M19653-11026</t>
  </si>
  <si>
    <t>Heather Kidder</t>
  </si>
  <si>
    <t>hkidder@arborrealestate.com</t>
  </si>
  <si>
    <t>24 Spicewood Way, Irvine, CA 92612</t>
  </si>
  <si>
    <t>https://www.realtor.com/realestateandhomes-detail/24-Spicewood-Way_Irvine_CA_92612_M18347-43759</t>
  </si>
  <si>
    <t>Ann Gao</t>
  </si>
  <si>
    <t>anngao2018@yahoo.com</t>
  </si>
  <si>
    <t>1630 Del Mar Ave, Laguna Beach, CA 92651</t>
  </si>
  <si>
    <t>https://www.realtor.com/realestateandhomes-detail/1630-Del-Mar-Ave_Laguna-Beach_CA_92651_M14790-54858</t>
  </si>
  <si>
    <t>Bryan Gerlach</t>
  </si>
  <si>
    <t>bryan.gerlach@evrealestate.com</t>
  </si>
  <si>
    <t>Engel &amp; Voelkers Dana Point</t>
  </si>
  <si>
    <t>3438 Aries Ct, Santa Ana, CA 92704</t>
  </si>
  <si>
    <t>https://www.realtor.com/realestateandhomes-detail/3438-Aries-Ct_Santa-Ana_CA_92704_M14273-39910</t>
  </si>
  <si>
    <t>Drew Teicheira</t>
  </si>
  <si>
    <t>drew@teicheirateam.com</t>
  </si>
  <si>
    <t>Harcourts Place</t>
  </si>
  <si>
    <t>1521 Bayadere Ter, Corona Del Mar, CA 92625</t>
  </si>
  <si>
    <t>https://www.realtor.com/realestateandhomes-detail/1521-Bayadere-Ter_Corona-Del-Mar_CA_92625_M19838-69465</t>
  </si>
  <si>
    <t>Brad Hinman</t>
  </si>
  <si>
    <t>brad.hinman@compass.com</t>
  </si>
  <si>
    <t>2144 Ronda Granada Unit D, Laguna Woods, CA 92637</t>
  </si>
  <si>
    <t>https://www.realtor.com/realestateandhomes-detail/2144-Ronda-Granada-Unit-D_Laguna-Woods_CA_92637_M22462-77492</t>
  </si>
  <si>
    <t>Leslie Carretti</t>
  </si>
  <si>
    <t>lesliecarretti@yahoo.com</t>
  </si>
  <si>
    <t>eXp Realty of Southern California, Inc</t>
  </si>
  <si>
    <t>14 Ritz Cove Dr, Dana Point, CA 92629</t>
  </si>
  <si>
    <t>https://www.realtor.com/realestateandhomes-detail/14-Ritz-Cove-Dr_Dana-Point_CA_92629_M25856-67021</t>
  </si>
  <si>
    <t>Jenni Nahkjavani</t>
  </si>
  <si>
    <t>jenniejavani@me.com</t>
  </si>
  <si>
    <t>532 N Rossmore Ave Apt 107, Los Angeles, CA 90004</t>
  </si>
  <si>
    <t>https://www.realtor.com/realestateandhomes-detail/532-N-Rossmore-Ave-Apt-107_Los-Angeles_CA_90004_M21953-95510</t>
  </si>
  <si>
    <t>Pam Spadafore and Associates</t>
  </si>
  <si>
    <t>Pam@SpadaforeTeam.com</t>
  </si>
  <si>
    <t>3611 Daffodil Ave Unit 38, Corona Del Mar, CA 92625</t>
  </si>
  <si>
    <t>https://www.realtor.com/realestateandhomes-detail/3611-Daffodil-Ave-38_Corona-del-Mar_CA_92625_M15940-76878</t>
  </si>
  <si>
    <t>Brenda McCroskey</t>
  </si>
  <si>
    <t>brenda.mccroskey@compass.com</t>
  </si>
  <si>
    <t>135 Del Mar Ave, Costa Mesa, CA 92627</t>
  </si>
  <si>
    <t>https://www.realtor.com/realestateandhomes-detail/135-Del-Mar-Ave_Costa-Mesa_CA_92627_M19457-78323</t>
  </si>
  <si>
    <t>Matthew Hoyt</t>
  </si>
  <si>
    <t>matthew.p.hoyt@gmail.com</t>
  </si>
  <si>
    <t>Hoyt Real Estate, Inc.</t>
  </si>
  <si>
    <t>25701 View Pointe, Lake Forest, CA 92630</t>
  </si>
  <si>
    <t>https://www.realtor.com/realestateandhomes-detail/25701-View-Pointe_Lake-Forest_CA_92630_M25911-96901</t>
  </si>
  <si>
    <t>Christine Stonger</t>
  </si>
  <si>
    <t>jcstonger@cox.net</t>
  </si>
  <si>
    <t>188 Merit, Irvine, CA 92618</t>
  </si>
  <si>
    <t>https://www.realtor.com/realestateandhomes-detail/188-Merit_Irvine_CA_92618_M90566-36152</t>
  </si>
  <si>
    <t>Ann Wu</t>
  </si>
  <si>
    <t>annwurealtor@gmail.com</t>
  </si>
  <si>
    <t>431 S Susan St, Santa Ana, CA 92704</t>
  </si>
  <si>
    <t>https://www.realtor.com/realestateandhomes-detail/431-S-Susan-St_Santa-Ana_CA_92704_M11427-11078</t>
  </si>
  <si>
    <t>Ryan Anderson</t>
  </si>
  <si>
    <t>randerson@rlmequities.com</t>
  </si>
  <si>
    <t>R L M Equities</t>
  </si>
  <si>
    <t>Jennifer Stock</t>
  </si>
  <si>
    <t>jennifer.stock@compass.com</t>
  </si>
  <si>
    <t>27525 Paseo Toluca, San Juan Capistrano, CA 92675</t>
  </si>
  <si>
    <t>https://www.realtor.com/realestateandhomes-detail/27525-Paseo-Toluca_San-Juan-Capistrano_CA_92675_M15745-86790</t>
  </si>
  <si>
    <t>FRANKIE RIO</t>
  </si>
  <si>
    <t>frankie@frankierio.com</t>
  </si>
  <si>
    <t>16444 Bolsa Chica St Spc 85, Huntington Beach, CA 92649</t>
  </si>
  <si>
    <t>https://www.realtor.com/realestateandhomes-detail/16444-Bolsa-Chica-St-Spc-85_Huntington-Beach_CA_92649_M22143-51860</t>
  </si>
  <si>
    <t>Andrea Carpenter</t>
  </si>
  <si>
    <t>ocandrea.homes@gmail.com</t>
  </si>
  <si>
    <t>10449 Apache River Ave, Fountain Valley, CA 92708</t>
  </si>
  <si>
    <t>https://www.realtor.com/realestateandhomes-detail/10449-Apache-River-Ave_Fountain-Valley_CA_92708_M24767-14703</t>
  </si>
  <si>
    <t>Young Kim</t>
  </si>
  <si>
    <t>godisgood42000@yahoo.com</t>
  </si>
  <si>
    <t>Koinos Real Estate Group</t>
  </si>
  <si>
    <t>13 Milkwood Unit 111, Rancho Santa Margarita, CA 92688</t>
  </si>
  <si>
    <t>https://www.realtor.com/realestateandhomes-detail/13-Milkwood-111_Rancho-Santa-Margarita_CA_92688_M25814-55051</t>
  </si>
  <si>
    <t>Steven Ruiz</t>
  </si>
  <si>
    <t>steve@steveruizhomes.com</t>
  </si>
  <si>
    <t>249 Chorus, Irvine, CA 92618</t>
  </si>
  <si>
    <t>https://www.realtor.com/realestateandhomes-detail/249-Chorus_Irvine_CA_92618_M96885-99619</t>
  </si>
  <si>
    <t>Rand Penrod</t>
  </si>
  <si>
    <t>randpenrod@yahoo.com</t>
  </si>
  <si>
    <t>279 N Sacramento St, Orange, CA 92867</t>
  </si>
  <si>
    <t>https://www.realtor.com/realestateandhomes-detail/279-N-Sacramento-St_Orange_CA_92867_M10127-80237</t>
  </si>
  <si>
    <t>Holly McKhann</t>
  </si>
  <si>
    <t>RealtorHollyM@gmail.com</t>
  </si>
  <si>
    <t>21 Elliot Ln, Coto de Caza, CA 92679</t>
  </si>
  <si>
    <t>https://www.realtor.com/realestateandhomes-detail/21-Elliot-Ln_Trabuco-Canyon_CA_92679_M25886-55816</t>
  </si>
  <si>
    <t>Zhu Chen</t>
  </si>
  <si>
    <t>zhuzi7@hotmail.com</t>
  </si>
  <si>
    <t>34882 Doheny Pl, Dana Point, CA 92624</t>
  </si>
  <si>
    <t>https://www.realtor.com/realestateandhomes-detail/34882-Doheny-Pl_Capistrano-Beach_CA_92624_M13353-82055</t>
  </si>
  <si>
    <t>Steve Mino</t>
  </si>
  <si>
    <t>steve@TheMinoGroup.com</t>
  </si>
  <si>
    <t>22552 Taranto, Laguna Hills, CA 92653</t>
  </si>
  <si>
    <t>https://www.realtor.com/realestateandhomes-detail/22552-Taranto_Laguna-Hills_CA_92653_M21061-77511</t>
  </si>
  <si>
    <t>Sara Farsani</t>
  </si>
  <si>
    <t>sara@farsanigroup.com</t>
  </si>
  <si>
    <t>10763 El Centro Ave, Fountain Valley, CA 92708</t>
  </si>
  <si>
    <t>https://www.realtor.com/realestateandhomes-detail/10763-El-Centro-Ave_Fountain-Valley_CA_92708_M19041-12125</t>
  </si>
  <si>
    <t>Stephanie Hayre</t>
  </si>
  <si>
    <t>StephanieHayre@FirstTeam.com</t>
  </si>
  <si>
    <t>30781 Via Conquista, San Juan Capistrano, CA 92675</t>
  </si>
  <si>
    <t>https://www.realtor.com/realestateandhomes-detail/30781-Via-Conquista_San-Juan-Capistrano_CA_92675_M16458-94483</t>
  </si>
  <si>
    <t>Maggie Pang</t>
  </si>
  <si>
    <t>fangpang@hotmail.com</t>
  </si>
  <si>
    <t>23232 Orange Ave, Lake Forest, CA 92630</t>
  </si>
  <si>
    <t>https://www.realtor.com/realestateandhomes-detail/23232-Orange-Ave_Lake-Forest_CA_92630_M91178-11193</t>
  </si>
  <si>
    <t>Medhi yazdi</t>
  </si>
  <si>
    <t>maxremax2000@yahoo.com</t>
  </si>
  <si>
    <t>149 Avenida De La Paz, San Clemente, CA 92672</t>
  </si>
  <si>
    <t>https://www.realtor.com/realestateandhomes-detail/149-Avenida-De-La-Paz_San-Clemente_CA_92672_M21085-61309</t>
  </si>
  <si>
    <t>Jason Wright</t>
  </si>
  <si>
    <t>jason@timsmithgroup.com</t>
  </si>
  <si>
    <t>33831 Camino Capistrano Spc 19, San Juan Capistrano, CA 92675</t>
  </si>
  <si>
    <t>https://www.realtor.com/realestateandhomes-detail/33831-Camino-Capistrano-Spc-19_San-Juan-Capistrano_CA_92675_M90349-04530</t>
  </si>
  <si>
    <t>Shannan Lareau</t>
  </si>
  <si>
    <t>ShannanLareau@FirstTeam.com</t>
  </si>
  <si>
    <t>28481 Avenida La Mancha, San Juan Capistrano, CA 92675</t>
  </si>
  <si>
    <t>https://www.realtor.com/realestateandhomes-detail/28481-Avenida-La-Mancha_San-Juan-Capistrano_CA_92675_M22276-15846</t>
  </si>
  <si>
    <t>Ariana Gaffoglio</t>
  </si>
  <si>
    <t>ariana@plusrealestate.com</t>
  </si>
  <si>
    <t>60 Ritz Cove Dr, Dana Point, CA 92629</t>
  </si>
  <si>
    <t>https://www.realtor.com/realestateandhomes-detail/60-Ritz-Cove-Dr_Dana-Point_CA_92629_M29554-61768</t>
  </si>
  <si>
    <t>Suzi Dailey</t>
  </si>
  <si>
    <t>suzidailey@gmail.com</t>
  </si>
  <si>
    <t>898 Ronda Sevilla Unit N, Laguna Woods, CA 92637</t>
  </si>
  <si>
    <t>https://www.realtor.com/realestateandhomes-detail/898-Ronda-Sevilla-Unit-N_Laguna-Woods_CA_92637_M22113-56551</t>
  </si>
  <si>
    <t>Marcus Miller</t>
  </si>
  <si>
    <t>ocmoves@gmail.com</t>
  </si>
  <si>
    <t>13121 Oak Hills Dr Apt 233J, Seal Beach, CA 90740</t>
  </si>
  <si>
    <t>https://www.realtor.com/realestateandhomes-detail/13121-Oak-Hills-Dr-Apt-233J_Seal-Beach_CA_90740_M93822-41231</t>
  </si>
  <si>
    <t>Matthew D. George</t>
  </si>
  <si>
    <t>mattgeorge.broker@gmail.com</t>
  </si>
  <si>
    <t>Matthew D. George, Broker</t>
  </si>
  <si>
    <t>61 Via Abruzzi, Aliso Viejo, CA 92656</t>
  </si>
  <si>
    <t>https://www.realtor.com/realestateandhomes-detail/61-Via-Abruzzi_Aliso-Viejo_CA_92656_M11955-38717</t>
  </si>
  <si>
    <t>Kaylyn Hekimian</t>
  </si>
  <si>
    <t>kaylynhek@gmail.com</t>
  </si>
  <si>
    <t>8 Baffin Bay, Newport Coast, CA 92657</t>
  </si>
  <si>
    <t>https://www.realtor.com/realestateandhomes-detail/8-Baffin-Bay_Newport-Coast_CA_92657_M26909-39885</t>
  </si>
  <si>
    <t>Xi Dai</t>
  </si>
  <si>
    <t>novadaisy@gmail.com</t>
  </si>
  <si>
    <t>eXp realty of Greater Los Ange</t>
  </si>
  <si>
    <t>14 Lawnridge, Rancho Santa Margarita, CA 92679</t>
  </si>
  <si>
    <t>https://www.realtor.com/realestateandhomes-detail/14-Lawnridge_Trabuco-Canyon_CA_92679_M23452-53054</t>
  </si>
  <si>
    <t>Gabrielle Lopez</t>
  </si>
  <si>
    <t>glopez10@cox.net</t>
  </si>
  <si>
    <t>Hcm Real Estate</t>
  </si>
  <si>
    <t>192 Juniper Dr, Ladera Ranch, CA 92694</t>
  </si>
  <si>
    <t>https://www.realtor.com/realestateandhomes-detail/192-Juniper-Dr_Ladera-Ranch_CA_92694_M98174-49296</t>
  </si>
  <si>
    <t>LISA HUNGERFORD</t>
  </si>
  <si>
    <t>lisa@thehungerfordgroup.com</t>
  </si>
  <si>
    <t>24055 Paseo Del Lago Unit 954, Laguna Woods, CA 92637</t>
  </si>
  <si>
    <t>https://www.realtor.com/realestateandhomes-detail/24055-Paseo-Del-Lago-Unit-954_Laguna-Woods_CA_92637_M12924-62050</t>
  </si>
  <si>
    <t>Casey Newhouser</t>
  </si>
  <si>
    <t>CaseyNewhouserRealtor@gmail.com</t>
  </si>
  <si>
    <t>CENTURY 21 Affiliated</t>
  </si>
  <si>
    <t>1000 N Bundy Dr, Los Angeles, CA 90049</t>
  </si>
  <si>
    <t>https://www.realtor.com/realestateandhomes-detail/1000-N-Bundy-Dr_Los-Angeles_CA_90049_M11318-07841</t>
  </si>
  <si>
    <t>Mary Bell</t>
  </si>
  <si>
    <t>mary.bell@harcourtssp.com</t>
  </si>
  <si>
    <t>Harcourts Signature Properties</t>
  </si>
  <si>
    <t>6821 11th Ave, Los Angeles, CA 90043</t>
  </si>
  <si>
    <t>https://www.realtor.com/realestateandhomes-detail/6821-11th-Ave_Los-Angeles_CA_90043_M95884-47730</t>
  </si>
  <si>
    <t>Cameron Davis</t>
  </si>
  <si>
    <t>cameronmdavis@aol.com</t>
  </si>
  <si>
    <t>The Elite Group</t>
  </si>
  <si>
    <t>10065 Hidden Village Rd, Garden Grove, CA 92840</t>
  </si>
  <si>
    <t>https://www.realtor.com/realestateandhomes-detail/10065-Hidden-Village-Rd_Garden-Grove_CA_92840_M13283-12898</t>
  </si>
  <si>
    <t>Gregory Hughes</t>
  </si>
  <si>
    <t>greg@greghughesrealty.com</t>
  </si>
  <si>
    <t>Cobalt Real Estate, Inc.</t>
  </si>
  <si>
    <t>13 Hideaway Loop, Mission Viejo, CA 92692</t>
  </si>
  <si>
    <t>https://www.realtor.com/realestateandhomes-detail/13-Hideaway-Loop_Mission-Viejo_CA_92692_M94779-30095</t>
  </si>
  <si>
    <t>Darren Shepherd</t>
  </si>
  <si>
    <t>darren@shepherdreteam.com</t>
  </si>
  <si>
    <t>15500 Tustin Village Way Apt 103, Tustin, CA 92780</t>
  </si>
  <si>
    <t>https://www.realtor.com/realestateandhomes-detail/15500-Tustin-Village-Way-Apt-103_Tustin_CA_92780_M16886-06053</t>
  </si>
  <si>
    <t>Sam Ali</t>
  </si>
  <si>
    <t>samali@ashrealtors.com</t>
  </si>
  <si>
    <t>ASH REALTY</t>
  </si>
  <si>
    <t>Joshua Gollish</t>
  </si>
  <si>
    <t>joshua.gollish@harcourtssp.com</t>
  </si>
  <si>
    <t>1344 Nolita, Irvine, CA 92612</t>
  </si>
  <si>
    <t>https://www.realtor.com/realestateandhomes-detail/1344-Nolita_Irvine_CA_92612_M91369-18211</t>
  </si>
  <si>
    <t>Jin Ro</t>
  </si>
  <si>
    <t>Jin@searchinirvine.com</t>
  </si>
  <si>
    <t>6 Calle Rienda, Rancho Santa Margarita, CA 92688</t>
  </si>
  <si>
    <t>https://www.realtor.com/realestateandhomes-detail/6-Calle-Rienda_Rancho-Santa-Margarita_CA_92688_M27811-52783</t>
  </si>
  <si>
    <t>Shauna Fogal</t>
  </si>
  <si>
    <t>shauna@thefogalgroup.com</t>
  </si>
  <si>
    <t>31722 Seacliff Dr, Laguna Beach, CA 92651</t>
  </si>
  <si>
    <t>https://www.realtor.com/realestateandhomes-detail/31722-Seacliff-Dr_Laguna-Beach_CA_92651_M21284-13907</t>
  </si>
  <si>
    <t>John A. Trevino</t>
  </si>
  <si>
    <t>jtrevino@villarealestate.com</t>
  </si>
  <si>
    <t>31995 Coast Hwy, Laguna Beach, CA 92651</t>
  </si>
  <si>
    <t>https://www.realtor.com/realestateandhomes-detail/31995-Coast-Hwy_Laguna-Beach_CA_92651_M21020-02503</t>
  </si>
  <si>
    <t>Chris Sirianni</t>
  </si>
  <si>
    <t>csiriannire@gmail.com</t>
  </si>
  <si>
    <t>2 Thomas Rd, Ladera Ranch, CA 92694</t>
  </si>
  <si>
    <t>https://www.realtor.com/realestateandhomes-detail/2-Thomas-Rd_Ladera-Ranch_CA_92694_M19300-84286</t>
  </si>
  <si>
    <t>Sandi Clark</t>
  </si>
  <si>
    <t>sclark1009@cox.net</t>
  </si>
  <si>
    <t>19334 Live Oak Canyon Rd, Trabuco Canyon, CA 92679</t>
  </si>
  <si>
    <t>https://www.realtor.com/realestateandhomes-detail/19334-Live-Oak-Canyon-Rd_Trabuco-Canyon_CA_92679_M17938-63598</t>
  </si>
  <si>
    <t>Jeff White</t>
  </si>
  <si>
    <t>jeffwhite@firstteam.com</t>
  </si>
  <si>
    <t>783 Wonder Ln, Costa Mesa, CA 92627</t>
  </si>
  <si>
    <t>https://www.realtor.com/realestateandhomes-detail/783-Wonder-Ln_Costa-Mesa_CA_92627_M28235-93675</t>
  </si>
  <si>
    <t>Michelle Wahler</t>
  </si>
  <si>
    <t>michelle.wahler@elliman.com</t>
  </si>
  <si>
    <t>32 Golden Eagle, Irvine, CA 92603</t>
  </si>
  <si>
    <t>https://www.realtor.com/realestateandhomes-detail/32-Golden-Eagle_Irvine_CA_92603_M22899-47123</t>
  </si>
  <si>
    <t>Claudia Chyang</t>
  </si>
  <si>
    <t>Claudia@IHRealty.com</t>
  </si>
  <si>
    <t>International Home Realty</t>
  </si>
  <si>
    <t>48 Gingham St, Trabuco Canyon, CA 92679</t>
  </si>
  <si>
    <t>https://www.realtor.com/realestateandhomes-detail/48-Gingham-St_Trabuco-Canyon_CA_92679_M17181-04507</t>
  </si>
  <si>
    <t>Rochelle Sack</t>
  </si>
  <si>
    <t>rcsack@gmail.com</t>
  </si>
  <si>
    <t>124-126 Sapphire Ave, Newport Beach, CA 92662</t>
  </si>
  <si>
    <t>https://www.realtor.com/realestateandhomes-detail/124-126-Sapphire-Ave_Newport-Beach_CA_92662_M99666-66547</t>
  </si>
  <si>
    <t>Jeffrey Butcher</t>
  </si>
  <si>
    <t>jeff.butcher@sbcglobal.net</t>
  </si>
  <si>
    <t>Pacific Coast Realty Group</t>
  </si>
  <si>
    <t>4016 6th Ave, Leimert Park, CA 90008</t>
  </si>
  <si>
    <t>https://www.realtor.com/realestateandhomes-detail/4016-6th-Ave_Leimert-Park_CA_90008_M26796-48762</t>
  </si>
  <si>
    <t>Sanaz Parvinmehr</t>
  </si>
  <si>
    <t>sanazparvinmehr@gmail.com</t>
  </si>
  <si>
    <t>Brian Thomas</t>
  </si>
  <si>
    <t>bthomas@surterreproperties.com</t>
  </si>
  <si>
    <t>31655 Williams Way, Rancho Mission Viejo, CA 92694</t>
  </si>
  <si>
    <t>https://www.realtor.com/realestateandhomes-detail/31655-Williams-Way_Rancho-Mission-Viejo_CA_92694_M93609-09241</t>
  </si>
  <si>
    <t>Debi Buckley</t>
  </si>
  <si>
    <t>debi.buckley@camoves.com</t>
  </si>
  <si>
    <t>Kirstie Nystedt</t>
  </si>
  <si>
    <t>kirstie@nystedtgroup.com</t>
  </si>
  <si>
    <t>5141 Siesta Ln, Yorba Linda, CA 92886</t>
  </si>
  <si>
    <t>https://www.realtor.com/realestateandhomes-detail/5141-Siesta-Ln_Yorba-Linda_CA_92886_M28559-76498</t>
  </si>
  <si>
    <t>Colby Reedy</t>
  </si>
  <si>
    <t>colbyreedy@gmail.com</t>
  </si>
  <si>
    <t>Jonathan Nelson</t>
  </si>
  <si>
    <t>jnelson.properties@gmail.com</t>
  </si>
  <si>
    <t>28451 LA Pradera, Laguna Niguel, CA 92677</t>
  </si>
  <si>
    <t>https://www.realtor.com/realestateandhomes-detail/28451-LA-Pradera_Laguna-Niguel_CA_92677_M26075-84195</t>
  </si>
  <si>
    <t>Tony English</t>
  </si>
  <si>
    <t>tony@home2re.com</t>
  </si>
  <si>
    <t>English Realty</t>
  </si>
  <si>
    <t>95 Calle Aragon Unit A, Laguna Woods, CA 92637</t>
  </si>
  <si>
    <t>https://www.realtor.com/realestateandhomes-detail/95-Calle-Aragon-Unit-A_Laguna-Woods_CA_92637_M92151-23769</t>
  </si>
  <si>
    <t>Dianna Macdavid</t>
  </si>
  <si>
    <t>diannamacdavid@gmail.com</t>
  </si>
  <si>
    <t>28 Albany St, Ladera Ranch, CA 92694</t>
  </si>
  <si>
    <t>https://www.realtor.com/realestateandhomes-detail/28-Albany-St_Ladera-Ranch_CA_92694_M20044-15320</t>
  </si>
  <si>
    <t>Soheila Shirazi</t>
  </si>
  <si>
    <t>sshirazi@surterreproperties.com</t>
  </si>
  <si>
    <t>802 Avenida Presidio, San Clemente, CA 92672</t>
  </si>
  <si>
    <t>https://www.realtor.com/realestateandhomes-detail/802-Avenida-Presidio_San-Clemente_CA_92672_M21446-72007</t>
  </si>
  <si>
    <t>Michelle Wilson</t>
  </si>
  <si>
    <t>Michelle@MichelleSellsHomes.com</t>
  </si>
  <si>
    <t>902 Foote Ave, Long Beach, CA 90001</t>
  </si>
  <si>
    <t>https://www.realtor.com/realestateandhomes-detail/902-Foote-Ave_Long-Beach_CA_90001_M95221-47895</t>
  </si>
  <si>
    <t>Rita Reagan</t>
  </si>
  <si>
    <t>rregan92677@yahoo.com</t>
  </si>
  <si>
    <t>Spectrum Realty</t>
  </si>
  <si>
    <t>Brandon Goethals</t>
  </si>
  <si>
    <t>bgoethals@surterreproperties.com</t>
  </si>
  <si>
    <t>10 Old Ranch Rd, Laguna Niguel, CA 92677</t>
  </si>
  <si>
    <t>https://www.realtor.com/realestateandhomes-detail/10-Old-Ranch-Rd_Laguna-Niguel_CA_92677_M27591-02717</t>
  </si>
  <si>
    <t>Ryan Immel</t>
  </si>
  <si>
    <t>ryan@immelteam.com</t>
  </si>
  <si>
    <t>505 Dahlia Ave, Corona Del Mar, CA 92625</t>
  </si>
  <si>
    <t>https://www.realtor.com/realestateandhomes-detail/505-Dahlia-Ave_Corona-Del-Mar_CA_92625_M20685-50282</t>
  </si>
  <si>
    <t>Gail Grabner</t>
  </si>
  <si>
    <t>gail@gailgrabner.com</t>
  </si>
  <si>
    <t>27501 Boothill Ct, Laguna Hills, CA 92653</t>
  </si>
  <si>
    <t>https://www.realtor.com/realestateandhomes-detail/27501-Boothill-Ct_Laguna-Hills_CA_92653_M10074-54356</t>
  </si>
  <si>
    <t>Melody Smith</t>
  </si>
  <si>
    <t>Melody@MelodyandAssociates.com</t>
  </si>
  <si>
    <t>Anvil Real Estate</t>
  </si>
  <si>
    <t>21 Promesa Ave, Rancho Mission Viejo, CA 92694</t>
  </si>
  <si>
    <t>https://www.realtor.com/realestateandhomes-detail/21-Promesa-Ave_Rancho-Mission-Viejo_CA_92694_M12815-58689</t>
  </si>
  <si>
    <t>Chris Lardie</t>
  </si>
  <si>
    <t>chris@lardierealestategroup.com</t>
  </si>
  <si>
    <t>2894 Player Ln, Tustin, CA 92782</t>
  </si>
  <si>
    <t>https://www.realtor.com/realestateandhomes-detail/2894-Player-Ln_Tustin_CA_92782_M29056-77189</t>
  </si>
  <si>
    <t>Liuzhen Zheng</t>
  </si>
  <si>
    <t>eugeniezheng@gmail.com</t>
  </si>
  <si>
    <t>21 Gramercy Unit 220, Irvine, CA 92612</t>
  </si>
  <si>
    <t>https://www.realtor.com/realestateandhomes-detail/21-Gramercy-Unit-220_Irvine_CA_92612_M15008-75977</t>
  </si>
  <si>
    <t>Kambiz Ansari</t>
  </si>
  <si>
    <t>kambiz_ans@yahoo.com</t>
  </si>
  <si>
    <t>39 Harbor Ridge Dr, Newport Beach, CA 92660</t>
  </si>
  <si>
    <t>https://www.realtor.com/realestateandhomes-detail/39-Harbor-Ridge-Dr_Newport-Beach_CA_92660_M17777-07271</t>
  </si>
  <si>
    <t>Milad Sadeghian</t>
  </si>
  <si>
    <t>Milad@Sdnrealty.com</t>
  </si>
  <si>
    <t>271 Haverfield, Newport Beach, CA 92660</t>
  </si>
  <si>
    <t>https://www.realtor.com/realestateandhomes-detail/271-Haverfield_Newport-Beach_CA_92660_M97283-01636</t>
  </si>
  <si>
    <t>Carter Weir</t>
  </si>
  <si>
    <t>carter@carterweir.com</t>
  </si>
  <si>
    <t>25461 Fallen Oak, Laguna Niguel, CA 92677</t>
  </si>
  <si>
    <t>https://www.realtor.com/realestateandhomes-detail/25461-Fallen-Oak_Laguna-Niguel_CA_92677_M11290-90392</t>
  </si>
  <si>
    <t>Randy Ora</t>
  </si>
  <si>
    <t>randy@randyora.com</t>
  </si>
  <si>
    <t>14851 Jeffrey Rd Spc 145, Irvine, CA 92618</t>
  </si>
  <si>
    <t>https://www.realtor.com/realestateandhomes-detail/14851-Jeffrey-Rd-Spc-145_Irvine_CA_92618_M24634-23417</t>
  </si>
  <si>
    <t>JOHN STURDEVANT</t>
  </si>
  <si>
    <t>john@JNSRE.com</t>
  </si>
  <si>
    <t>81 Zinnia St, Ladera Ranch, CA 92694</t>
  </si>
  <si>
    <t>https://www.realtor.com/realestateandhomes-detail/81-Zinnia-St_Ladera-Ranch_CA_92694_M95732-94559</t>
  </si>
  <si>
    <t>CaLee McManus</t>
  </si>
  <si>
    <t>calee@monarchrealestateca.com</t>
  </si>
  <si>
    <t>Monarch Real Estate</t>
  </si>
  <si>
    <t>3 Via Amor, Rancho Santa Margarita, CA 92688</t>
  </si>
  <si>
    <t>https://www.realtor.com/realestateandhomes-detail/3-Via-Amor_Rancho-Santa-Margarita_CA_92688_M24154-24824</t>
  </si>
  <si>
    <t>Eric Babcock</t>
  </si>
  <si>
    <t>eric@thebabcockteam.com</t>
  </si>
  <si>
    <t>11 Travis Rd, Buena Park, CA 90621</t>
  </si>
  <si>
    <t>https://www.realtor.com/realestateandhomes-detail/11-Travis-Rd_Buena-Park_CA_90621_M11558-59444</t>
  </si>
  <si>
    <t>Joey Finrow</t>
  </si>
  <si>
    <t>joey@finrowrealty.com</t>
  </si>
  <si>
    <t>34128 Selva Rd Unit 267, Dana Point, CA 92629</t>
  </si>
  <si>
    <t>https://www.realtor.com/realestateandhomes-detail/34128-Selva-Rd-Unit-267_Dana-Point_CA_92629_M12099-49264</t>
  </si>
  <si>
    <t>Nicole Cinquini</t>
  </si>
  <si>
    <t>Nicole.Cinquini@elliman.com</t>
  </si>
  <si>
    <t>663 Longhorn Way, Rancho Mission Viejo, CA 92694</t>
  </si>
  <si>
    <t>https://www.realtor.com/realestateandhomes-detail/663-Longhorn-Way_Rancho-Mission-Viejo_CA_92694_M93859-70692</t>
  </si>
  <si>
    <t>Nancy Deushane</t>
  </si>
  <si>
    <t>nancy@nancydeushane.com</t>
  </si>
  <si>
    <t>1981 San Remo Dr, Laguna Beach, CA 92651</t>
  </si>
  <si>
    <t>https://www.realtor.com/realestateandhomes-detail/1981-San-Remo-Dr_Laguna-Beach_CA_92651_M13432-95030</t>
  </si>
  <si>
    <t>Monique Brown</t>
  </si>
  <si>
    <t>moniqueb@moniquebrownre.com</t>
  </si>
  <si>
    <t>Joy Curtin</t>
  </si>
  <si>
    <t>joy@joycurtin.com</t>
  </si>
  <si>
    <t>2443 Fordham Dr, Costa Mesa, CA 92626</t>
  </si>
  <si>
    <t>https://www.realtor.com/realestateandhomes-detail/2443-Fordham-Dr_Costa-Mesa_CA_92626_M28370-87739</t>
  </si>
  <si>
    <t>Linda Hartman</t>
  </si>
  <si>
    <t>lindahartman@remax.net</t>
  </si>
  <si>
    <t>RE/MAX FINE HOMES | Newport Beach</t>
  </si>
  <si>
    <t>53 Sweet Bay, Irvine, CA 92603</t>
  </si>
  <si>
    <t>https://www.realtor.com/realestateandhomes-detail/53-Sweet-Bay_Irvine_CA_92603_M16102-60415</t>
  </si>
  <si>
    <t>Eva Wang</t>
  </si>
  <si>
    <t>evahwang@gmail.com</t>
  </si>
  <si>
    <t>Presidential Incorporated</t>
  </si>
  <si>
    <t>1112 W 64th St, Los Angeles, CA 90044</t>
  </si>
  <si>
    <t>https://www.realtor.com/realestateandhomes-detail/1112-W-64th-St_Los-Angeles_CA_90044_M29509-65643</t>
  </si>
  <si>
    <t>Preston Amarillo</t>
  </si>
  <si>
    <t>prestonamarillo8@gmail.com</t>
  </si>
  <si>
    <t>61 Old Course Dr, Newport Beach, CA 92660</t>
  </si>
  <si>
    <t>https://www.realtor.com/realestateandhomes-detail/61-Old-Course-Dr_Newport-Beach_CA_92660_M12749-72036</t>
  </si>
  <si>
    <t>Brian Sperry</t>
  </si>
  <si>
    <t>brian@briansperry.com</t>
  </si>
  <si>
    <t>24055 Paseo Del Lago Unit 1354, Laguna Woods, CA 92637</t>
  </si>
  <si>
    <t>https://www.realtor.com/realestateandhomes-detail/24055-Paseo-Del-Lago-Unit-1354_Laguna-Woods_CA_92637_M13012-05882</t>
  </si>
  <si>
    <t>Kevin Pollock</t>
  </si>
  <si>
    <t>kevin@ocpollock.com</t>
  </si>
  <si>
    <t>831 E 109th, Los Angeles, CA 90059</t>
  </si>
  <si>
    <t>https://www.realtor.com/realestateandhomes-detail/831-E-109th-St_Los-Angeles_CA_90059_M25217-62410</t>
  </si>
  <si>
    <t>Kristi Cousens</t>
  </si>
  <si>
    <t>kristi.cousens@compass.com</t>
  </si>
  <si>
    <t>3397 Punta Alta Unit C, Laguna Woods, CA 92637</t>
  </si>
  <si>
    <t>https://www.realtor.com/realestateandhomes-detail/3397-Punta-Alta-Unit-C_Laguna-Woods_CA_92637_M11532-06835</t>
  </si>
  <si>
    <t>Eric Engelbert</t>
  </si>
  <si>
    <t>eric@ocrealestateinc.com</t>
  </si>
  <si>
    <t>Orange County Real Estate Inc</t>
  </si>
  <si>
    <t>27075 LA Fuente, Mission Viejo, CA 92692</t>
  </si>
  <si>
    <t>https://www.realtor.com/realestateandhomes-detail/27075-LA-Fuente_Mission-Viejo_CA_92692_M15159-36769</t>
  </si>
  <si>
    <t>Stephanie Halvorson</t>
  </si>
  <si>
    <t>steph@hartcoastal.com</t>
  </si>
  <si>
    <t>Hart Coast Realty</t>
  </si>
  <si>
    <t>590 Diamond St, Laguna Beach, CA 92651</t>
  </si>
  <si>
    <t>https://www.realtor.com/realestateandhomes-detail/590-Diamond-St_Laguna-Beach_CA_92651_M13983-74093</t>
  </si>
  <si>
    <t>Gilda Duhs</t>
  </si>
  <si>
    <t>gilda.duhs@camoves.com</t>
  </si>
  <si>
    <t>COLDWELL BANKER</t>
  </si>
  <si>
    <t>6240 Hazeltine Ave, Van Nuys, CA 91401</t>
  </si>
  <si>
    <t>https://www.realtor.com/realestateandhomes-detail/6240-Hazeltine-Ave_Van-Nuys_CA_91401_M14985-37609</t>
  </si>
  <si>
    <t>Sam Woldeyesus</t>
  </si>
  <si>
    <t>swoldeyesus@gmail.com</t>
  </si>
  <si>
    <t>14072 Picasso Ct, Irvine, CA 92606</t>
  </si>
  <si>
    <t>https://www.realtor.com/realestateandhomes-detail/14072-Picasso-Ct_Irvine_CA_92606_M14416-25331</t>
  </si>
  <si>
    <t>Thomas Grimes</t>
  </si>
  <si>
    <t>tgrimesca@gmail.com</t>
  </si>
  <si>
    <t>328 5th St, Huntington Beach, CA 92648</t>
  </si>
  <si>
    <t>https://www.realtor.com/realestateandhomes-detail/328-5th-St_Huntington-Beach_CA_92648_M10446-42343</t>
  </si>
  <si>
    <t>Denine Kerns</t>
  </si>
  <si>
    <t>denine.kerns@elliman.com</t>
  </si>
  <si>
    <t>Newport Beach</t>
  </si>
  <si>
    <t>Michael Mattson</t>
  </si>
  <si>
    <t>mattsonrealestate@yahoo.com</t>
  </si>
  <si>
    <t>11 Via Becerra, Rancho Santa Margarita, CA 92688</t>
  </si>
  <si>
    <t>https://www.realtor.com/realestateandhomes-detail/11-Via-Becerra_Rancho-Santa-Margarita_CA_92688_M28284-05998</t>
  </si>
  <si>
    <t>William Scott</t>
  </si>
  <si>
    <t>will@willscottgroup.com</t>
  </si>
  <si>
    <t>Regency Real Estate Brokers, I</t>
  </si>
  <si>
    <t>17 High Water, Newport Coast, CA 92657</t>
  </si>
  <si>
    <t>https://www.realtor.com/realestateandhomes-detail/17-High-Water_Newport-Coast_CA_92657_M28889-95007</t>
  </si>
  <si>
    <t>Rob Smith</t>
  </si>
  <si>
    <t>rob@mwaluxury.com</t>
  </si>
  <si>
    <t>22 Songbird Ln, Aliso Viejo, CA 92656</t>
  </si>
  <si>
    <t>https://www.realtor.com/realestateandhomes-detail/22-Songbird-Ln_Aliso-Viejo_CA_92656_M25201-27600</t>
  </si>
  <si>
    <t>Debbie Crockett</t>
  </si>
  <si>
    <t>debbiecrockett@firstteam.com</t>
  </si>
  <si>
    <t>30502 Shelter Canyon Rd, Trabuco Canyon, CA 92679</t>
  </si>
  <si>
    <t>https://www.realtor.com/realestateandhomes-detail/30502-Shelter-Canyon-Rd_Trabuco-Canyon_CA_92679_M27458-73000</t>
  </si>
  <si>
    <t>Christopher Moreno</t>
  </si>
  <si>
    <t>cmoreno@surterreproperties.com</t>
  </si>
  <si>
    <t>781 Grayling Bay, Costa Mesa, CA 92626</t>
  </si>
  <si>
    <t>https://www.realtor.com/realestateandhomes-detail/781-Grayling-Bay_Costa-Mesa_CA_92626_M94482-64518</t>
  </si>
  <si>
    <t>Alex Yu</t>
  </si>
  <si>
    <t>alex@alexyuteam.com</t>
  </si>
  <si>
    <t>162 Placemark, Irvine, CA 92614</t>
  </si>
  <si>
    <t>https://www.realtor.com/realestateandhomes-detail/162-Placemark_Irvine_CA_92614_M95443-01155</t>
  </si>
  <si>
    <t>Danielle Panno</t>
  </si>
  <si>
    <t>danielle@onyxhomes.com</t>
  </si>
  <si>
    <t>100 Draw, Irvine, CA 92618</t>
  </si>
  <si>
    <t>https://www.realtor.com/realestateandhomes-detail/100-Draw_Irvine_CA_92618_M96938-24674</t>
  </si>
  <si>
    <t>Dongyun Zhang</t>
  </si>
  <si>
    <t>dongmm3@126.com</t>
  </si>
  <si>
    <t>125 16th St, Huntington Beach, CA 92648</t>
  </si>
  <si>
    <t>https://www.realtor.com/realestateandhomes-detail/125-16th-St_Huntington-Beach_CA_92648_M17936-20775</t>
  </si>
  <si>
    <t>Michael O'neill II</t>
  </si>
  <si>
    <t>mike.oneill@cbre.com</t>
  </si>
  <si>
    <t>7916 Mason Ave, Winnetka, CA 91306</t>
  </si>
  <si>
    <t>https://www.realtor.com/realestateandhomes-detail/7916-Mason-Ave_Winnetka_CA_91306_M13019-07976</t>
  </si>
  <si>
    <t>Jacquelyn Samis</t>
  </si>
  <si>
    <t>jackie.hu@kw.com</t>
  </si>
  <si>
    <t>3 Birchwood, Irvine, CA 92618</t>
  </si>
  <si>
    <t>https://www.realtor.com/realestateandhomes-detail/3-Birchwood_Irvine_CA_92618_M28573-83921</t>
  </si>
  <si>
    <t>DALE CHEEMA</t>
  </si>
  <si>
    <t>dale@dalecheema.net</t>
  </si>
  <si>
    <t>21886 Winnebago Ln, Lake Forest, CA 92630</t>
  </si>
  <si>
    <t>https://www.realtor.com/realestateandhomes-detail/21886-Winnebago-Ln_Lake-Forest_CA_92630_M18578-37271</t>
  </si>
  <si>
    <t>Peggy Knauft</t>
  </si>
  <si>
    <t>peggy@primarypacificproperties.com</t>
  </si>
  <si>
    <t>Primary Pacific Properties</t>
  </si>
  <si>
    <t>23405 Via San Pablo, Aliso Viejo, CA 92656</t>
  </si>
  <si>
    <t>https://www.realtor.com/realestateandhomes-detail/23405-Via-San-Pablo_Aliso-Viejo_CA_92656_M24834-20647</t>
  </si>
  <si>
    <t>Bob Strausheim</t>
  </si>
  <si>
    <t>BOB@BOBSTRAUSHEIM.COM</t>
  </si>
  <si>
    <t>3205 Via Buena Vis Unit D, Laguna Woods, CA 92637</t>
  </si>
  <si>
    <t>https://www.realtor.com/realestateandhomes-detail/3205-Via-Buena-Vis-Unit-D_Laguna-Woods_CA_92637_M21481-36118</t>
  </si>
  <si>
    <t>Tracy Lineback</t>
  </si>
  <si>
    <t>tracy.lineback@cox.net</t>
  </si>
  <si>
    <t>8720 Wyngate St, Sunland, CA 91040</t>
  </si>
  <si>
    <t>https://www.realtor.com/realestateandhomes-detail/8720-Wyngate-St_Sunland_CA_91040_M21950-43148</t>
  </si>
  <si>
    <t>Jennifer Wilson</t>
  </si>
  <si>
    <t>jennifer@leslie4homes.com</t>
  </si>
  <si>
    <t>Re/Max Innovations</t>
  </si>
  <si>
    <t>236 Mission Dr, Fullerton, CA 92831</t>
  </si>
  <si>
    <t>https://www.realtor.com/realestateandhomes-detail/236-Mission-Dr_Fullerton_CA_92831_M25159-26698</t>
  </si>
  <si>
    <t>Xi Zhang</t>
  </si>
  <si>
    <t>realtormimizhang@gmail.com</t>
  </si>
  <si>
    <t>5700 Carbon Canyon Rd Spc 46, Brea, CA 92823</t>
  </si>
  <si>
    <t>https://www.realtor.com/realestateandhomes-detail/5700-Carbon-Canyon-Rd-Spc-46_Brea_CA_92823_M29025-88181</t>
  </si>
  <si>
    <t>Nora Fregoso Rodriguez</t>
  </si>
  <si>
    <t>fregoso.nora16@gmail.com</t>
  </si>
  <si>
    <t>Realty Executives All Cities</t>
  </si>
  <si>
    <t>20171 Bayview Ave, Newport Beach, CA 92660</t>
  </si>
  <si>
    <t>https://www.realtor.com/realestateandhomes-detail/20171-Bayview-Ave_Newport-Beach_CA_92660_M10724-31638</t>
  </si>
  <si>
    <t>Zara Azartash</t>
  </si>
  <si>
    <t>za.home@yahoo.com</t>
  </si>
  <si>
    <t>Close to Beverly Glen Blvd, Los Angeles, CA 90077</t>
  </si>
  <si>
    <t>https://www.realtor.com/realestateandhomes-detail/Close-to-Beverly-Glen-Blvd-Lot-112_Los-Angeles_CA_90077_M11394-39103</t>
  </si>
  <si>
    <t>Toru Suzuki</t>
  </si>
  <si>
    <t>toru@usfudosan.com</t>
  </si>
  <si>
    <t>Person Realty Inc.</t>
  </si>
  <si>
    <t>220 Carnation Ave, Corona Del Mar, CA 92625</t>
  </si>
  <si>
    <t>https://www.realtor.com/realestateandhomes-detail/220-Carnation-Ave_Corona-Del-Mar_CA_92625_M90563-79617</t>
  </si>
  <si>
    <t>Randy Kershaw</t>
  </si>
  <si>
    <t>randy@valiaoc.com</t>
  </si>
  <si>
    <t>1441 High Bluff Dr, Newport Beach, CA 92660</t>
  </si>
  <si>
    <t>https://www.realtor.com/realestateandhomes-detail/1441-High-Bluff-Dr_Newport-Beach_CA_92660_M12112-10008</t>
  </si>
  <si>
    <t>Sean Jarne</t>
  </si>
  <si>
    <t>jcubuff@aol.com</t>
  </si>
  <si>
    <t>Sandra McFetridge</t>
  </si>
  <si>
    <t>sandra.mcfetridge@gmail.com</t>
  </si>
  <si>
    <t>338 S Miraleste Dr Unit 265, San Pedro, CA 90732</t>
  </si>
  <si>
    <t>https://www.realtor.com/realestateandhomes-detail/338-S-Miraleste-Dr-Unit-265_San-Pedro_CA_90732_M17694-76052</t>
  </si>
  <si>
    <t>Jonathan Mann</t>
  </si>
  <si>
    <t>jonathan@plusrealtysd.com</t>
  </si>
  <si>
    <t>Plus Realty Group</t>
  </si>
  <si>
    <t>Taylor Kincaid</t>
  </si>
  <si>
    <t>taylor@garciakincaidrealty.com</t>
  </si>
  <si>
    <t>108 Grassblade, Irvine, CA 92618</t>
  </si>
  <si>
    <t>https://www.realtor.com/realestateandhomes-detail/108-Grassblade_Irvine_CA_92618_M26408-85423</t>
  </si>
  <si>
    <t>Jessie Eunyoung Kim</t>
  </si>
  <si>
    <t>jnews@kw.com</t>
  </si>
  <si>
    <t>Arlen Raubach</t>
  </si>
  <si>
    <t>arlen@arlenraubach.com</t>
  </si>
  <si>
    <t>188 Valley View Ter, Mission Viejo, CA 92692</t>
  </si>
  <si>
    <t>https://www.realtor.com/realestateandhomes-detail/188-Valley-View-Ter_Mission-Viejo_CA_92692_M24893-00442</t>
  </si>
  <si>
    <t>Latrice Deluna</t>
  </si>
  <si>
    <t>Latrice@LivinginOrangeCounty.com</t>
  </si>
  <si>
    <t>Latrice Deluna, Broker</t>
  </si>
  <si>
    <t>1555 McDonald Ave, Wilmington, CA 90744</t>
  </si>
  <si>
    <t>https://www.realtor.com/realestateandhomes-detail/1555-McDonald-Ave_Wilmington_CA_90744_M18980-29033</t>
  </si>
  <si>
    <t>Ivan and Maria Navarro</t>
  </si>
  <si>
    <t>ivanN@riversidereo1.com</t>
  </si>
  <si>
    <t>REAL ESTATE ONE</t>
  </si>
  <si>
    <t>943 N Avenue 66, Los Angeles, CA 90042</t>
  </si>
  <si>
    <t>https://www.realtor.com/realestateandhomes-detail/943-N-Avenue-66_Los-Angeles_CA_90042_M91817-96527</t>
  </si>
  <si>
    <t>LUIS URIBE</t>
  </si>
  <si>
    <t>luribe96@aol.com</t>
  </si>
  <si>
    <t>L&amp;L URIBE, INC</t>
  </si>
  <si>
    <t>13914 S Main St, Los Angeles, CA 90061</t>
  </si>
  <si>
    <t>https://www.realtor.com/realestateandhomes-detail/13914-S-Main-St_Los-Angeles_CA_90061_M14304-17912</t>
  </si>
  <si>
    <t>CANDACE HACHE</t>
  </si>
  <si>
    <t>chache8693@aol.com</t>
  </si>
  <si>
    <t>11287 Chalon Rd, Los Angeles, CA 90049</t>
  </si>
  <si>
    <t>https://www.realtor.com/realestateandhomes-detail/11287-Chalon-Rd_Los-Angeles_CA_90049_M18912-61856</t>
  </si>
  <si>
    <t>Anton Nuovo</t>
  </si>
  <si>
    <t>anton@linkbrokerages.com</t>
  </si>
  <si>
    <t>607 Rockefeller Unit 72, Irvine, CA 92612</t>
  </si>
  <si>
    <t>https://www.realtor.com/realestateandhomes-detail/607-Rockefeller-72_Irvine_CA_92612_M96108-34152</t>
  </si>
  <si>
    <t>Kyle Wade</t>
  </si>
  <si>
    <t>kyle.wade@presentfinancialre.com</t>
  </si>
  <si>
    <t>608 White Oaks, Lake Forest, CA 92610</t>
  </si>
  <si>
    <t>https://www.realtor.com/realestateandhomes-detail/608-White-Oaks_Lake-Forest_CA_92610_M99832-56048</t>
  </si>
  <si>
    <t>John Babai</t>
  </si>
  <si>
    <t>john@arcrealtyca.com</t>
  </si>
  <si>
    <t>Arc Realty</t>
  </si>
  <si>
    <t>1009 E 29th St, Los Angeles, CA 90011</t>
  </si>
  <si>
    <t>https://www.realtor.com/realestateandhomes-detail/1009-E-29th-St_Los-Angeles_CA_90011_M28167-38792</t>
  </si>
  <si>
    <t>Evelyn Baez Gonzalez</t>
  </si>
  <si>
    <t>evelyn@lyonstahl.com</t>
  </si>
  <si>
    <t>9423 1/2 N Sepulveda Blvd Unit 6, North Hills, CA 91343</t>
  </si>
  <si>
    <t>https://www.realtor.com/realestateandhomes-detail/9423-12-Sepulveda-Blvd-Unit-6_North-Hills_CA_91343_M91272-96811</t>
  </si>
  <si>
    <t>Michael Brunette</t>
  </si>
  <si>
    <t>mbrunette@williamshomes.com</t>
  </si>
  <si>
    <t>Williams Homes Inc.</t>
  </si>
  <si>
    <t>12925 El Dorado Ave, Sylmar, CA 91342</t>
  </si>
  <si>
    <t>https://www.realtor.com/realestateandhomes-detail/12925-El-Dorado-Ave_Sylmar_CA_91342_M91223-80878</t>
  </si>
  <si>
    <t>Zachary Mink</t>
  </si>
  <si>
    <t>zach@truline.com</t>
  </si>
  <si>
    <t>136 W 82nd St, Los Angeles, CA 90003</t>
  </si>
  <si>
    <t>https://www.realtor.com/realestateandhomes-detail/136-W-82nd-St_Los-Angeles_CA_90003_M14692-23131</t>
  </si>
  <si>
    <t>Mayra Salazar</t>
  </si>
  <si>
    <t>mayra@fiveheightsrealty.com</t>
  </si>
  <si>
    <t>Five Heights Realty Corp.</t>
  </si>
  <si>
    <t>532 W Vernon Ave, Los Angeles, CA 90037</t>
  </si>
  <si>
    <t>https://www.realtor.com/realestateandhomes-detail/532-W-Vernon-Ave_Los-Angeles_CA_90037_M22875-73782</t>
  </si>
  <si>
    <t>Angelina Pasqualino</t>
  </si>
  <si>
    <t>angelina.pasqualino@harcourtsprime.com</t>
  </si>
  <si>
    <t>4392 E Rosehill Dr, Los Angeles, CA 90032</t>
  </si>
  <si>
    <t>https://www.realtor.com/realestateandhomes-detail/4392-E-Rosehill-Dr_Los-Angeles_CA_90032_M97691-82033</t>
  </si>
  <si>
    <t>A Young Kim</t>
  </si>
  <si>
    <t>Asset@buildblock.io</t>
  </si>
  <si>
    <t>Black Bridge Realty, Inc</t>
  </si>
  <si>
    <t>2956 W 15th St, Los Angeles, CA 90006</t>
  </si>
  <si>
    <t>https://www.realtor.com/realestateandhomes-detail/2956-W-15th-St_Los-Angeles_CA_90006_M18177-50672</t>
  </si>
  <si>
    <t>Ricardo Garza</t>
  </si>
  <si>
    <t>ricardogarzarealtor@yahoo.com</t>
  </si>
  <si>
    <t>433 N Norton Ave, Los Angeles, CA 90004</t>
  </si>
  <si>
    <t>https://www.realtor.com/realestateandhomes-detail/433-N-Norton-Ave_Los-Angeles_CA_90004_M22173-45150</t>
  </si>
  <si>
    <t>Yolanda Querubin</t>
  </si>
  <si>
    <t>yolanda.querubin@camoves.com</t>
  </si>
  <si>
    <t>4935 W 20th St, Los Angeles, CA 90016</t>
  </si>
  <si>
    <t>https://www.realtor.com/realestateandhomes-detail/4935-W-20th-St_Los-Angeles_CA_90016_M14970-39971</t>
  </si>
  <si>
    <t>Thomas Yong Kim</t>
  </si>
  <si>
    <t>tkim.appletree@gmail.com</t>
  </si>
  <si>
    <t>Apple Tree Realty</t>
  </si>
  <si>
    <t>1639 Micheltorena St, Los Angeles, CA 90026</t>
  </si>
  <si>
    <t>https://www.realtor.com/realestateandhomes-detail/1639-Micheltorena-St_Los-Angeles_CA_90026_M95553-69763</t>
  </si>
  <si>
    <t>Alexander Metaxas</t>
  </si>
  <si>
    <t>ametaxas@riacre.com</t>
  </si>
  <si>
    <t>673 E 50th St, Los Angeles, CA 90011</t>
  </si>
  <si>
    <t>https://www.realtor.com/realestateandhomes-detail/673-E-50th-St_Los-Angeles_CA_90011_M24715-44367</t>
  </si>
  <si>
    <t>Jonathan Paik</t>
  </si>
  <si>
    <t>jpaik2010@gmail.com</t>
  </si>
  <si>
    <t>889 Francisco St Unit 1508, Los Angeles, CA 90017</t>
  </si>
  <si>
    <t>https://www.realtor.com/realestateandhomes-detail/889-Francisco-St-Unit-1508_Los-Angeles_CA_90017_M14121-94558</t>
  </si>
  <si>
    <t>null Ch. (Linda) Tumen</t>
  </si>
  <si>
    <t>lindatumen@gmail.com</t>
  </si>
  <si>
    <t>HST Properties, Inc.</t>
  </si>
  <si>
    <t>3765 Arbolada Rd, Los Angeles, CA 90027</t>
  </si>
  <si>
    <t>https://www.realtor.com/realestateandhomes-detail/3765-Arbolada-Rd_Los-Angeles_CA_90027_M24988-35877</t>
  </si>
  <si>
    <t>Ken Shapiro</t>
  </si>
  <si>
    <t>kenshapiro@silverwoodproperties.net</t>
  </si>
  <si>
    <t>Silverwood Properties</t>
  </si>
  <si>
    <t>Flora Morgan Trl, Tujunga, CA 91042</t>
  </si>
  <si>
    <t>https://www.realtor.com/realestateandhomes-detail/Flora-Morgan-Trl_Tujunga_CA_91042_M94010-71723</t>
  </si>
  <si>
    <t>Nicolo Gobbi</t>
  </si>
  <si>
    <t>gobbipersonal@gmail.com</t>
  </si>
  <si>
    <t>Moon Realty</t>
  </si>
  <si>
    <t>1461 W 108th St, Los Angeles, CA 90047</t>
  </si>
  <si>
    <t>https://www.realtor.com/realestateandhomes-detail/1461-W-108th-St_Los-Angeles_CA_90047_M26840-18324</t>
  </si>
  <si>
    <t>James Ward</t>
  </si>
  <si>
    <t>james@exitgroupla.com</t>
  </si>
  <si>
    <t>Forward Real Estate</t>
  </si>
  <si>
    <t>1111 S Grand Ave Apt 1111, Los Angeles, CA 90015</t>
  </si>
  <si>
    <t>https://www.realtor.com/realestateandhomes-detail/1111-S-Grand-Ave-Apt-1111_Los-Angeles_CA_90015_M14349-08963</t>
  </si>
  <si>
    <t>Paul R. Comilang</t>
  </si>
  <si>
    <t>paul@habitusrealestate.com</t>
  </si>
  <si>
    <t>Habitus Real Estate</t>
  </si>
  <si>
    <t>7515 S Vermont Ave, Los Angeles, CA 90044</t>
  </si>
  <si>
    <t>https://www.realtor.com/realestateandhomes-detail/7515-S-Vermont-Ave_Los-Angeles_CA_90044_M95246-73909</t>
  </si>
  <si>
    <t>Steven Richardson</t>
  </si>
  <si>
    <t>srichardsonrealty@gmail.com</t>
  </si>
  <si>
    <t>3700 Lowry Rd, Los Angeles, CA 90027</t>
  </si>
  <si>
    <t>https://www.realtor.com/realestateandhomes-detail/3700-Lowry-Rd_Los-Angeles_CA_90027_M15349-57104</t>
  </si>
  <si>
    <t>Louise Leach</t>
  </si>
  <si>
    <t>louise@louiseleach.com</t>
  </si>
  <si>
    <t>5426 Compton Ave, Los Angeles, CA 90011</t>
  </si>
  <si>
    <t>https://www.realtor.com/realestateandhomes-detail/5426-Compton-Ave_Los-Angeles_CA_90011_M22591-27271</t>
  </si>
  <si>
    <t>Federico Di Ninni</t>
  </si>
  <si>
    <t>federicorealestate30@gmail.com</t>
  </si>
  <si>
    <t>Golden Feather Investments, Inc</t>
  </si>
  <si>
    <t>Gersh Gershunoff</t>
  </si>
  <si>
    <t>gersh@akgre.com</t>
  </si>
  <si>
    <t>1401 S St Andrews Pl Apt 209, Los Angeles, CA 90019</t>
  </si>
  <si>
    <t>https://www.realtor.com/realestateandhomes-detail/1401-S-St-Andrews-Pl-Apt-209_Los-Angeles_CA_90019_M17164-04520</t>
  </si>
  <si>
    <t>Thomas J. Lee</t>
  </si>
  <si>
    <t>primethomas1@gmail.com</t>
  </si>
  <si>
    <t>Prime Properties</t>
  </si>
  <si>
    <t>1125 3rd Ave, Los Angeles, CA 90019</t>
  </si>
  <si>
    <t>https://www.realtor.com/realestateandhomes-detail/1125-3rd-Ave-Apt-C_Los-Angeles_CA_90019_M26018-87149</t>
  </si>
  <si>
    <t>Audrey Jung</t>
  </si>
  <si>
    <t>audreyjung88@gmail.com</t>
  </si>
  <si>
    <t>B &amp; B Investment Properties</t>
  </si>
  <si>
    <t>3640 Roseview Ave, Los Angeles, CA 90065</t>
  </si>
  <si>
    <t>https://www.realtor.com/realestateandhomes-detail/3640-Roseview-Ave_Los-Angeles_CA_90065_M10563-99243</t>
  </si>
  <si>
    <t>Suzanna Storm</t>
  </si>
  <si>
    <t>suzannastorm@gmail.com</t>
  </si>
  <si>
    <t>3142 S Halm Ave, Los Angeles, CA 90034</t>
  </si>
  <si>
    <t>https://www.realtor.com/realestateandhomes-detail/3142-S-Halm-Ave_Los-Angeles_CA_90034_M19550-72522</t>
  </si>
  <si>
    <t>Mark Konopaske</t>
  </si>
  <si>
    <t>mark.konopaske@lee-associates.com</t>
  </si>
  <si>
    <t>1520 S Beverly Glen Blvd Apt 507, Los Angeles, CA 90024</t>
  </si>
  <si>
    <t>https://www.realtor.com/realestateandhomes-detail/1520-S-Beverly-Glen-Blvd-Apt-507_Los-Angeles_CA_90024_M25753-64134</t>
  </si>
  <si>
    <t>Sarah Jackson</t>
  </si>
  <si>
    <t>sj@sjlarealestate.com</t>
  </si>
  <si>
    <t>1118 Elden Ave, Los Angeles, CA 90006</t>
  </si>
  <si>
    <t>https://www.realtor.com/realestateandhomes-detail/1118-Elden-Ave_Los-Angeles_CA_90006_M18275-52226</t>
  </si>
  <si>
    <t>Jennifer Chung</t>
  </si>
  <si>
    <t>4everladyjen@gmail.com</t>
  </si>
  <si>
    <t>Bee Investment, Inc.</t>
  </si>
  <si>
    <t>9053 Willis Ave, Panorama City, CA 91402</t>
  </si>
  <si>
    <t>https://www.realtor.com/realestateandhomes-detail/9053-Willis-Ave_Panorama-City_CA_91402_M93275-64069</t>
  </si>
  <si>
    <t>Rosalinda Rodriguez</t>
  </si>
  <si>
    <t>rosalindarociorodriguez@gmail.com</t>
  </si>
  <si>
    <t>Coral Ramirez Romero</t>
  </si>
  <si>
    <t>2215 Norwalk Ave, Los Angeles, CA 90041</t>
  </si>
  <si>
    <t>https://www.realtor.com/realestateandhomes-detail/2215-Norwalk-Ave_Los-Angeles_CA_90041_M13114-24609</t>
  </si>
  <si>
    <t>Matthew Jaime</t>
  </si>
  <si>
    <t>mjaime.broker@gmail.com</t>
  </si>
  <si>
    <t>REO Modern Realty Corp.</t>
  </si>
  <si>
    <t>8326 Kirkwood Dr, Los Angeles, CA 90046</t>
  </si>
  <si>
    <t>https://www.realtor.com/realestateandhomes-detail/8326-Kirkwood-Dr_Los-Angeles_CA_90046_M29312-86076</t>
  </si>
  <si>
    <t>Gregory Scott</t>
  </si>
  <si>
    <t>greg@gregscottre.com</t>
  </si>
  <si>
    <t>846 Arletta Way, Fullerton, CA 92835</t>
  </si>
  <si>
    <t>https://www.realtor.com/realestateandhomes-detail/846-Arletta-Way_Fullerton_CA_92835_M92442-62915</t>
  </si>
  <si>
    <t>Se Won Cho</t>
  </si>
  <si>
    <t>jesse@cpgi-re.com</t>
  </si>
  <si>
    <t>CPGI</t>
  </si>
  <si>
    <t>1234 Wilshire Blvd Apt 321, Los Angeles, CA 90017</t>
  </si>
  <si>
    <t>https://www.realtor.com/realestateandhomes-detail/1234-Wilshire-Blvd-Apt-321_Los-Angeles_CA_90017_M29106-85193</t>
  </si>
  <si>
    <t>NINA MOON</t>
  </si>
  <si>
    <t>ninamoon@gmail.com</t>
  </si>
  <si>
    <t>850 W Martin Luther King Jr Blvd, Los Angeles, CA 90037</t>
  </si>
  <si>
    <t>https://www.realtor.com/realestateandhomes-detail/850-W-Martin-Luther-King-Jr-Blvd_Los-Angeles_CA_90037_M22713-25831</t>
  </si>
  <si>
    <t>Mi Jeong Kim</t>
  </si>
  <si>
    <t>mjskre@gmail.com</t>
  </si>
  <si>
    <t>281 S Avenue 52, Los Angeles, CA 90042</t>
  </si>
  <si>
    <t>https://www.realtor.com/realestateandhomes-detail/281-S-Avenue-52-Apt-5_Los-Angeles_CA_90042_M12634-86086</t>
  </si>
  <si>
    <t>Seth Polen</t>
  </si>
  <si>
    <t>s.spolen@gmail.com</t>
  </si>
  <si>
    <t>16728 Celtic St, Granada Hills, CA 91344</t>
  </si>
  <si>
    <t>https://www.realtor.com/realestateandhomes-detail/16728-Celtic-St_Granada-Hills_CA_91344_M16071-10970</t>
  </si>
  <si>
    <t>Timothy Atwood</t>
  </si>
  <si>
    <t>mail@timothyatwood.com</t>
  </si>
  <si>
    <t>5630 S Broadway, Los Angeles, CA 90037</t>
  </si>
  <si>
    <t>https://www.realtor.com/realestateandhomes-detail/5630-S-Broadway_Los-Angeles_CA_90037_M21989-37485</t>
  </si>
  <si>
    <t>Joe Kimaz</t>
  </si>
  <si>
    <t>joe.kimaz@madisonreg.com</t>
  </si>
  <si>
    <t>The Madison Real Estate Group Inc.</t>
  </si>
  <si>
    <t>Kimiyasu Murayoshi</t>
  </si>
  <si>
    <t>kmurayoshi@gmail.com</t>
  </si>
  <si>
    <t>702 S Serrano Ave Apt 501, Los Angeles, CA 90005</t>
  </si>
  <si>
    <t>https://www.realtor.com/realestateandhomes-detail/702-S-Serrano-Ave-Apt-501_Los-Angeles_CA_90005_M22026-94926</t>
  </si>
  <si>
    <t>JAE Y LEE</t>
  </si>
  <si>
    <t>gojae@ivyrealty.com</t>
  </si>
  <si>
    <t>1043 S Victoria Ave, Los Angeles, CA 90019</t>
  </si>
  <si>
    <t>https://www.realtor.com/realestateandhomes-detail/1043-S-Victoria-Ave_Los-Angeles_CA_90019_M19602-92902</t>
  </si>
  <si>
    <t>Jae Eun Lee</t>
  </si>
  <si>
    <t>leejasmine.realtor@gmail.com</t>
  </si>
  <si>
    <t>889 Francisco St Unit 807, Los Angeles, CA 90017</t>
  </si>
  <si>
    <t>https://www.realtor.com/realestateandhomes-detail/889-Francisco-St-Unit-807_Los-Angeles_CA_90017_M29898-11823</t>
  </si>
  <si>
    <t>Lapchih Fan</t>
  </si>
  <si>
    <t>lapchih@gmail.com</t>
  </si>
  <si>
    <t>LF8 Real Estate Inc.</t>
  </si>
  <si>
    <t>1677 S Harvard Blvd, Los Angeles, CA 90006</t>
  </si>
  <si>
    <t>https://www.realtor.com/realestateandhomes-detail/1677-S-Harvard-Blvd_Los-Angeles_CA_90006_M18059-37368</t>
  </si>
  <si>
    <t>Julie Lee</t>
  </si>
  <si>
    <t>juliehklee@gmail.com</t>
  </si>
  <si>
    <t>I&amp;J Properties</t>
  </si>
  <si>
    <t>Jeannie K. Lee</t>
  </si>
  <si>
    <t>jeannielee14@yahoo.com</t>
  </si>
  <si>
    <t>The H Realty</t>
  </si>
  <si>
    <t>6741 Lincoln Ave Spc 107, Buena Park, CA 90620</t>
  </si>
  <si>
    <t>https://www.realtor.com/realestateandhomes-detail/6741-Lincoln-Ave-Spc-107_Buena-Park_CA_90620_M13010-75407</t>
  </si>
  <si>
    <t>Lena Byun</t>
  </si>
  <si>
    <t>lenabyun@newstarrealty.com</t>
  </si>
  <si>
    <t>4544 Talofa Ave, Toluca Lake, CA 91602</t>
  </si>
  <si>
    <t>https://www.realtor.com/realestateandhomes-detail/4544-Talofa-Ave_Toluca-Lake_CA_91602_M19612-83339</t>
  </si>
  <si>
    <t>Gregory D'Angelo</t>
  </si>
  <si>
    <t>gregdangelo@yahoo.com</t>
  </si>
  <si>
    <t>Real Estate EBroker Inc.</t>
  </si>
  <si>
    <t>10585 Esther Ave, Los Angeles, CA 90064</t>
  </si>
  <si>
    <t>https://www.realtor.com/realestateandhomes-detail/10585-Esther-Ave_Los-Angeles_CA_90064_M21298-49792</t>
  </si>
  <si>
    <t>Marcia Gale</t>
  </si>
  <si>
    <t>thehometeam@johnaaroegroup.com</t>
  </si>
  <si>
    <t>6001 Carlton Way Apt 303, Los Angeles, CA 90028</t>
  </si>
  <si>
    <t>https://www.realtor.com/realestateandhomes-detail/6001-Carlton-Way-Apt-303_Los-Angeles_CA_90028_M11829-04093</t>
  </si>
  <si>
    <t>Michael Cho</t>
  </si>
  <si>
    <t>mcho@cnccre.com</t>
  </si>
  <si>
    <t>CNC Commercial Real Estate Inc</t>
  </si>
  <si>
    <t>234 E 84th St, Los Angeles, CA 90003</t>
  </si>
  <si>
    <t>https://www.realtor.com/realestateandhomes-detail/234-E-84th-St_Los-Angeles_CA_90003_M14678-81557</t>
  </si>
  <si>
    <t>Michelle J Yoon</t>
  </si>
  <si>
    <t>topagentmichelle@gmail.com</t>
  </si>
  <si>
    <t>OneTop Realty</t>
  </si>
  <si>
    <t>10411 Hickory St, Los Angeles, CA 90002</t>
  </si>
  <si>
    <t>https://www.realtor.com/realestateandhomes-detail/10411-Hickory-St_Los-Angeles_CA_90002_M12976-21597</t>
  </si>
  <si>
    <t>DEBORAH RUGLEY WILEY</t>
  </si>
  <si>
    <t>deborahrealty@gmail.com</t>
  </si>
  <si>
    <t>KW Advisors</t>
  </si>
  <si>
    <t>5139 Balboa Blvd Unit 2, Encino, CA 91316</t>
  </si>
  <si>
    <t>https://www.realtor.com/realestateandhomes-detail/5139-Balboa-Blvd-Unit-2_Encino_CA_91316_M20921-09542</t>
  </si>
  <si>
    <t>Isaac Mokhtarzadeh</t>
  </si>
  <si>
    <t>isaacmok@yahoo.com</t>
  </si>
  <si>
    <t>2982 W 15th St, Los Angeles, CA 90006</t>
  </si>
  <si>
    <t>https://www.realtor.com/realestateandhomes-detail/2982-W-15th-St_Los-Angeles_CA_90006_M18316-50869</t>
  </si>
  <si>
    <t>Clay Choi</t>
  </si>
  <si>
    <t>goodmorningclay@gmail.com</t>
  </si>
  <si>
    <t>Rocky Realty</t>
  </si>
  <si>
    <t>6050 Burwood Ave, Los Angeles, CA 90042</t>
  </si>
  <si>
    <t>https://www.realtor.com/realestateandhomes-detail/6050-Burwood-Ave_Los-Angeles_CA_90042_M91385-83460</t>
  </si>
  <si>
    <t>Peter Paik</t>
  </si>
  <si>
    <t>ppaik@ccim.net</t>
  </si>
  <si>
    <t>4915 Winnetka Ave, Woodland Hills, CA 91364</t>
  </si>
  <si>
    <t>https://www.realtor.com/realestateandhomes-detail/4915-Winnetka-Ave_Woodland-Hills_CA_91364_M20159-12062</t>
  </si>
  <si>
    <t>Colt Maloney</t>
  </si>
  <si>
    <t>colt@figure8re.com</t>
  </si>
  <si>
    <t>Figure 8 Realty</t>
  </si>
  <si>
    <t>3654 Lavell Dr, Los Angeles, CA 90065</t>
  </si>
  <si>
    <t>https://www.realtor.com/realestateandhomes-detail/3654-Lavell-Dr_Los-Angeles_CA_90065_M11263-84683</t>
  </si>
  <si>
    <t>Ryan Judd</t>
  </si>
  <si>
    <t>ryan.judd@compass.com</t>
  </si>
  <si>
    <t>13331 Moorpark St Apt 110, Sherman Oaks, CA 91423</t>
  </si>
  <si>
    <t>https://www.realtor.com/realestateandhomes-detail/13331-Moorpark-St-Apt-110_Sherman-Oaks_CA_91423_M29365-81692</t>
  </si>
  <si>
    <t>Mark Reynolds Jr.</t>
  </si>
  <si>
    <t>mark@allycommercialre.com</t>
  </si>
  <si>
    <t>Ally Commercial Real Estate</t>
  </si>
  <si>
    <t>519-1/2 Narcissus Ave Unit B, Corona Del Mar, CA 92625</t>
  </si>
  <si>
    <t>https://www.realtor.com/realestateandhomes-detail/519-Narcissus-Ave-B_Corona-Del-Mar_CA_92625_M97393-07101</t>
  </si>
  <si>
    <t>Daniel Tsarik</t>
  </si>
  <si>
    <t>daniel.tsarik@cbrealty.com</t>
  </si>
  <si>
    <t>3310 S Durango Ave, Los Angeles, CA 90034</t>
  </si>
  <si>
    <t>https://www.realtor.com/realestateandhomes-detail/3310-S-Durango-Ave_Los-Angeles_CA_90034_M20002-01578</t>
  </si>
  <si>
    <t>Theresa Lehr</t>
  </si>
  <si>
    <t>tlehr@eplahomes.com</t>
  </si>
  <si>
    <t>1707 Malcolm Ave Ph 400, Los Angeles, CA 90024</t>
  </si>
  <si>
    <t>https://www.realtor.com/realestateandhomes-detail/1707-Malcolm-Ave-Ph-400_Los-Angeles_CA_90024_M29732-29399</t>
  </si>
  <si>
    <t>Marci Baron</t>
  </si>
  <si>
    <t>mbaron@coldwellbanker.com</t>
  </si>
  <si>
    <t>5014 Rosewood Ave Unit 1/2, Los Angeles, CA 90004</t>
  </si>
  <si>
    <t>https://www.realtor.com/realestateandhomes-detail/5014-Rosewood-Ave_Los-Angeles_CA_90004_M98908-58939</t>
  </si>
  <si>
    <t>Jeffrey Billinger</t>
  </si>
  <si>
    <t>Jeffrey@thehillspr.com</t>
  </si>
  <si>
    <t>417 S Westmoreland Ave Unit 404, Los Angeles, CA 90020</t>
  </si>
  <si>
    <t>https://www.realtor.com/realestateandhomes-detail/417-S-Westmoreland-Ave-Unit-404_Los-Angeles_CA_90020_M16715-37150</t>
  </si>
  <si>
    <t>Jerry Hsieh</t>
  </si>
  <si>
    <t>jerry@kw.com</t>
  </si>
  <si>
    <t>1455 Rising Glen Rd, Los Angeles, CA 90069</t>
  </si>
  <si>
    <t>https://www.realtor.com/realestateandhomes-detail/1455-Rising-Glen-Rd_Los-Angeles_CA_90069_M10184-88407</t>
  </si>
  <si>
    <t>Bill Stimming</t>
  </si>
  <si>
    <t>allenpalos@kw.com</t>
  </si>
  <si>
    <t>1375 Kelton Ave Apt 206, Los Angeles, CA 90024</t>
  </si>
  <si>
    <t>https://www.realtor.com/realestateandhomes-detail/1375-Kelton-Ave-Apt-206_Los-Angeles_CA_90024_M23796-43405</t>
  </si>
  <si>
    <t>JOSEPHINE CHIU</t>
  </si>
  <si>
    <t>josieWLA@gmail.com</t>
  </si>
  <si>
    <t>1738 Chastain Pkwy E, Pacific Palisades, CA 90272</t>
  </si>
  <si>
    <t>https://www.realtor.com/realestateandhomes-detail/1738-Chastain-Pkwy-E_Pacific-Palisades_CA_90272_M11818-93267</t>
  </si>
  <si>
    <t>Brent Burghdorf</t>
  </si>
  <si>
    <t>brent@revelrealestate.com</t>
  </si>
  <si>
    <t>4466 Coldwater Canyon Ave Apt 205, Studio City, CA 91604</t>
  </si>
  <si>
    <t>https://www.realtor.com/realestateandhomes-detail/4466-Coldwater-Canyon-Ave-Apt-205_Studio-City_CA_91604_M17871-57809</t>
  </si>
  <si>
    <t>Elizabeth Marquart</t>
  </si>
  <si>
    <t>info@elizabethsells.com</t>
  </si>
  <si>
    <t>Estates Properties</t>
  </si>
  <si>
    <t>8472 Oakwood Ave, Los Angeles, CA 90048</t>
  </si>
  <si>
    <t>https://www.realtor.com/realestateandhomes-detail/8472-Oakwood-Ave_Los-Angeles_CA_90048_M20476-73314</t>
  </si>
  <si>
    <t>Verna Helbling</t>
  </si>
  <si>
    <t>vernahelbling1@gmail.com</t>
  </si>
  <si>
    <t>6436 Haas Ave, Los Angeles, CA 90047</t>
  </si>
  <si>
    <t>https://www.realtor.com/realestateandhomes-detail/6436-Haas-Ave_Los-Angeles_CA_90047_M10041-81434</t>
  </si>
  <si>
    <t>Marie Goodloe</t>
  </si>
  <si>
    <t>marie@mariegoodloe.com</t>
  </si>
  <si>
    <t>6260 Mosley Ave, Los Angeles, CA 90056</t>
  </si>
  <si>
    <t>https://www.realtor.com/realestateandhomes-detail/6260-Mosley-Ave_Los-Angeles_CA_90056_M18485-86054</t>
  </si>
  <si>
    <t>Eduardo Vasquez</t>
  </si>
  <si>
    <t>eddievasquez1290@gmail.com</t>
  </si>
  <si>
    <t>Smart Sell Real Estate</t>
  </si>
  <si>
    <t>718 Palisades Dr, Pacific Palisades, CA 90272</t>
  </si>
  <si>
    <t>https://www.realtor.com/realestateandhomes-detail/718-Palisades-Dr_Pacific-Palisades_CA_90272_M29829-30375</t>
  </si>
  <si>
    <t>Robert Radcliffe</t>
  </si>
  <si>
    <t>rob@robertradcliffe.com</t>
  </si>
  <si>
    <t>Sotheby's International Realty - Pacific Palisades Brokerage</t>
  </si>
  <si>
    <t>6006 Wooster Ave, Los Angeles, CA 90056</t>
  </si>
  <si>
    <t>https://www.realtor.com/realestateandhomes-detail/6006-Wooster-Ave_Los-Angeles_CA_90056_M11488-20706</t>
  </si>
  <si>
    <t>Art Perez and Heather Coombs Perez - HeArt</t>
  </si>
  <si>
    <t>Heather@heartrealtors.com</t>
  </si>
  <si>
    <t>3450 Vinton Ave, Los Angeles, CA 90034</t>
  </si>
  <si>
    <t>https://www.realtor.com/realestateandhomes-detail/3450-Vinton-Ave_Los-Angeles_CA_90034_M20654-91509</t>
  </si>
  <si>
    <t>Steve Sawaii</t>
  </si>
  <si>
    <t>Steve@stevesawaii.com</t>
  </si>
  <si>
    <t>132 N Swall Dr Unit 202, Los Angeles, CA 90048</t>
  </si>
  <si>
    <t>https://www.realtor.com/realestateandhomes-detail/132-N-Swall-Dr-Unit-202_Los-Angeles_CA_90048_M93167-72148</t>
  </si>
  <si>
    <t>Juli Udem</t>
  </si>
  <si>
    <t>juli.udem@elliman.com</t>
  </si>
  <si>
    <t>358 S Miraleste Dr Unit 333, San Pedro, CA 90732</t>
  </si>
  <si>
    <t>https://www.realtor.com/realestateandhomes-detail/358-S-Miraleste-Dr-Unit-333_San-Pedro_CA_90732_M16979-62709</t>
  </si>
  <si>
    <t>Miriam Dean</t>
  </si>
  <si>
    <t>dean_miriam@yahoo.com</t>
  </si>
  <si>
    <t>1745 Camino Palmero St Apt 334, Los Angeles, CA 90046</t>
  </si>
  <si>
    <t>https://www.realtor.com/realestateandhomes-detail/1745-Camino-Palmero-St-Apt-334_Los-Angeles_CA_90046_M27655-27164</t>
  </si>
  <si>
    <t>Thomas Magiar</t>
  </si>
  <si>
    <t>tmagiar@gmail.com</t>
  </si>
  <si>
    <t>112 N Beverly Glen Blvd, Los Angeles, CA 90077</t>
  </si>
  <si>
    <t>https://www.realtor.com/realestateandhomes-detail/112-N-Beverly-Glen-Blvd_Los-Angeles_CA_90077_M13274-65411</t>
  </si>
  <si>
    <t>Raymond John Bekeris</t>
  </si>
  <si>
    <t>bekeris1@msn.com</t>
  </si>
  <si>
    <t>BEKERIS</t>
  </si>
  <si>
    <t>942 S Mansfield Ave, Los Angeles, CA 90036</t>
  </si>
  <si>
    <t>https://www.realtor.com/realestateandhomes-detail/942-S-Mansfield-Ave-Apt-2_Los-Angeles_CA_90036_M18426-20902</t>
  </si>
  <si>
    <t>Alexander Radosevic</t>
  </si>
  <si>
    <t>karen@canonproperties.com</t>
  </si>
  <si>
    <t>Canon Business Properties, Inc.</t>
  </si>
  <si>
    <t>4835 Pickford St, Los Angeles, CA 90019</t>
  </si>
  <si>
    <t>https://www.realtor.com/realestateandhomes-detail/4835-Pickford-St_Los-Angeles_CA_90019_M15761-18301</t>
  </si>
  <si>
    <t>David Mouallem</t>
  </si>
  <si>
    <t>davidmrealty@aol.com</t>
  </si>
  <si>
    <t>2035 Castle Heights Ave, Los Angeles, CA 90034</t>
  </si>
  <si>
    <t>https://www.realtor.com/realestateandhomes-detail/2035-Castle-Heights-Ave_Los-Angeles_CA_90034_M18895-58995</t>
  </si>
  <si>
    <t>JJ Wallack</t>
  </si>
  <si>
    <t>jj@wallack.com</t>
  </si>
  <si>
    <t>782 Ranch Ln, Pacific Palisades, CA 90272</t>
  </si>
  <si>
    <t>https://www.realtor.com/realestateandhomes-detail/782-Ranch-Ln_Pacific-Palisades_CA_90272_M27674-58695</t>
  </si>
  <si>
    <t>Joshua Gaunya</t>
  </si>
  <si>
    <t>josh@deasypenner.com</t>
  </si>
  <si>
    <t>8224 Skyline Dr, Los Angeles, CA 90046</t>
  </si>
  <si>
    <t>https://www.realtor.com/realestateandhomes-detail/8224-Skyline-Dr_Los-Angeles_CA_90046_M26966-62851</t>
  </si>
  <si>
    <t>Magali Bergher</t>
  </si>
  <si>
    <t>mnbergher@aol.com</t>
  </si>
  <si>
    <t>14035 Aubrey Rd, Beverly Hills, CA 90210</t>
  </si>
  <si>
    <t>https://www.realtor.com/realestateandhomes-detail/14035-Aubrey-Rd_Beverly-Hills_CA_90210_M28276-20019</t>
  </si>
  <si>
    <t>Judy Cycon</t>
  </si>
  <si>
    <t>judy@judycycon.com</t>
  </si>
  <si>
    <t>2166 Beachwood Ter, Los Angeles, CA 90068</t>
  </si>
  <si>
    <t>https://www.realtor.com/realestateandhomes-detail/2166-Beachwood-Ter_Los-Angeles_CA_90068_M13713-59617</t>
  </si>
  <si>
    <t>Justin Setareh</t>
  </si>
  <si>
    <t>justin@figure8re.com</t>
  </si>
  <si>
    <t>2216 S Bentley Ave, Los Angeles, CA 90064</t>
  </si>
  <si>
    <t>https://www.realtor.com/realestateandhomes-detail/2216-S-Bentley-Ave_Los-Angeles_CA_90064_M92153-17521</t>
  </si>
  <si>
    <t>Glen Coutinho</t>
  </si>
  <si>
    <t>glenc@nestseekers.com</t>
  </si>
  <si>
    <t>2008 S Bedford St, Los Angeles, CA 90034</t>
  </si>
  <si>
    <t>https://www.realtor.com/realestateandhomes-detail/2008-S-Bedford-St_Los-Angeles_CA_90034_M17731-02924</t>
  </si>
  <si>
    <t>Samaneh Rezaeian</t>
  </si>
  <si>
    <t>samaneh_rezaeian@hotmail.com</t>
  </si>
  <si>
    <t>22001 Santa Susana Pass Rd, Chatsworth, CA 91311</t>
  </si>
  <si>
    <t>https://www.realtor.com/realestateandhomes-detail/22001-Santa-Susana-Pass-Rd_Chatsworth_CA_91311_M22133-53323</t>
  </si>
  <si>
    <t>Bill Moss</t>
  </si>
  <si>
    <t>billmossmalibu@yahoo.com</t>
  </si>
  <si>
    <t>360 W Avenue 26 Apt 318, Los Angeles, CA 90031</t>
  </si>
  <si>
    <t>https://www.realtor.com/realestateandhomes-detail/360-W-Avenue-26-Apt-318_Los-Angeles_CA_90031_M14205-18836</t>
  </si>
  <si>
    <t>Katia Miramontes</t>
  </si>
  <si>
    <t>katia@theagencyre.com</t>
  </si>
  <si>
    <t>5255 Veronica St, Los Angeles, CA 90008</t>
  </si>
  <si>
    <t>https://www.realtor.com/realestateandhomes-detail/5255-Veronica-St_Los-Angeles_CA_90008_M25644-22468</t>
  </si>
  <si>
    <t>Brian Maser</t>
  </si>
  <si>
    <t>brian@brianmaser.com</t>
  </si>
  <si>
    <t>The Condo Experts</t>
  </si>
  <si>
    <t>359 E 56th St, Los Angeles, CA 90011</t>
  </si>
  <si>
    <t>https://www.realtor.com/realestateandhomes-detail/359-E-56th-St_Los-Angeles_CA_90011_M23123-98585</t>
  </si>
  <si>
    <t>Jerome Mcalpin</t>
  </si>
  <si>
    <t>remvp@aol.com</t>
  </si>
  <si>
    <t>Mcalpin &amp; Company</t>
  </si>
  <si>
    <t>716 S Boyle Ave, Los Angeles, CA 90023</t>
  </si>
  <si>
    <t>https://www.realtor.com/realestateandhomes-detail/716-S-Boyle-Ave_Los-Angeles_CA_90023_M96006-10967</t>
  </si>
  <si>
    <t>Austin Vaccaro</t>
  </si>
  <si>
    <t>austin@austinvaccaro.com</t>
  </si>
  <si>
    <t>8800 Comanche Ave, Winnetka, CA 91306</t>
  </si>
  <si>
    <t>https://www.realtor.com/realestateandhomes-detail/8800-Comanche-Ave_Winnetka_CA_91306_M28610-72669</t>
  </si>
  <si>
    <t>James Herman</t>
  </si>
  <si>
    <t>jim@caskeyandcaskey.com</t>
  </si>
  <si>
    <t>2731 Kelton Ave, Los Angeles, CA 90064</t>
  </si>
  <si>
    <t>https://www.realtor.com/realestateandhomes-detail/2731-Kelton-Ave_Los-Angeles_CA_90064_M23904-61900</t>
  </si>
  <si>
    <t>Carla Winnie</t>
  </si>
  <si>
    <t>CarlaWinnie@gmail.com</t>
  </si>
  <si>
    <t>135 N Vendome St, Los Angeles, CA 90026</t>
  </si>
  <si>
    <t>https://www.realtor.com/realestateandhomes-detail/135-N-Vendome-St_Los-Angeles_CA_90026_M29896-52766</t>
  </si>
  <si>
    <t>Maggie Ding</t>
  </si>
  <si>
    <t>maggie@maggieding.com</t>
  </si>
  <si>
    <t>3104 W 43rd Pl, Los Angeles, CA 90008</t>
  </si>
  <si>
    <t>https://www.realtor.com/realestateandhomes-detail/3104-W-43rd-Pl_Los-Angeles_CA_90008_M24592-20712</t>
  </si>
  <si>
    <t>stanley e jackson</t>
  </si>
  <si>
    <t>Stan@movonrealty.com</t>
  </si>
  <si>
    <t>Movon Realty</t>
  </si>
  <si>
    <t>3910 Drysdale Ave, Los Angeles, CA 90032</t>
  </si>
  <si>
    <t>https://www.realtor.com/realestateandhomes-detail/3910-Drysdale-Ave_Los-Angeles_CA_90032_M19749-15673</t>
  </si>
  <si>
    <t>Shawn Raoufpour</t>
  </si>
  <si>
    <t>goldcorporation@aol.com</t>
  </si>
  <si>
    <t>Gold Realty</t>
  </si>
  <si>
    <t>716 New Depot St Apt C, Los Angeles, CA 90012</t>
  </si>
  <si>
    <t>https://www.realtor.com/realestateandhomes-detail/716-New-Depot-St-Apt-C_Los-Angeles_CA_90012_M24052-98362</t>
  </si>
  <si>
    <t>George Wang</t>
  </si>
  <si>
    <t>georgekwang@sbcglobal.net</t>
  </si>
  <si>
    <t>Harvest Realtors, Inc.</t>
  </si>
  <si>
    <t>3854 Vineland Ave, Studio City, CA 91604</t>
  </si>
  <si>
    <t>https://www.realtor.com/realestateandhomes-detail/3854-Vineland-Ave_Studio-City_CA_91604_M18805-53477</t>
  </si>
  <si>
    <t>Amy Johns</t>
  </si>
  <si>
    <t>amyjohnsla@gmail.com</t>
  </si>
  <si>
    <t>11930 Avon Way Apt 107, Los Angeles, CA 90066</t>
  </si>
  <si>
    <t>https://www.realtor.com/realestateandhomes-detail/11930-Avon-Way-Apt-107_Los-Angeles_CA_90066_M28655-34583</t>
  </si>
  <si>
    <t>Molly Ballantine</t>
  </si>
  <si>
    <t>mollyballantine@pacunionla.com</t>
  </si>
  <si>
    <t>15960 Alcima Ave, Pacific Palisades, CA 90272</t>
  </si>
  <si>
    <t>https://www.realtor.com/realestateandhomes-detail/15960-Alcima-Ave_Pacific-Palisades_CA_90272_M29890-04723</t>
  </si>
  <si>
    <t>Molly Kelley</t>
  </si>
  <si>
    <t>molly.a.kelley@gmail.com</t>
  </si>
  <si>
    <t>2530 Hutton Dr, Beverly Hills, CA 90210</t>
  </si>
  <si>
    <t>https://www.realtor.com/realestateandhomes-detail/2530-Hutton-Dr_Beverly-Hills_CA_90210_M23824-64244</t>
  </si>
  <si>
    <t>James Nasser</t>
  </si>
  <si>
    <t>jn@weahomes.com</t>
  </si>
  <si>
    <t>613 N Plymouth Blvd, Los Angeles, CA 90004</t>
  </si>
  <si>
    <t>https://www.realtor.com/realestateandhomes-detail/613-N-Plymouth-Blvd_Los-Angeles_CA_90004_M22280-77742</t>
  </si>
  <si>
    <t>Berkan Turac</t>
  </si>
  <si>
    <t>turacbrk@gmail.com</t>
  </si>
  <si>
    <t>1268 Queen Anne Pl, Los Angeles, CA 90019</t>
  </si>
  <si>
    <t>https://www.realtor.com/realestateandhomes-detail/1268-Queen-Anne-Pl_Los-Angeles_CA_90019_M19936-45921</t>
  </si>
  <si>
    <t>Brice Head</t>
  </si>
  <si>
    <t>brice.head@cbre.com</t>
  </si>
  <si>
    <t>CBRE, Inc.</t>
  </si>
  <si>
    <t>10441 W Zamora Ave, Los Angeles, CA 90002</t>
  </si>
  <si>
    <t>https://www.realtor.com/realestateandhomes-detail/10441-W-Zamora-Ave_Los-Angeles_CA_90002_M25487-80219</t>
  </si>
  <si>
    <t>Kimberlee Bilbrew</t>
  </si>
  <si>
    <t>kimberleebilbrew@kw.com</t>
  </si>
  <si>
    <t>4328 Brighton Ave, Los Angeles, CA 90062</t>
  </si>
  <si>
    <t>https://www.realtor.com/realestateandhomes-detail/4328-Brighton-Ave_Los-Angeles_CA_90062_M24360-04030</t>
  </si>
  <si>
    <t>Shana Giles</t>
  </si>
  <si>
    <t>sgiles716@msn.com</t>
  </si>
  <si>
    <t>810 Gramercy Dr, Los Angeles, CA 90005</t>
  </si>
  <si>
    <t>https://www.realtor.com/realestateandhomes-detail/810-Gramercy-Dr_Los-Angeles_CA_90005_M22743-33000</t>
  </si>
  <si>
    <t>Bob Murphy</t>
  </si>
  <si>
    <t>bob@bobmurphysold.com</t>
  </si>
  <si>
    <t>12066 Lamanda St, Los Angeles, CA 90066</t>
  </si>
  <si>
    <t>https://www.realtor.com/realestateandhomes-detail/12066-Lamanda-St_Los-Angeles_CA_90066_M15388-97848</t>
  </si>
  <si>
    <t>Tom G Royds</t>
  </si>
  <si>
    <t>roydst@gmail.com</t>
  </si>
  <si>
    <t>3794 Rosewood Ave, Los Angeles, CA 90066</t>
  </si>
  <si>
    <t>https://www.realtor.com/realestateandhomes-detail/3794-Rosewood-Ave_Los-Angeles_CA_90066_M20087-09585</t>
  </si>
  <si>
    <t>Brian Bush</t>
  </si>
  <si>
    <t>bbush@bush-properties.com</t>
  </si>
  <si>
    <t>Bush Properties</t>
  </si>
  <si>
    <t>2401 S Denison Ave, San Pedro, CA 90731</t>
  </si>
  <si>
    <t>https://www.realtor.com/realestateandhomes-detail/2401-S-Denison-Ave_San-Pedro_CA_90731_M95850-15177</t>
  </si>
  <si>
    <t>James Porter</t>
  </si>
  <si>
    <t>jim@porterheritage.com</t>
  </si>
  <si>
    <t>Porter Heritage</t>
  </si>
  <si>
    <t>751 Hartzell St, Pacific Palisades, CA 90272</t>
  </si>
  <si>
    <t>https://www.realtor.com/realestateandhomes-detail/751-Hartzell-St_Pacific-Palisades_CA_90272_M23125-45112</t>
  </si>
  <si>
    <t>Gabriela Labra</t>
  </si>
  <si>
    <t>gabylabra07@yahoo.com</t>
  </si>
  <si>
    <t>California Trust Realty, Inc.</t>
  </si>
  <si>
    <t>1649 S LA Brea Ave, Los Angeles, CA 90019</t>
  </si>
  <si>
    <t>https://www.realtor.com/realestateandhomes-detail/1649-S-LA-Brea-Ave_Los-Angeles_CA_90019_M92220-98658</t>
  </si>
  <si>
    <t>Everett Wong</t>
  </si>
  <si>
    <t>ewong@greysteel.com</t>
  </si>
  <si>
    <t>Greysteel California, Inc.</t>
  </si>
  <si>
    <t>560 N Tigertail Rd, Los Angeles, CA 90049</t>
  </si>
  <si>
    <t>https://www.realtor.com/realestateandhomes-detail/560-N-Tigertail-Rd_Los-Angeles_CA_90049_M14138-15185</t>
  </si>
  <si>
    <t>Jordana Leigh</t>
  </si>
  <si>
    <t>jleigh@theagencyre.com</t>
  </si>
  <si>
    <t>545 W 36th St, San Pedro, CA 90731</t>
  </si>
  <si>
    <t>https://www.realtor.com/realestateandhomes-detail/545-W-36th-St_San-Pedro_CA_90731_M12172-06157</t>
  </si>
  <si>
    <t>Larissa Rubijevsky</t>
  </si>
  <si>
    <t>Larissa@eplahomes.com</t>
  </si>
  <si>
    <t>429 Puerto Del Mar, Pacific Palisades, CA 90272</t>
  </si>
  <si>
    <t>https://www.realtor.com/realestateandhomes-detail/429-Puerto-Del-Mar_Pacific-Palisades_CA_90272_M28217-92439</t>
  </si>
  <si>
    <t>Chris Hicks</t>
  </si>
  <si>
    <t>chris@chrishickshomes.com</t>
  </si>
  <si>
    <t>1823 N Fuller Ave Unit 2, Los Angeles, CA 90046</t>
  </si>
  <si>
    <t>https://www.realtor.com/realestateandhomes-detail/1823-N-Fuller-Ave-Unit-2_Los-Angeles_CA_90046_M12996-95557</t>
  </si>
  <si>
    <t>Adam Kanizo</t>
  </si>
  <si>
    <t>ak@palomarealtypartners.com</t>
  </si>
  <si>
    <t>Paloma Realty Partners, Inc.</t>
  </si>
  <si>
    <t>1805 S New England St, Los Angeles, CA 90006</t>
  </si>
  <si>
    <t>https://www.realtor.com/realestateandhomes-detail/1805-S-New-England-St_Los-Angeles_CA_90006_M13620-99993</t>
  </si>
  <si>
    <t>Arash Pashaei</t>
  </si>
  <si>
    <t>arash.pashaei@camoves.com</t>
  </si>
  <si>
    <t>2477 Walnut Ave, Venice, CA 90291</t>
  </si>
  <si>
    <t>https://www.realtor.com/realestateandhomes-detail/2477-Walnut-Ave_Venice_CA_90291_M17182-96095</t>
  </si>
  <si>
    <t>JERRY JAFFE</t>
  </si>
  <si>
    <t>jaffehome@gmail.com</t>
  </si>
  <si>
    <t>6546 Colgate Ave, Los Angeles, CA 90048</t>
  </si>
  <si>
    <t>https://www.realtor.com/realestateandhomes-detail/6546-Colgate-Ave_Los-Angeles_CA_90048_M19059-88201</t>
  </si>
  <si>
    <t>Daniel Dahan</t>
  </si>
  <si>
    <t>daniel@wolfluxuryestates.com</t>
  </si>
  <si>
    <t>Wolf Luxury Estates</t>
  </si>
  <si>
    <t>850 Rome Dr, Los Angeles, CA 90065</t>
  </si>
  <si>
    <t>https://www.realtor.com/realestateandhomes-detail/850-Rome-Dr_Los-Angeles_CA_90065_M11734-88834</t>
  </si>
  <si>
    <t>Claire O'Connor</t>
  </si>
  <si>
    <t>claire.oconnor@sothebyshomes.com</t>
  </si>
  <si>
    <t>1628 Laraine Cir, San Pedro, CA 90732</t>
  </si>
  <si>
    <t>https://www.realtor.com/realestateandhomes-detail/1628-Laraine-Cir_San-Pedro_CA_90732_M16887-58021</t>
  </si>
  <si>
    <t>Wyatt Stucker</t>
  </si>
  <si>
    <t>wyatt.stucker@compass.com</t>
  </si>
  <si>
    <t>2201 S Ridgeley Dr, Los Angeles, CA 90016</t>
  </si>
  <si>
    <t>https://www.realtor.com/realestateandhomes-detail/2201-S-Ridgeley-Dr_Los-Angeles_CA_90016_M15079-96158</t>
  </si>
  <si>
    <t>Scott Butler</t>
  </si>
  <si>
    <t>scott@bedrockrealestategroup.com</t>
  </si>
  <si>
    <t>Bedrock Real Estate Group</t>
  </si>
  <si>
    <t>6735 Yucca St Unit 404, Hollywood, CA 90028</t>
  </si>
  <si>
    <t>https://www.realtor.com/realestateandhomes-detail/6735-Yucca-St-Unit-404_Hollywood_CA_90028_M24132-66180</t>
  </si>
  <si>
    <t>Khan Varnishung</t>
  </si>
  <si>
    <t>khan.v@compass.com</t>
  </si>
  <si>
    <t>811 W 97th St, Los Angeles, CA 90044</t>
  </si>
  <si>
    <t>https://www.realtor.com/realestateandhomes-detail/811-W-97th-St_Los-Angeles_CA_90044_M21124-33299</t>
  </si>
  <si>
    <t>Griffin White</t>
  </si>
  <si>
    <t>gwhite@brcadvisors.com</t>
  </si>
  <si>
    <t>3311 Adina Dr, Los Angeles, CA 90068</t>
  </si>
  <si>
    <t>https://www.realtor.com/realestateandhomes-detail/3311-Adina-Dr_Los-Angeles_CA_90068_M21475-01254</t>
  </si>
  <si>
    <t>Tyler Giles</t>
  </si>
  <si>
    <t>Tyler@nourmand.com</t>
  </si>
  <si>
    <t>10982 Roebling Ave Apt 434, Los Angeles, CA 90024</t>
  </si>
  <si>
    <t>https://www.realtor.com/realestateandhomes-detail/10982-Roebling-Ave-Apt-434_Los-Angeles_CA_90024_M12884-84349</t>
  </si>
  <si>
    <t>Maria Ballon</t>
  </si>
  <si>
    <t>maria.ballon@outlook.com</t>
  </si>
  <si>
    <t>3115 S Curts Ave, Los Angeles, CA 90034</t>
  </si>
  <si>
    <t>https://www.realtor.com/realestateandhomes-detail/3115-Curts-Ave_Los-Angeles_CA_90034_M19627-49306</t>
  </si>
  <si>
    <t>Vivian Lesny</t>
  </si>
  <si>
    <t>vlesny@me.com</t>
  </si>
  <si>
    <t>400 S Broadway, Los Angeles, CA 90013</t>
  </si>
  <si>
    <t>https://www.realtor.com/realestateandhomes-detail/400-S-Broadway_Los-Angeles_CA_90013_M93455-36265</t>
  </si>
  <si>
    <t>Mercedes Sanchez</t>
  </si>
  <si>
    <t>mercedes@nestseekers.com</t>
  </si>
  <si>
    <t>8356 W 4th St, Los Angeles, CA 90048</t>
  </si>
  <si>
    <t>https://www.realtor.com/realestateandhomes-detail/8356-W-4th-St_Los-Angeles_CA_90048_M19242-85778</t>
  </si>
  <si>
    <t>Todd Michaud</t>
  </si>
  <si>
    <t>ToddMichaud.LA@gmail.com</t>
  </si>
  <si>
    <t>2745 LA Cuesta Dr, Los Angeles, CA 90046</t>
  </si>
  <si>
    <t>https://www.realtor.com/realestateandhomes-detail/2745-LA-Cuesta-Dr_Los-Angeles_CA_90046_M11465-71452</t>
  </si>
  <si>
    <t>Jessica Ezor</t>
  </si>
  <si>
    <t>jessicaezor@gmail.com</t>
  </si>
  <si>
    <t>1314 Cabrillo Ave, Venice, CA 90291</t>
  </si>
  <si>
    <t>https://www.realtor.com/realestateandhomes-detail/1314-Cabrillo-Ave_Venice_CA_90291_M17415-50043</t>
  </si>
  <si>
    <t>Monte Hartman</t>
  </si>
  <si>
    <t>monte.hartman@camoves.com</t>
  </si>
  <si>
    <t>4199 Saltillo St, Woodland Hills, CA 91364</t>
  </si>
  <si>
    <t>https://www.realtor.com/realestateandhomes-detail/4199-Saltillo-St_Woodland-Hills_CA_91364_M26966-02502</t>
  </si>
  <si>
    <t>Maile (My-Lee) Bryant</t>
  </si>
  <si>
    <t>maile@petecastro.com</t>
  </si>
  <si>
    <t>9200 Westminster Blvd Spc 71, Westminster, CA 92683</t>
  </si>
  <si>
    <t>https://www.realtor.com/realestateandhomes-detail/9200-Westminster-Blvd-Spc-71_Westminster_CA_92683_M20925-97514</t>
  </si>
  <si>
    <t>Lieu Nguyen</t>
  </si>
  <si>
    <t>lieu.laura.nguyen@gmail.com</t>
  </si>
  <si>
    <t>3084 Franklin Canyon Dr, Beverly Hills, CA 90210</t>
  </si>
  <si>
    <t>https://www.realtor.com/realestateandhomes-detail/3084-Franklin-Canyon-Dr_Beverly-Hills_CA_90210_M24615-05307</t>
  </si>
  <si>
    <t>Tatiana Derovanessian</t>
  </si>
  <si>
    <t>tatiana@dreamlivingLA.com</t>
  </si>
  <si>
    <t>1361 S Tremaine Ave, Los Angeles, CA 90019</t>
  </si>
  <si>
    <t>https://www.realtor.com/realestateandhomes-detail/1361-S-Tremaine-Ave-1_Los-Angeles_CA_90019_M13471-31924</t>
  </si>
  <si>
    <t>Deborah Wolsh</t>
  </si>
  <si>
    <t>deborah@morgan-re.com</t>
  </si>
  <si>
    <t>8221 Langdon Ave Unit 201, Van Nuys, CA 91406</t>
  </si>
  <si>
    <t>https://www.realtor.com/realestateandhomes-detail/8221-Langdon-Ave-Unit-201_Van-Nuys_CA_91406_M29947-19711</t>
  </si>
  <si>
    <t>Rhonda DeVictor</t>
  </si>
  <si>
    <t>rdvrealestate@gmail.com</t>
  </si>
  <si>
    <t>1321 Via Sebastian Unit 12, San Pedro, CA 90732</t>
  </si>
  <si>
    <t>https://www.realtor.com/realestateandhomes-detail/1321-Via-Sebastian-Unit-12_San-Pedro_CA_90732_M26942-15894</t>
  </si>
  <si>
    <t>Gabrielle Herendeen</t>
  </si>
  <si>
    <t>gabrielle.herendeen@remax.net</t>
  </si>
  <si>
    <t>Jordan Rubinstein</t>
  </si>
  <si>
    <t>JLR@centuryparkre.com</t>
  </si>
  <si>
    <t>Mike Udem</t>
  </si>
  <si>
    <t>mike@mikeudem.com</t>
  </si>
  <si>
    <t>1139 E 82nd St, Los Angeles, CA 90001</t>
  </si>
  <si>
    <t>https://www.realtor.com/realestateandhomes-detail/1139-E-82nd-St_Los-Angeles_CA_90001_M13682-32426</t>
  </si>
  <si>
    <t>GUSTAVO CARDENAS</t>
  </si>
  <si>
    <t>Gustavo@CardenasHomes.com</t>
  </si>
  <si>
    <t>4036 Sunswept Dr, Studio City, CA 91604</t>
  </si>
  <si>
    <t>https://www.realtor.com/realestateandhomes-detail/4036-Sunswept-Dr_Studio-City_CA_91604_M10210-06745</t>
  </si>
  <si>
    <t>Michael Hardy</t>
  </si>
  <si>
    <t>michaelhardyestates@gmail.com</t>
  </si>
  <si>
    <t>18073 Sandy Cape Dr, Pacific Palisades, CA 90272</t>
  </si>
  <si>
    <t>https://www.realtor.com/realestateandhomes-detail/18073-Sandy-Cape-Dr_Pacific-Palisades_CA_90272_M12886-22927</t>
  </si>
  <si>
    <t>Allen Sarlo</t>
  </si>
  <si>
    <t>allensarlo@gmail.com</t>
  </si>
  <si>
    <t>664 Las Lomas Ave, Pacific Palisades, CA 90272</t>
  </si>
  <si>
    <t>https://www.realtor.com/realestateandhomes-detail/664-Las-Lomas-Ave_Pacific-Palisades_CA_90272_M29019-88748</t>
  </si>
  <si>
    <t>PENCE HATHORN SILVER</t>
  </si>
  <si>
    <t>ss@phsrealty.com</t>
  </si>
  <si>
    <t>1018 Maroney Ln, Pacific Palisades, CA 90272</t>
  </si>
  <si>
    <t>https://www.realtor.com/realestateandhomes-detail/1018-Maroney-Ln_Pacific-Palisades_CA_90272_M29988-05666</t>
  </si>
  <si>
    <t>John Snyder</t>
  </si>
  <si>
    <t>john.snyder@sothebyshomes.com</t>
  </si>
  <si>
    <t>1115 N Bundy Dr, Los Angeles, CA 90049</t>
  </si>
  <si>
    <t>https://www.realtor.com/realestateandhomes-detail/1115-N-Bundy-Dr_Los-Angeles_CA_90049_M17253-05241</t>
  </si>
  <si>
    <t>Mary Beth Woods</t>
  </si>
  <si>
    <t>mwoods@marybethwoods.com</t>
  </si>
  <si>
    <t>750 Via Santa Ynez, Pacific Palisades, CA 90272</t>
  </si>
  <si>
    <t>https://www.realtor.com/realestateandhomes-detail/750-Via-Santa-Ynez_Pacific-Palisades_CA_90272_M98286-47244</t>
  </si>
  <si>
    <t>Brooke A. Elliott</t>
  </si>
  <si>
    <t>brooke@brookeaelliott.com</t>
  </si>
  <si>
    <t>1242 S Barrington Ave Apt 205, Los Angeles, CA 90025</t>
  </si>
  <si>
    <t>https://www.realtor.com/realestateandhomes-detail/1242-S-Barrington-Ave-Apt-205_Los-Angeles_CA_90025_M10146-19292</t>
  </si>
  <si>
    <t>Hofit Kahn</t>
  </si>
  <si>
    <t>hofit.kahn@gmail.com</t>
  </si>
  <si>
    <t>1054 W 81st Pl, Los Angeles, CA 90044</t>
  </si>
  <si>
    <t>https://www.realtor.com/realestateandhomes-detail/1054-W-81st-Pl_Los-Angeles_CA_90044_M15087-62296</t>
  </si>
  <si>
    <t>Gerry Nicks</t>
  </si>
  <si>
    <t>gerrynicksteam@gmail.com</t>
  </si>
  <si>
    <t>800 N Formosa Ave, Los Angeles, CA 90046</t>
  </si>
  <si>
    <t>https://www.realtor.com/realestateandhomes-detail/800-N-Formosa-Ave_Los-Angeles_CA_90046_M22351-58271</t>
  </si>
  <si>
    <t>Frederic Rello</t>
  </si>
  <si>
    <t>fred@FBCrealtygroup.com</t>
  </si>
  <si>
    <t>3 Leaf Realty, Inc.</t>
  </si>
  <si>
    <t>3611 Meisner St, Los Angeles, CA 90063</t>
  </si>
  <si>
    <t>https://www.realtor.com/realestateandhomes-detail/3611-Meisner-St_Los-Angeles_CA_90063_M97303-36809</t>
  </si>
  <si>
    <t>Jeff Curtis</t>
  </si>
  <si>
    <t>jeff@jeffcurtisteam.com</t>
  </si>
  <si>
    <t>2637 S Redondo Blvd, Los Angeles, CA 90016</t>
  </si>
  <si>
    <t>https://www.realtor.com/realestateandhomes-detail/2637-S-Redondo-Blvd_Los-Angeles_CA_90016_M29434-91635</t>
  </si>
  <si>
    <t>Jordan Peikin</t>
  </si>
  <si>
    <t>jordanp@clementpartners.com</t>
  </si>
  <si>
    <t>6110 N DE Longpre Ave, Los Angeles, CA 90028</t>
  </si>
  <si>
    <t>https://www.realtor.com/realestateandhomes-detail/6110-De-Longpre-Ave_Los-Angeles_CA_90028_M26918-52395</t>
  </si>
  <si>
    <t>Jennifer Saginor</t>
  </si>
  <si>
    <t>jennifersaginor@aol.com</t>
  </si>
  <si>
    <t>620 Harbor St Apt 6, Venice, CA 90291</t>
  </si>
  <si>
    <t>https://www.realtor.com/realestateandhomes-detail/620-Harbor-St-Apt-6_Venice_CA_90291_M14151-00387</t>
  </si>
  <si>
    <t>Christopher Rubio</t>
  </si>
  <si>
    <t>rubio.realestate@gmail.com</t>
  </si>
  <si>
    <t>Rubio Real Estate</t>
  </si>
  <si>
    <t>5346 Franklin Ave, Los Angeles, CA 90027</t>
  </si>
  <si>
    <t>https://www.realtor.com/realestateandhomes-detail/5346-Franklin-Ave_Los-Angeles_CA_90027_M26926-72246</t>
  </si>
  <si>
    <t>Jacob Zacuto</t>
  </si>
  <si>
    <t>jake@zacutogroup.com</t>
  </si>
  <si>
    <t>Zacuto Group</t>
  </si>
  <si>
    <t>1001 and 1005 W G St, Wilmington, CA 90744</t>
  </si>
  <si>
    <t>https://www.realtor.com/realestateandhomes-detail/1001-W-G-St_Wilmington_CA_90744_M15683-41181</t>
  </si>
  <si>
    <t>Josh S Cohen</t>
  </si>
  <si>
    <t>josh@cohengroupla.com</t>
  </si>
  <si>
    <t>16645 Akron St, Pacific Palisades, CA 90272</t>
  </si>
  <si>
    <t>https://www.realtor.com/realestateandhomes-detail/16645-Akron-St_Pacific-Palisades_CA_90272_M29369-81468</t>
  </si>
  <si>
    <t>Fiora Aston</t>
  </si>
  <si>
    <t>fioraaston@me.com</t>
  </si>
  <si>
    <t>501 Palisades Dr Apt 219, Pacific Palisades, CA 90272</t>
  </si>
  <si>
    <t>https://www.realtor.com/realestateandhomes-detail/501-Palisades-Dr-Apt-219_Pacific-Palisades_CA_90272_M29127-58605</t>
  </si>
  <si>
    <t>Sanda Alcalay</t>
  </si>
  <si>
    <t>Sanda.Alcalay@sothebyshomes.com</t>
  </si>
  <si>
    <t>1528 N Curson Ave, Los Angeles, CA 90046</t>
  </si>
  <si>
    <t>https://www.realtor.com/realestateandhomes-detail/1528-N-Curson-Ave_Los-Angeles_CA_90046_M27508-07116</t>
  </si>
  <si>
    <t>Trenten Rocha</t>
  </si>
  <si>
    <t>trenten.rocha@gmail.com</t>
  </si>
  <si>
    <t>637 W 11th St, San Pedro, CA 90731</t>
  </si>
  <si>
    <t>https://www.realtor.com/realestateandhomes-detail/637-W-11th-St_San-Pedro_CA_90731_M29674-12518</t>
  </si>
  <si>
    <t>Laina Califano</t>
  </si>
  <si>
    <t>lainacalifano@gmail.com</t>
  </si>
  <si>
    <t>Califano Realty</t>
  </si>
  <si>
    <t>32 Galleon St, Marina del Rey, CA 90292</t>
  </si>
  <si>
    <t>https://www.realtor.com/realestateandhomes-detail/32-Galleon-St_Marina-Del-Rey_CA_90292_M13312-52016</t>
  </si>
  <si>
    <t>Jonathan Pearson</t>
  </si>
  <si>
    <t>Jonathan.Pearson@elliman.com</t>
  </si>
  <si>
    <t>19717 Wells Dr, Woodland Hills, CA 91364</t>
  </si>
  <si>
    <t>https://www.realtor.com/realestateandhomes-detail/19717-Wells-Dr_Woodland-Hills_CA_91364_M16783-94420</t>
  </si>
  <si>
    <t>Jordan Bridges</t>
  </si>
  <si>
    <t>jordan.bridges@compass.com</t>
  </si>
  <si>
    <t>5810 S Halm Ave, Los Angeles, CA 90056</t>
  </si>
  <si>
    <t>https://www.realtor.com/realestateandhomes-detail/5810-S-Halm-Ave_Los-Angeles_CA_90056_M10471-21949</t>
  </si>
  <si>
    <t>Casundra Renteria</t>
  </si>
  <si>
    <t>info@whizre.com</t>
  </si>
  <si>
    <t>Whiz Realty, Inc</t>
  </si>
  <si>
    <t>880 W 1st St Apt 712, Los Angeles, CA 90012</t>
  </si>
  <si>
    <t>https://www.realtor.com/realestateandhomes-detail/880-W-1st-St-Apt-712_Los-Angeles_CA_90012_M19313-01923</t>
  </si>
  <si>
    <t>Chad Schlotterback</t>
  </si>
  <si>
    <t>chadschlotterback@gmail.com</t>
  </si>
  <si>
    <t>JohnHart Corp.</t>
  </si>
  <si>
    <t>547 Loring Ave, Los Angeles, CA 90024</t>
  </si>
  <si>
    <t>https://www.realtor.com/realestateandhomes-detail/547-Loring-Ave_Los-Angeles_CA_90024_M14946-03164</t>
  </si>
  <si>
    <t>Jane Gavens</t>
  </si>
  <si>
    <t>janegavens@gmail.com</t>
  </si>
  <si>
    <t>2940 N Beachwood Dr, Los Angeles, CA 90068</t>
  </si>
  <si>
    <t>https://www.realtor.com/realestateandhomes-detail/2940-N-Beachwood-Dr_Los-Angeles_CA_90068_M13140-81863</t>
  </si>
  <si>
    <t>Jay Evan Schoenfeldt</t>
  </si>
  <si>
    <t>jay@brickandmortarinc.com</t>
  </si>
  <si>
    <t>Brick and Mortar Real Estate</t>
  </si>
  <si>
    <t>20224 Chapter Dr, Woodland Hills, CA 91364</t>
  </si>
  <si>
    <t>https://www.realtor.com/realestateandhomes-detail/20224-Chapter-Dr_Woodland-Hills_CA_91364_M19681-74389</t>
  </si>
  <si>
    <t>Alice Cernea</t>
  </si>
  <si>
    <t>OnlyOneAlice@gmail.com</t>
  </si>
  <si>
    <t>Jessica Furey</t>
  </si>
  <si>
    <t>jessica.furey@gmail.com</t>
  </si>
  <si>
    <t>1180 Fiske St, Pacific Palisades, CA 90272</t>
  </si>
  <si>
    <t>https://www.realtor.com/realestateandhomes-detail/1180-Fiske-St_Pacific-Palisades_CA_90272_M10411-77069</t>
  </si>
  <si>
    <t>Matthew Paul</t>
  </si>
  <si>
    <t>MatthewTPaul@gmail.com</t>
  </si>
  <si>
    <t>3732 N Knobhill Dr, Sherman Oaks, CA 91423</t>
  </si>
  <si>
    <t>https://www.realtor.com/realestateandhomes-detail/3732-Knobhill-Dr_Sherman-Oaks_CA_91423_M28005-04138</t>
  </si>
  <si>
    <t>Amber Ryland</t>
  </si>
  <si>
    <t>rylandrealestate@gmail.com</t>
  </si>
  <si>
    <t>10724 Wilshire Blvd Apt 1501, Los Angeles, CA 90024</t>
  </si>
  <si>
    <t>https://www.realtor.com/realestateandhomes-detail/10724-Wilshire-Blvd-Apt-1501_Los-Angeles_CA_90024_M29630-77440</t>
  </si>
  <si>
    <t>Nichole Shanfeld</t>
  </si>
  <si>
    <t>nichole.shanfeld@sothebys.realty</t>
  </si>
  <si>
    <t>16788 Charmel Ln, Pacific Palisades, CA 90272</t>
  </si>
  <si>
    <t>https://www.realtor.com/realestateandhomes-detail/16788-Charmel-Ln_Pacific-Palisades_CA_90272_M10225-44097</t>
  </si>
  <si>
    <t>Wheeler Coberly</t>
  </si>
  <si>
    <t>wheeler.coberly@gmail.com</t>
  </si>
  <si>
    <t>3457 Maplewood Ave, Los Angeles, CA 90066</t>
  </si>
  <si>
    <t>https://www.realtor.com/realestateandhomes-detail/3457-Maplewood-Ave_Los-Angeles_CA_90066_M19270-59905</t>
  </si>
  <si>
    <t>Dana Cataldi</t>
  </si>
  <si>
    <t>dana.cataldi@thepartnerstrust.com</t>
  </si>
  <si>
    <t>Pete Castro</t>
  </si>
  <si>
    <t>pete@petecastro.com</t>
  </si>
  <si>
    <t>1072 Amalfi Dr, Pacific Palisades, CA 90272</t>
  </si>
  <si>
    <t>https://www.realtor.com/realestateandhomes-detail/1072-Amalfi-Dr_Pacific-Palisades_CA_90272_M10861-94327</t>
  </si>
  <si>
    <t>Timothy Mullin</t>
  </si>
  <si>
    <t>tim@timmullinproperties.com</t>
  </si>
  <si>
    <t>2385 Roscomare Rd Unit D3, Los Angeles, CA 90077</t>
  </si>
  <si>
    <t>https://www.realtor.com/realestateandhomes-detail/2385-Roscomare-Rd-Unit-D3_Los-Angeles_CA_90077_M20192-33102</t>
  </si>
  <si>
    <t>Mark Rutstein</t>
  </si>
  <si>
    <t>mark@rutsteinholcomb.com</t>
  </si>
  <si>
    <t>3075 Nicada Dr, Los Angeles, CA 90077</t>
  </si>
  <si>
    <t>https://www.realtor.com/realestateandhomes-detail/3075-Nicada-Dr_Los-Angeles_CA_90077_M20172-11293</t>
  </si>
  <si>
    <t>Michelle Oliver</t>
  </si>
  <si>
    <t>Michelle.Oliver@elliman.com</t>
  </si>
  <si>
    <t>3117 Bagley Ave Unit 1-2, Los Angeles, CA 90034</t>
  </si>
  <si>
    <t>https://www.realtor.com/realestateandhomes-detail/3117-Bagley-Ave_Los-Angeles_CA_90034_M20148-09827</t>
  </si>
  <si>
    <t>Shiva Mehrdad</t>
  </si>
  <si>
    <t>shivayadid@gmail.com</t>
  </si>
  <si>
    <t>2641 Hutton Dr, Beverly Hills, CA 90210</t>
  </si>
  <si>
    <t>https://www.realtor.com/realestateandhomes-detail/2641-Hutton-Dr_Beverly-Hills_CA_90210_M24229-72323</t>
  </si>
  <si>
    <t>Michael Carter</t>
  </si>
  <si>
    <t>mc@michaelcarterre.com</t>
  </si>
  <si>
    <t>13107 Jarvis Ave, Los Angeles, CA 90061</t>
  </si>
  <si>
    <t>https://www.realtor.com/realestateandhomes-detail/13107-Jarvis-Ave_Los-Angeles_CA_90061_M13722-83042</t>
  </si>
  <si>
    <t>Noe Blanco</t>
  </si>
  <si>
    <t>noeb520@aol.com</t>
  </si>
  <si>
    <t>Re/Max Alliance Group</t>
  </si>
  <si>
    <t>1703 Pescadores Ave, San Pedro, CA 90732</t>
  </si>
  <si>
    <t>https://www.realtor.com/realestateandhomes-detail/1703-Pescadores-Ave_San-Pedro_CA_90732_M18646-90535</t>
  </si>
  <si>
    <t>Matteo Bommarito</t>
  </si>
  <si>
    <t>matteobommarito@yahoo.com</t>
  </si>
  <si>
    <t>3719 Woolwine Dr, Los Angeles, CA 90063</t>
  </si>
  <si>
    <t>https://www.realtor.com/realestateandhomes-detail/3719-Woolwine-Dr_Los-Angeles_CA_90063_M96013-61262</t>
  </si>
  <si>
    <t>Devon Sutton</t>
  </si>
  <si>
    <t>devon.sutton@vistasir.com</t>
  </si>
  <si>
    <t>Vista Sotheby's International Realty</t>
  </si>
  <si>
    <t>5339 Newcastle Ave Unit 103, Encino, CA 91316</t>
  </si>
  <si>
    <t>https://www.realtor.com/realestateandhomes-detail/5339-Newcastle-Ave-Unit-103_Encino_CA_91316_M16029-68153</t>
  </si>
  <si>
    <t>Mo Sharifi</t>
  </si>
  <si>
    <t>sharifi90278@gmail.com</t>
  </si>
  <si>
    <t>12846 Short Ave, Los Angeles, CA 90066</t>
  </si>
  <si>
    <t>https://www.realtor.com/realestateandhomes-detail/12846-Short-Ave_Los-Angeles_CA_90066_M12495-65070</t>
  </si>
  <si>
    <t>Janette Marie Reimer</t>
  </si>
  <si>
    <t>janette@morgan55inc.com</t>
  </si>
  <si>
    <t>844 N Harper Ave, Los Angeles, CA 90046</t>
  </si>
  <si>
    <t>https://www.realtor.com/realestateandhomes-detail/844-N-Harper-Ave_Los-Angeles_CA_90046_M24319-59712</t>
  </si>
  <si>
    <t>Marcy Roth</t>
  </si>
  <si>
    <t>Marcy.Roth@elliman.com</t>
  </si>
  <si>
    <t>1421 W Sunrise Ln, San Pedro, CA 90732</t>
  </si>
  <si>
    <t>https://www.realtor.com/realestateandhomes-detail/1421-W-Sunrise-Ln_San-Pedro_CA_90732_M96453-15019</t>
  </si>
  <si>
    <t>Rick Wilkinson</t>
  </si>
  <si>
    <t>rick.wilkinson@redfin.com</t>
  </si>
  <si>
    <t>14629 Erwin St, Van Nuys, CA 91411</t>
  </si>
  <si>
    <t>https://www.realtor.com/realestateandhomes-detail/14629-Erwin-St_Van-Nuys_CA_91411_M15283-13097</t>
  </si>
  <si>
    <t>Scott Rosenberg</t>
  </si>
  <si>
    <t>admin@rcre.co</t>
  </si>
  <si>
    <t>1613 Veridian Ln, San Pedro, CA 90732</t>
  </si>
  <si>
    <t>https://www.realtor.com/realestateandhomes-detail/1613-Veridian-Ln_San-Pedro_CA_90732_M94323-62354</t>
  </si>
  <si>
    <t>Stella Kim</t>
  </si>
  <si>
    <t>stellakim153@yahoo.com</t>
  </si>
  <si>
    <t>Re/Max Estate Properties</t>
  </si>
  <si>
    <t>1415 Anaheim St, Harbor City, CA 90710</t>
  </si>
  <si>
    <t>https://www.realtor.com/realestateandhomes-detail/1415-Anaheim-St_Harbor-City_CA_90710_M16263-31514</t>
  </si>
  <si>
    <t>Teresa Schweyer</t>
  </si>
  <si>
    <t>teresaschweyer@yahoo.com</t>
  </si>
  <si>
    <t>Juanita Stucker</t>
  </si>
  <si>
    <t>stuckers@cox.net</t>
  </si>
  <si>
    <t>700 W 78th St, Los Angeles, CA 90044</t>
  </si>
  <si>
    <t>https://www.realtor.com/realestateandhomes-detail/700-W-78th-St_Los-Angeles_CA_90044_M11252-95747</t>
  </si>
  <si>
    <t>Kimberly Martin-Bragg</t>
  </si>
  <si>
    <t>kbsbragg@aol.com</t>
  </si>
  <si>
    <t>1130 S Flower St Apt 208, Los Angeles, CA 90015</t>
  </si>
  <si>
    <t>https://www.realtor.com/realestateandhomes-detail/1130-S-Flower-St-Apt-208_Los-Angeles_CA_90015_M19041-21296</t>
  </si>
  <si>
    <t>Jordan Piekarski</t>
  </si>
  <si>
    <t>jordan@dpgestates.com</t>
  </si>
  <si>
    <t>12600 Appleton Way, Los Angeles, CA 90066</t>
  </si>
  <si>
    <t>https://www.realtor.com/realestateandhomes-detail/12600-Appleton-Way_Los-Angeles_CA_90066_M21561-70920</t>
  </si>
  <si>
    <t>Ren Smith</t>
  </si>
  <si>
    <t>ren@rensmith.com</t>
  </si>
  <si>
    <t>D. Timothy Byrne</t>
  </si>
  <si>
    <t>tim.byrne@thepartnerstrust.com</t>
  </si>
  <si>
    <t>12542 Brooklake St, Los Angeles, CA 90066</t>
  </si>
  <si>
    <t>https://www.realtor.com/realestateandhomes-detail/12542-Brooklake-St_Los-Angeles_CA_90066_M20478-76091</t>
  </si>
  <si>
    <t>Renate Lichter</t>
  </si>
  <si>
    <t>renatelichter@msn.com</t>
  </si>
  <si>
    <t>1724 Freeport Ter, San Pedro, CA 90732</t>
  </si>
  <si>
    <t>https://www.realtor.com/realestateandhomes-detail/1724-Freeport-Ter_San-Pedro_CA_90732_M17925-74884</t>
  </si>
  <si>
    <t>Jerry Hsu</t>
  </si>
  <si>
    <t>hsu8@sbcglobal.net</t>
  </si>
  <si>
    <t>Efortune Realty, Inc.</t>
  </si>
  <si>
    <t>2334 Vestal Ave, Silver Lakes, CA 90026</t>
  </si>
  <si>
    <t>https://www.realtor.com/realestateandhomes-detail/2334-Vestal-Ave_Los-Angeles_CA_90026_M28739-45163</t>
  </si>
  <si>
    <t>Sean Haghi</t>
  </si>
  <si>
    <t>sean@elementsre.com</t>
  </si>
  <si>
    <t>Elements Real Estate</t>
  </si>
  <si>
    <t>2450 Corinth Ave, Los Angeles, CA 90064</t>
  </si>
  <si>
    <t>https://www.realtor.com/realestateandhomes-detail/2450-Corinth-Ave_Los-Angeles_CA_90064_M24997-25643</t>
  </si>
  <si>
    <t>Gavaska Williams</t>
  </si>
  <si>
    <t>bounce@bouncewilliams.com</t>
  </si>
  <si>
    <t>850 Jacon Way, Pacific Palisades, CA 90272</t>
  </si>
  <si>
    <t>https://www.realtor.com/realestateandhomes-detail/850-Jacon-Way_Pacific-Palisades_CA_90272_M29417-88774</t>
  </si>
  <si>
    <t>Shelly Yrigoyen</t>
  </si>
  <si>
    <t>shelly@malibupointrealty.com</t>
  </si>
  <si>
    <t>Sotheby's International Realty - Malibu Brokerage</t>
  </si>
  <si>
    <t>898 Temple Ter Unit 125, Los Angeles, CA 90042</t>
  </si>
  <si>
    <t>https://www.realtor.com/realestateandhomes-detail/898-Temple-Ter-Unit-125_Los-Angeles_CA_90042_M17590-71334</t>
  </si>
  <si>
    <t>Prudence Stein-Greene</t>
  </si>
  <si>
    <t>hello@prudencesteingreene.com</t>
  </si>
  <si>
    <t>4735 La Villa Marina Unit D, Marina del Rey, CA 90292</t>
  </si>
  <si>
    <t>https://www.realtor.com/realestateandhomes-detail/4735-La-Villa-Marina-Unit-D_Marina-Del-Rey_CA_90292_M13209-29350</t>
  </si>
  <si>
    <t>Melissa Improta</t>
  </si>
  <si>
    <t>missy@improta.com</t>
  </si>
  <si>
    <t>Jason Improta</t>
  </si>
  <si>
    <t>jason@improta.com</t>
  </si>
  <si>
    <t>515 Muskingum Ave, Pacific Palisades, CA 90272</t>
  </si>
  <si>
    <t>https://www.realtor.com/realestateandhomes-detail/515-Muskingum-Ave_Pacific-Palisades_CA_90272_M25614-54033</t>
  </si>
  <si>
    <t>David Behrend</t>
  </si>
  <si>
    <t>ayiskee@aol.com</t>
  </si>
  <si>
    <t>2163 San Ysidro Dr, Beverly Hills, CA 90210</t>
  </si>
  <si>
    <t>https://www.realtor.com/realestateandhomes-detail/2163-San-Ysidro-Dr_Beverly-Hills_CA_90210_M24103-76435</t>
  </si>
  <si>
    <t>Iman Eshaghyan</t>
  </si>
  <si>
    <t>Iman.Eshaghyan@cbcnrt.com</t>
  </si>
  <si>
    <t>8405 McKinley Ave, Los Angeles, CA 90001</t>
  </si>
  <si>
    <t>https://www.realtor.com/realestateandhomes-detail/8405-McKinley-Ave_Los-Angeles_CA_90001_M13817-59964</t>
  </si>
  <si>
    <t>MIGUEL SEPULVEDA</t>
  </si>
  <si>
    <t>mabsepulveda@gmail.com</t>
  </si>
  <si>
    <t>Sepulveda Realty Inc.</t>
  </si>
  <si>
    <t>2220 Avenue of the Stars Unit 205, Los Angeles, CA 90067</t>
  </si>
  <si>
    <t>https://www.realtor.com/realestateandhomes-detail/2220-Avenue-of-the-Stars-Unit-205_Los-Angeles_CA_90067_M26273-50124</t>
  </si>
  <si>
    <t>Heather Shawver</t>
  </si>
  <si>
    <t>shawver@theheathergroup.com</t>
  </si>
  <si>
    <t>6304 W 79th St, Los Angeles, CA 90045</t>
  </si>
  <si>
    <t>https://www.realtor.com/realestateandhomes-detail/6304-W-79th-St_Los-Angeles_CA_90045_M13841-92399</t>
  </si>
  <si>
    <t>Kimberly and Tom Marvich</t>
  </si>
  <si>
    <t>kim@teammarvich.com</t>
  </si>
  <si>
    <t>Patricia Hamada</t>
  </si>
  <si>
    <t>Hamada@themls.com</t>
  </si>
  <si>
    <t>9332 Van Nuys Blvd Unit 69, Panorama City, CA 91402</t>
  </si>
  <si>
    <t>https://www.realtor.com/realestateandhomes-detail/9332-Van-Nuys-Blvd-Unit-69_Panorama-City_CA_91402_M25479-11974</t>
  </si>
  <si>
    <t>Seann Brown</t>
  </si>
  <si>
    <t>seann@seannhomes.com</t>
  </si>
  <si>
    <t>5441 Blackwelder St, Los Angeles, CA 90016</t>
  </si>
  <si>
    <t>https://www.realtor.com/realestateandhomes-detail/5441-Blackwelder-St_Los-Angeles_CA_90016_M29313-80204</t>
  </si>
  <si>
    <t>Nebiyou Mesfin</t>
  </si>
  <si>
    <t>neb@blueoceanfc.com</t>
  </si>
  <si>
    <t>4645 Petit Ave, Encino, CA 91436</t>
  </si>
  <si>
    <t>https://www.realtor.com/realestateandhomes-detail/4645-Petit-Ave_Encino_CA_91436_M10402-66942</t>
  </si>
  <si>
    <t>Michael Cohen</t>
  </si>
  <si>
    <t>mike.cohen@compass.com</t>
  </si>
  <si>
    <t>9112 Gibson St, Los Angeles, CA 90034</t>
  </si>
  <si>
    <t>https://www.realtor.com/realestateandhomes-detail/9112-Gibson-St_Los-Angeles_CA_90034_M16981-23848</t>
  </si>
  <si>
    <t>Elana Fullmer</t>
  </si>
  <si>
    <t>elana@gibsonintl.com</t>
  </si>
  <si>
    <t>1297 Marinette Rd, Pacific Palisades, CA 90272</t>
  </si>
  <si>
    <t>https://www.realtor.com/realestateandhomes-detail/1297-Marinette-Rd_Pacific-Palisades_CA_90272_M10055-50827</t>
  </si>
  <si>
    <t>Matthew O'Keefe</t>
  </si>
  <si>
    <t>matthew@matthewokeefe.com</t>
  </si>
  <si>
    <t>2345 S Garth Ave, Los Angeles, CA 90034</t>
  </si>
  <si>
    <t>https://www.realtor.com/realestateandhomes-detail/2345-S-Garth-Ave_Los-Angeles_CA_90034_M17387-06459</t>
  </si>
  <si>
    <t>Brad Downs</t>
  </si>
  <si>
    <t>brad_downs@hotmail.com</t>
  </si>
  <si>
    <t>8617 Olin St, Los Angeles, CA 90034</t>
  </si>
  <si>
    <t>https://www.realtor.com/realestateandhomes-detail/8617-Olin-St_Los-Angeles_CA_90034_M15336-72392</t>
  </si>
  <si>
    <t>Regina Vannicola</t>
  </si>
  <si>
    <t>regina@reginavannicola.com</t>
  </si>
  <si>
    <t>5012 Enfield Ave, Encino, CA 91316</t>
  </si>
  <si>
    <t>https://www.realtor.com/realestateandhomes-detail/5012-Enfield-Ave_Encino_CA_91316_M21271-88166</t>
  </si>
  <si>
    <t>Amy Yang</t>
  </si>
  <si>
    <t>yangamy24@gmail.com</t>
  </si>
  <si>
    <t>1500 E Spruce St Unit D, Placentia, CA 92870</t>
  </si>
  <si>
    <t>https://www.realtor.com/realestateandhomes-detail/1500-E-Spruce-St-Unit-D_Placentia_CA_92870_M26701-48971</t>
  </si>
  <si>
    <t>Mia Fukumoto</t>
  </si>
  <si>
    <t>mia.kimiye@gmail.com</t>
  </si>
  <si>
    <t>1622 E 88th St, Los Angeles, CA 90002</t>
  </si>
  <si>
    <t>https://www.realtor.com/realestateandhomes-detail/1622-E-88th-St_Los-Angeles_CA_90002_M18170-26172</t>
  </si>
  <si>
    <t>Cajetan Alufuo</t>
  </si>
  <si>
    <t>calufuo@yahoo.com</t>
  </si>
  <si>
    <t>Zenith Homes &amp; Mortgage</t>
  </si>
  <si>
    <t>1347 N Mansfield Ave, Los Angeles, CA 90028</t>
  </si>
  <si>
    <t>https://www.realtor.com/realestateandhomes-detail/1347-N-Mansfield-Ave_Los-Angeles_CA_90028_M27198-39118</t>
  </si>
  <si>
    <t>Lily Vosough</t>
  </si>
  <si>
    <t>lvosough@gmail.com</t>
  </si>
  <si>
    <t>1661 Arlington Ave, Los Angeles, CA 90019</t>
  </si>
  <si>
    <t>https://www.realtor.com/realestateandhomes-detail/1661-Arlington-Ave_Los-Angeles_CA_90019_M18158-87375</t>
  </si>
  <si>
    <t>Walner H. Hernandez</t>
  </si>
  <si>
    <t>wallyhomeskw@gmail.com</t>
  </si>
  <si>
    <t>Keller Williams World Media C</t>
  </si>
  <si>
    <t>1810 W Bushell St, Anaheim, CA 92805</t>
  </si>
  <si>
    <t>https://www.realtor.com/realestateandhomes-detail/1810-W-Bushell-St_Anaheim_CA_92805_M97518-69028</t>
  </si>
  <si>
    <t>Kenneth Harter</t>
  </si>
  <si>
    <t>kennethharter@hotmail.com</t>
  </si>
  <si>
    <t>Kenneth Harter, Broker</t>
  </si>
  <si>
    <t>303 Venice Way, Venice, CA 90291</t>
  </si>
  <si>
    <t>https://www.realtor.com/realestateandhomes-detail/303-Venice-Way_Venice_CA_90291_M93018-64518</t>
  </si>
  <si>
    <t>Rob Moravsky</t>
  </si>
  <si>
    <t>Rob.Moravsky@elliman.com</t>
  </si>
  <si>
    <t>8936 Willis Ave Unit 11, Panorama City, CA 91402</t>
  </si>
  <si>
    <t>https://www.realtor.com/realestateandhomes-detail/8936-Willis-Ave-Unit-11_Panorama-City_CA_91402_M28994-30696</t>
  </si>
  <si>
    <t>Chris Jones</t>
  </si>
  <si>
    <t>chrisjonesdre@gmail.com</t>
  </si>
  <si>
    <t>1274 N Clark St, West Hollywood, CA 90069</t>
  </si>
  <si>
    <t>https://www.realtor.com/realestateandhomes-detail/1274-N-Clark-St_West-Hollywood_CA_90069_M11442-07495</t>
  </si>
  <si>
    <t>Amber Abbitt</t>
  </si>
  <si>
    <t>ak@weahomes.com</t>
  </si>
  <si>
    <t>2314 Pacific Ave, Venice, CA 90291</t>
  </si>
  <si>
    <t>https://www.realtor.com/realestateandhomes-detail/2314-Pacific-Ave_Venice_CA_90291_M13556-98475</t>
  </si>
  <si>
    <t>Nicolai Savaro</t>
  </si>
  <si>
    <t>nicolaisavaro@gmail.com</t>
  </si>
  <si>
    <t>4503 Tobias Ave, Sherman Oaks, CA 91403</t>
  </si>
  <si>
    <t>https://www.realtor.com/realestateandhomes-detail/4503-Tobias-Ave_Sherman-Oaks_CA_91403_M24132-67434</t>
  </si>
  <si>
    <t>Kate Nalbandova</t>
  </si>
  <si>
    <t>kate.nalbandova@camoves.com</t>
  </si>
  <si>
    <t>7301 Vista Del Mar Apt A212, Playa Del Rey, CA 90293</t>
  </si>
  <si>
    <t>https://www.realtor.com/realestateandhomes-detail/7301-Vista-Del-Mar-Apt-A212_Playa-Del-Rey_CA_90293_M18447-62183</t>
  </si>
  <si>
    <t>Mark Ehlers</t>
  </si>
  <si>
    <t>mark@imperialrealestate.com</t>
  </si>
  <si>
    <t>Imperial Real Estate</t>
  </si>
  <si>
    <t>620 W 42nd Pl, Los Angeles, CA 90037</t>
  </si>
  <si>
    <t>https://www.realtor.com/realestateandhomes-detail/620-W-42nd-Pl_Los-Angeles_CA_90037_M23119-82974</t>
  </si>
  <si>
    <t>Ricardo Curtis</t>
  </si>
  <si>
    <t>rcurtis@jclfunding.com</t>
  </si>
  <si>
    <t>Jacob, Christopher &amp; Lee Rlty</t>
  </si>
  <si>
    <t>1532-1534 W 221st St, Torrance, CA 90501</t>
  </si>
  <si>
    <t>https://www.realtor.com/realestateandhomes-detail/1532-1534-W-221st-St_Torrance_CA_90501_M99423-42686</t>
  </si>
  <si>
    <t>Angelica Huante</t>
  </si>
  <si>
    <t>realtorangiehuante@gmail.com</t>
  </si>
  <si>
    <t>CENTURY 21 Union Realty Co.</t>
  </si>
  <si>
    <t>4212 Don Alanis Pl, Los Angeles, CA 90008</t>
  </si>
  <si>
    <t>https://www.realtor.com/realestateandhomes-detail/4212-Don-Alanis-Pl_Los-Angeles_CA_90008_M10498-61501</t>
  </si>
  <si>
    <t>Kenneth Berry</t>
  </si>
  <si>
    <t>kbrealtylv@aol.com</t>
  </si>
  <si>
    <t>R&amp;R Properties</t>
  </si>
  <si>
    <t>1804 Echo Park Ave, Los Angeles, CA 90026</t>
  </si>
  <si>
    <t>https://www.realtor.com/realestateandhomes-detail/1804-Echo-Park-Ave_Los-Angeles_CA_90026_M23797-24234</t>
  </si>
  <si>
    <t>Susan Bernard</t>
  </si>
  <si>
    <t>susanbernard@remax.net</t>
  </si>
  <si>
    <t>8325 Delgany Ave, Playa Del Rey, CA 90293</t>
  </si>
  <si>
    <t>https://www.realtor.com/realestateandhomes-detail/8325-Delgany-Ave_Playa-Del-Rey_CA_90293_M17909-12896</t>
  </si>
  <si>
    <t>Kristofer Denton</t>
  </si>
  <si>
    <t>denton.denton@plgestates.com</t>
  </si>
  <si>
    <t>Bayside</t>
  </si>
  <si>
    <t>2523 S Orange Dr, Los Angeles, CA 90016</t>
  </si>
  <si>
    <t>https://www.realtor.com/realestateandhomes-detail/2523-S-Orange-Dr_Los-Angeles_CA_90016_M10854-74902</t>
  </si>
  <si>
    <t>Claire Lissone</t>
  </si>
  <si>
    <t>claire@realestate-collective.com</t>
  </si>
  <si>
    <t>Real Estate Collective</t>
  </si>
  <si>
    <t>1120 Cumbre Alta Ct, Pacific Palisades, CA 90272</t>
  </si>
  <si>
    <t>https://www.realtor.com/realestateandhomes-detail/1120-Cumbre-Alta-Ct_Pacific-Palisades_CA_90272_M23271-53362</t>
  </si>
  <si>
    <t>Kyle Leibovitch</t>
  </si>
  <si>
    <t>kylel@rodeore.com</t>
  </si>
  <si>
    <t>2726 Council St, Los Angeles, CA 90026</t>
  </si>
  <si>
    <t>https://www.realtor.com/realestateandhomes-detail/2726-Council-St_Los-Angeles_CA_90026_M12046-39921</t>
  </si>
  <si>
    <t>Rob Flannigan</t>
  </si>
  <si>
    <t>rob.flannigan@camoves.com</t>
  </si>
  <si>
    <t>8808 Thrasher Ave, Los Angeles, CA 90069</t>
  </si>
  <si>
    <t>https://www.realtor.com/realestateandhomes-detail/8808-Thrasher-Ave_Los-Angeles_CA_90069_M29761-91537</t>
  </si>
  <si>
    <t>Robbie Depaoli</t>
  </si>
  <si>
    <t>Robbie@beachhomebroker.com</t>
  </si>
  <si>
    <t>12632 W Sunset Blvd, Los Angeles, CA 90049</t>
  </si>
  <si>
    <t>https://www.realtor.com/realestateandhomes-detail/12632-W-Sunset-Blvd_Los-Angeles_CA_90049_M26656-48140</t>
  </si>
  <si>
    <t>Jesse Morton</t>
  </si>
  <si>
    <t>jesse.morton@thepartnerstrust.com</t>
  </si>
  <si>
    <t>Sotheby's International Realty - Brentwood Brokerage</t>
  </si>
  <si>
    <t>6325 Primrose Ave, Los Angeles, CA 90068</t>
  </si>
  <si>
    <t>https://www.realtor.com/realestateandhomes-detail/6325-Primrose-Ave_Los-Angeles_CA_90068_M92705-33611</t>
  </si>
  <si>
    <t>Allisun Sturges</t>
  </si>
  <si>
    <t>allisun@frontgaterealestate.com</t>
  </si>
  <si>
    <t>423 Sycamore Rd, Santa Monica, CA 90402</t>
  </si>
  <si>
    <t>https://www.realtor.com/realestateandhomes-detail/423-Sycamore-Rd_Santa-Monica_CA_90402_M27979-79502</t>
  </si>
  <si>
    <t>Mike Mackenbach</t>
  </si>
  <si>
    <t>mikemackenbach@gmail.com</t>
  </si>
  <si>
    <t>681 Brooktree Rd, Santa Monica, CA 90402</t>
  </si>
  <si>
    <t>https://www.realtor.com/realestateandhomes-detail/681-Brooktree-Rd_Santa-Monica_CA_90402_M27508-38085</t>
  </si>
  <si>
    <t>Sandy Stewart</t>
  </si>
  <si>
    <t>sandystewart90210@gmail.com</t>
  </si>
  <si>
    <t>578 W Oliver St, San Pedro, CA 90731</t>
  </si>
  <si>
    <t>https://www.realtor.com/realestateandhomes-detail/578-W-Oliver-St_San-Pedro_CA_90731_M26450-02014</t>
  </si>
  <si>
    <t>Carol Anne Mills</t>
  </si>
  <si>
    <t>camills@kw.com</t>
  </si>
  <si>
    <t>1643 265th St, Harbor City, CA 90710</t>
  </si>
  <si>
    <t>https://www.realtor.com/realestateandhomes-detail/1643-265th-St_Harbor-City_CA_90710_M17475-11891</t>
  </si>
  <si>
    <t>Kimiah Wyer</t>
  </si>
  <si>
    <t>kimiah@kw.com</t>
  </si>
  <si>
    <t>11968 Brentridge Dr, Los Angeles, CA 90049</t>
  </si>
  <si>
    <t>https://www.realtor.com/realestateandhomes-detail/11968-Brentridge-Dr_Los-Angeles_CA_90049_M11809-17963</t>
  </si>
  <si>
    <t>Stuart Vetterick</t>
  </si>
  <si>
    <t>sv@stuartvetterick.com</t>
  </si>
  <si>
    <t>16879 Mooncrest Dr, Encino, CA 91436</t>
  </si>
  <si>
    <t>https://www.realtor.com/realestateandhomes-detail/16879-Mooncrest-Dr_Encino_CA_91436_M11346-24308</t>
  </si>
  <si>
    <t>Ben Lee</t>
  </si>
  <si>
    <t>ben@benleeproperties.com</t>
  </si>
  <si>
    <t>Cindy Festa</t>
  </si>
  <si>
    <t>cfesta@gibsonintl.com</t>
  </si>
  <si>
    <t>719 Oro Ter, San Pedro, CA 90731</t>
  </si>
  <si>
    <t>https://www.realtor.com/realestateandhomes-detail/719-Oro-Ter_San-Pedro_CA_90731_M92735-73188</t>
  </si>
  <si>
    <t>THE SAL SORRENTINO TEAM</t>
  </si>
  <si>
    <t>SalSorrentino@REALTOR.com</t>
  </si>
  <si>
    <t>3855 S Centinela Ave, Los Angeles, CA 90066</t>
  </si>
  <si>
    <t>https://www.realtor.com/realestateandhomes-detail/3855-S-Centinela-Ave_Los-Angeles_CA_90066_M94425-09050</t>
  </si>
  <si>
    <t>Sally Lamb</t>
  </si>
  <si>
    <t>sallylambnetwork@gmail.com</t>
  </si>
  <si>
    <t>Rebecca Sekulich</t>
  </si>
  <si>
    <t>rebsek@gmail.com</t>
  </si>
  <si>
    <t>6441 Satsuma Ave, North Hollywood, CA 91606</t>
  </si>
  <si>
    <t>https://www.realtor.com/realestateandhomes-detail/6441-Satsuma-Ave_North-Hollywood_CA_91606_M18352-49921</t>
  </si>
  <si>
    <t>Randy Hui</t>
  </si>
  <si>
    <t>randy@reirandy.com</t>
  </si>
  <si>
    <t>Realty ONE Group United</t>
  </si>
  <si>
    <t>1350 Belfast Dr, Los Angeles, CA 90069</t>
  </si>
  <si>
    <t>https://www.realtor.com/realestateandhomes-detail/1350-Belfast-Dr_Los-Angeles_CA_90069_M29650-49020</t>
  </si>
  <si>
    <t>Rachelle Rosten</t>
  </si>
  <si>
    <t>Rachelle.Rosten@elliman.com</t>
  </si>
  <si>
    <t>12386 Ridge Cir, Los Angeles, CA 90049</t>
  </si>
  <si>
    <t>https://www.realtor.com/realestateandhomes-detail/12386-Ridge-Cir_Los-Angeles_CA_90049_M16775-30303</t>
  </si>
  <si>
    <t>Tania Ferris</t>
  </si>
  <si>
    <t>taniaferris68@aol.com</t>
  </si>
  <si>
    <t>15514 Casiano Ct, Los Angeles, CA 90077</t>
  </si>
  <si>
    <t>https://www.realtor.com/realestateandhomes-detail/15514-Casiano-Ct_Los-Angeles_CA_90077_M20934-66860</t>
  </si>
  <si>
    <t>Faye Bogari</t>
  </si>
  <si>
    <t>Faye.Bogari@sothebyshomes.com</t>
  </si>
  <si>
    <t>Bogari Agency</t>
  </si>
  <si>
    <t>13028 S Main St, Los Angeles, CA 90061</t>
  </si>
  <si>
    <t>https://www.realtor.com/realestateandhomes-detail/13028-S-Main-St_Los-Angeles_CA_90061_M14195-73523</t>
  </si>
  <si>
    <t>Sandra Ramirez</t>
  </si>
  <si>
    <t>sandrazerimar@aol.com</t>
  </si>
  <si>
    <t>1328 N Ogden Dr, Los Angeles, CA 90046</t>
  </si>
  <si>
    <t>https://www.realtor.com/realestateandhomes-detail/1328-N-Ogden-Dr_West-Hollywood_CA_90046_M28207-18025</t>
  </si>
  <si>
    <t>Pamela Griffiths</t>
  </si>
  <si>
    <t>pamgriffiths@me.com</t>
  </si>
  <si>
    <t>500 Molino St Apt 214, Los Angeles, CA 90013</t>
  </si>
  <si>
    <t>https://www.realtor.com/realestateandhomes-detail/500-Molino-St-Apt-214_Los-Angeles_CA_90013_M28207-17566</t>
  </si>
  <si>
    <t>Bill Cooper</t>
  </si>
  <si>
    <t>Bill@TheLoftExpertGroup.com</t>
  </si>
  <si>
    <t>1337 N Orange Grove Ave, West Hollywood, CA 90046</t>
  </si>
  <si>
    <t>https://www.realtor.com/realestateandhomes-detail/1337-N-Orange-Grove-Ave_West-Hollywood_CA_90046_M28062-21573</t>
  </si>
  <si>
    <t>Efrat Poulson</t>
  </si>
  <si>
    <t>efratpoulson@gmail.com</t>
  </si>
  <si>
    <t>22525 Sherman Way Unit 203, West Hills, CA 91307</t>
  </si>
  <si>
    <t>https://www.realtor.com/realestateandhomes-detail/22525-Sherman-Way-Unit-203_West-Hills_CA_91307_M12157-23223</t>
  </si>
  <si>
    <t>Heidi A Cotton</t>
  </si>
  <si>
    <t>heidicottonhomes@gmail.com</t>
  </si>
  <si>
    <t>6035 Mesa Ave, Los Angeles, CA 90042</t>
  </si>
  <si>
    <t>https://www.realtor.com/realestateandhomes-detail/6035-Mesa-Ave_Los-Angeles_CA_90042_M96880-12517</t>
  </si>
  <si>
    <t>Melinda Flynn</t>
  </si>
  <si>
    <t>homes@melindaflynn.com</t>
  </si>
  <si>
    <t>Radius Agent</t>
  </si>
  <si>
    <t>11641 Blythe St, North Hollywood, CA 91605</t>
  </si>
  <si>
    <t>https://www.realtor.com/realestateandhomes-detail/11641-Blythe-St_North-Hollywood_CA_91605_M15308-73075</t>
  </si>
  <si>
    <t>Thomas Struckhoff</t>
  </si>
  <si>
    <t>tomwilliamhoff@gmail.com</t>
  </si>
  <si>
    <t>1572 W 37th Pl, Los Angeles, CA 90018</t>
  </si>
  <si>
    <t>https://www.realtor.com/realestateandhomes-detail/1572-W-37th-Pl_Los-Angeles_CA_90018_M28702-64058</t>
  </si>
  <si>
    <t>Jin Su</t>
  </si>
  <si>
    <t>info@stanflesrealty.com</t>
  </si>
  <si>
    <t>Stanfles Realty</t>
  </si>
  <si>
    <t>6356 W 5th St, Los Angeles, CA 90048</t>
  </si>
  <si>
    <t>https://www.realtor.com/realestateandhomes-detail/6356-W-5th-St_Los-Angeles_CA_90048_M18858-64592</t>
  </si>
  <si>
    <t>Karen Moore</t>
  </si>
  <si>
    <t>Karen@MooreSellsLA.com</t>
  </si>
  <si>
    <t>325 N Stanley Ave, Los Angeles, CA 90036</t>
  </si>
  <si>
    <t>https://www.realtor.com/realestateandhomes-detail/325-N-Stanley-Ave_Los-Angeles_CA_90036_M23609-68093</t>
  </si>
  <si>
    <t>Derrick Vartanian</t>
  </si>
  <si>
    <t>derrick@mvpcre.com</t>
  </si>
  <si>
    <t>3022 S Beverly Dr, Los Angeles, CA 90034</t>
  </si>
  <si>
    <t>https://www.realtor.com/realestateandhomes-detail/3022-S-Beverly-Dr_Los-Angeles_CA_90034_M20540-88131</t>
  </si>
  <si>
    <t>Dan May</t>
  </si>
  <si>
    <t>dan@danmayrealestateteam.com</t>
  </si>
  <si>
    <t>1632 Stradella Rd, Los Angeles, CA 90077</t>
  </si>
  <si>
    <t>https://www.realtor.com/realestateandhomes-detail/1632-Stradella-Rd_Los-Angeles_CA_90077_M21453-03786</t>
  </si>
  <si>
    <t>Holland Ashrafnia</t>
  </si>
  <si>
    <t>HollandSellsLA@sbcglobal.net</t>
  </si>
  <si>
    <t>12883 Runway Rd Apt 1, Playa Vista, CA 90094</t>
  </si>
  <si>
    <t>https://www.realtor.com/realestateandhomes-detail/12883-Runway-Rd-Apt-1_Playa-Vista_CA_90094_M94631-85330</t>
  </si>
  <si>
    <t>Vivian Yoon</t>
  </si>
  <si>
    <t>vivian@highlandpremiere.com</t>
  </si>
  <si>
    <t>Highland Premiere</t>
  </si>
  <si>
    <t>Gina Dickerson</t>
  </si>
  <si>
    <t>Gina.Dickerson@elliman.com</t>
  </si>
  <si>
    <t>4365 McLaughlin Ave Apt 4, Los Angeles, CA 90066</t>
  </si>
  <si>
    <t>https://www.realtor.com/realestateandhomes-detail/4365-McLaughlin-Ave-Apt-4_Los-Angeles_CA_90066_M15615-18275</t>
  </si>
  <si>
    <t>Sabine Pleissner</t>
  </si>
  <si>
    <t>sabine.pleissner@yahoo.com</t>
  </si>
  <si>
    <t>2914 Castle Heights Ave, Los Angeles, CA 90034</t>
  </si>
  <si>
    <t>https://www.realtor.com/realestateandhomes-detail/2914-Castle-Heights-Ave_Los-Angeles_CA_90034_M19425-88431</t>
  </si>
  <si>
    <t>Alexander Masket</t>
  </si>
  <si>
    <t>alex@centuryparkre.com</t>
  </si>
  <si>
    <t>1271 Stoner Ave Apt 103, Los Angeles, CA 90025</t>
  </si>
  <si>
    <t>https://www.realtor.com/realestateandhomes-detail/1271-Stoner-Ave-Apt-103_Los-Angeles_CA_90025_M26197-59244</t>
  </si>
  <si>
    <t>Meghan Fitzgerald</t>
  </si>
  <si>
    <t>mfitzgerald@kw.com</t>
  </si>
  <si>
    <t>8681 Katella Ave Spc 914, Stanton, CA 90680</t>
  </si>
  <si>
    <t>https://www.realtor.com/realestateandhomes-detail/8681-Katella-Ave-Spc-914_Stanton_CA_90680_M21498-14065</t>
  </si>
  <si>
    <t>Viki Tragos</t>
  </si>
  <si>
    <t>vikitragos@remax.net</t>
  </si>
  <si>
    <t>Peter Califano</t>
  </si>
  <si>
    <t>Pcalifano@califanorealty.com</t>
  </si>
  <si>
    <t>310 S Bonnie Brae St, Los Angeles, CA 90057</t>
  </si>
  <si>
    <t>https://www.realtor.com/realestateandhomes-detail/310-S-Bonnie-Brae-St_Los-Angeles_CA_90057_M29707-96199</t>
  </si>
  <si>
    <t>Ryan Versfelt</t>
  </si>
  <si>
    <t>ryan.v@lyonstahl.com</t>
  </si>
  <si>
    <t>Lolita Burghdorf</t>
  </si>
  <si>
    <t>lolitab13@gmail.com</t>
  </si>
  <si>
    <t>10869 Farralone Ave, Chatsworth, CA 91311</t>
  </si>
  <si>
    <t>https://www.realtor.com/realestateandhomes-detail/10869-Farralone-Ave_Chatsworth_CA_91311_M21483-24253</t>
  </si>
  <si>
    <t>Jaime L Geffen</t>
  </si>
  <si>
    <t>jaime.krupnick@engelvoelkers.com</t>
  </si>
  <si>
    <t>7737 Denrock Ave, Los Angeles, CA 90045</t>
  </si>
  <si>
    <t>https://www.realtor.com/realestateandhomes-detail/7737-Denrock-Ave_Los-Angeles_CA_90045_M14628-23538</t>
  </si>
  <si>
    <t>Chloe Nelson</t>
  </si>
  <si>
    <t>chloenelson@kw.com</t>
  </si>
  <si>
    <t>26251 Vermont Ave Unit 202, Harbor City, CA 90710</t>
  </si>
  <si>
    <t>https://www.realtor.com/realestateandhomes-detail/26251-Vermont-Ave-Unit-202_Harbor-City_CA_90710_M17216-12061</t>
  </si>
  <si>
    <t>Jackie Lee</t>
  </si>
  <si>
    <t>saladjacksellshomes@gmail.com</t>
  </si>
  <si>
    <t>1361 Kelton Ave Unit 403, Los Angeles, CA 90024</t>
  </si>
  <si>
    <t>https://www.realtor.com/realestateandhomes-detail/1361-Kelton-Ave-403_Los-Angeles_CA_90024_M93405-77301</t>
  </si>
  <si>
    <t>Magdalena Kosik</t>
  </si>
  <si>
    <t>mk@equityunion.com</t>
  </si>
  <si>
    <t>2565 Patricia Ave, Los Angeles, CA 90064</t>
  </si>
  <si>
    <t>https://www.realtor.com/realestateandhomes-detail/2565-Patricia-Ave_Los-Angeles_CA_90064_M21352-90620</t>
  </si>
  <si>
    <t>Farideh Hakimi</t>
  </si>
  <si>
    <t>faridehsells@gmail.com</t>
  </si>
  <si>
    <t>Jonathan Soldwisch</t>
  </si>
  <si>
    <t>jonsoldwisch@gmail.com</t>
  </si>
  <si>
    <t>2633 S Cochran Ave, Los Angeles, CA 90016</t>
  </si>
  <si>
    <t>https://www.realtor.com/realestateandhomes-detail/2633-S-Cochran-Ave_Los-Angeles_CA_90016_M29237-77952</t>
  </si>
  <si>
    <t>Jacob Iloulian</t>
  </si>
  <si>
    <t>iloulianj@yahoo.com</t>
  </si>
  <si>
    <t>Bill Lustig</t>
  </si>
  <si>
    <t>bill@billlustig.com</t>
  </si>
  <si>
    <t>1129 S Citrus Ave, Los Angeles, CA 90019</t>
  </si>
  <si>
    <t>https://www.realtor.com/realestateandhomes-detail/1129-S-Citrus-Ave_Los-Angeles_CA_90019_M20037-07725</t>
  </si>
  <si>
    <t>Daniel Kohanbash</t>
  </si>
  <si>
    <t>danielkohanbashproperties@gmail.com</t>
  </si>
  <si>
    <t>838 N Ridgewood Pl, Los Angeles, CA 90038</t>
  </si>
  <si>
    <t>https://www.realtor.com/realestateandhomes-detail/838-N-Ridgewood-Pl_Los-Angeles_CA_90038_M25058-20810</t>
  </si>
  <si>
    <t>Jeffrey Schoeny</t>
  </si>
  <si>
    <t>jeff@vancansgroup.com</t>
  </si>
  <si>
    <t>517 N Edinburgh Ave, Los Angeles, CA 90048</t>
  </si>
  <si>
    <t>https://www.realtor.com/realestateandhomes-detail/517-N-Edinburgh-Ave_Los-Angeles_CA_90048_M28495-08396</t>
  </si>
  <si>
    <t>Daniel Giventer</t>
  </si>
  <si>
    <t>DanielGiventer@ciresocal.com</t>
  </si>
  <si>
    <t>12119 Travis St, Los Angeles, CA 90049</t>
  </si>
  <si>
    <t>https://www.realtor.com/realestateandhomes-detail/12119-Travis-St_Los-Angeles_CA_90049_M17308-95133</t>
  </si>
  <si>
    <t>Sharon Tabaraki</t>
  </si>
  <si>
    <t>sharon.tabaraki@cbrealty.com</t>
  </si>
  <si>
    <t>Paragon Partners Realty</t>
  </si>
  <si>
    <t>1260 S Beverly Glen Blvd Apt 304, Los Angeles, CA 90024</t>
  </si>
  <si>
    <t>https://www.realtor.com/realestateandhomes-detail/1260-S-Beverly-Glen-Blvd-Apt-304_Los-Angeles_CA_90024_M25981-70891</t>
  </si>
  <si>
    <t>Jordan Eamer</t>
  </si>
  <si>
    <t>jordan.eamer@compass.com</t>
  </si>
  <si>
    <t>757 Via De La Paz, Pacific Palisades, CA 90272</t>
  </si>
  <si>
    <t>https://www.realtor.com/realestateandhomes-detail/757-Via-De-La-Paz_Pacific-Palisades_CA_90272_M28012-58905</t>
  </si>
  <si>
    <t>Christina Arechaederra</t>
  </si>
  <si>
    <t>christina@christinaestates.com</t>
  </si>
  <si>
    <t>5637 Riverton Ave, North Hollywood, CA 91601</t>
  </si>
  <si>
    <t>https://www.realtor.com/realestateandhomes-detail/5637-Riverton-Ave_North-Hollywood_CA_91601_M94395-96864</t>
  </si>
  <si>
    <t>Lenny Lerman</t>
  </si>
  <si>
    <t>lennylerman@yahoo.com</t>
  </si>
  <si>
    <t>Ed Solorzano</t>
  </si>
  <si>
    <t>solorzanorealtor@hotmail.com</t>
  </si>
  <si>
    <t>1877 Rising Glen Rd, Los Angeles, CA 90069</t>
  </si>
  <si>
    <t>https://www.realtor.com/realestateandhomes-detail/1877-Rising-Glen-Rd_Los-Angeles_CA_90069_M23248-37490</t>
  </si>
  <si>
    <t>Bryce Lowe</t>
  </si>
  <si>
    <t>bryce@brycelowehomes.com</t>
  </si>
  <si>
    <t>3350 Stone Ridge Ln, Los Angeles, CA 90077</t>
  </si>
  <si>
    <t>https://www.realtor.com/realestateandhomes-detail/3350-Stone-Ridge-Ln_Los-Angeles_CA_90077_M22633-12643</t>
  </si>
  <si>
    <t>Sevak Khatchadourian</t>
  </si>
  <si>
    <t>realsevak@aol.com</t>
  </si>
  <si>
    <t>3051 N North Coolidge Ave, Los Angeles, CA 90039</t>
  </si>
  <si>
    <t>https://www.realtor.com/realestateandhomes-detail/3051-N-North-Coolidge-Ave_Los-Angeles_CA_90039_M29146-39572</t>
  </si>
  <si>
    <t>Benjamin Kahle</t>
  </si>
  <si>
    <t>ben@advantageestates.com</t>
  </si>
  <si>
    <t>2204 W 26th Pl, Los Angeles, CA 90018</t>
  </si>
  <si>
    <t>https://www.realtor.com/realestateandhomes-detail/2204-W-26th-Pl_Los-Angeles_CA_90018_M11654-41225</t>
  </si>
  <si>
    <t>David Park</t>
  </si>
  <si>
    <t>dpark@daumcommercial.com</t>
  </si>
  <si>
    <t>David Doowook Park, Broker</t>
  </si>
  <si>
    <t>16320 Akron St, Pacific Palisades, CA 90272</t>
  </si>
  <si>
    <t>https://www.realtor.com/realestateandhomes-detail/16320-Akron-St_Pacific-Palisades_CA_90272_M29904-20829</t>
  </si>
  <si>
    <t>Elizabeth Jones</t>
  </si>
  <si>
    <t>liz@franflanagan.com</t>
  </si>
  <si>
    <t>2151 S West View St, Los Angeles, CA 90016</t>
  </si>
  <si>
    <t>https://www.realtor.com/realestateandhomes-detail/2151-S-West-View-St_Los-Angeles_CA_90016_M13487-54259</t>
  </si>
  <si>
    <t>Brent Talbot</t>
  </si>
  <si>
    <t>brenttalbot@yahoo.com</t>
  </si>
  <si>
    <t>824 N Curson Ave, Los Angeles, CA 90046</t>
  </si>
  <si>
    <t>https://www.realtor.com/realestateandhomes-detail/824-N-Curson-Ave_Los-Angeles_CA_90046_M22633-31323</t>
  </si>
  <si>
    <t>Eric J Rotelli</t>
  </si>
  <si>
    <t>ericjrotelli@gmail.com</t>
  </si>
  <si>
    <t>Staged Homes Real Estate</t>
  </si>
  <si>
    <t>575 S Barrington Ave Apt 107, Los Angeles, CA 90049</t>
  </si>
  <si>
    <t>https://www.realtor.com/realestateandhomes-detail/575-S-Barrington-Ave-Apt-107_Los-Angeles_CA_90049_M25800-11004</t>
  </si>
  <si>
    <t>Christopher Fajardo</t>
  </si>
  <si>
    <t>chris.fajardo@compass.com</t>
  </si>
  <si>
    <t>501 Salerno Dr, Pacific Palisades, CA 90272</t>
  </si>
  <si>
    <t>https://www.realtor.com/realestateandhomes-detail/501-Salerno-Dr_Pacific-Palisades_CA_90272_M28766-10641</t>
  </si>
  <si>
    <t>David Becker</t>
  </si>
  <si>
    <t>david@dwbestates.com</t>
  </si>
  <si>
    <t>10481 Eastborne Ave, Los Angeles, CA 90024</t>
  </si>
  <si>
    <t>https://www.realtor.com/realestateandhomes-detail/10481-Eastborne-Ave_Los-Angeles_CA_90024_M25653-39595</t>
  </si>
  <si>
    <t>Charles L. Black III</t>
  </si>
  <si>
    <t>charles@hiltonhyland.com</t>
  </si>
  <si>
    <t>Fran Flanagan</t>
  </si>
  <si>
    <t>Frances.Flanagan@CAMoves.com</t>
  </si>
  <si>
    <t>13224 Admiral Ave Unit D, Marina del Rey, CA 90292</t>
  </si>
  <si>
    <t>https://www.realtor.com/realestateandhomes-detail/13224-Admiral-Ave-Unit-D_Marina-Del-Rey_CA_90292_M23499-47521</t>
  </si>
  <si>
    <t>Keri White</t>
  </si>
  <si>
    <t>keri@keriwhite.com</t>
  </si>
  <si>
    <t>Element RE, Inc</t>
  </si>
  <si>
    <t>630 Palmera Ave, Pacific Palisades, CA 90272</t>
  </si>
  <si>
    <t>https://www.realtor.com/realestateandhomes-detail/630-Palmera-Ave_Pacific-Palisades_CA_90272_M28826-47723</t>
  </si>
  <si>
    <t>Elana Besserman</t>
  </si>
  <si>
    <t>elana.besserman@gmail.com</t>
  </si>
  <si>
    <t>18958 Sherman Way Unit 19, Reseda, CA 91335</t>
  </si>
  <si>
    <t>https://www.realtor.com/realestateandhomes-detail/18958-Sherman-Way-Unit-19_Reseda_CA_91335_M25222-55794</t>
  </si>
  <si>
    <t>Dora Szugyi</t>
  </si>
  <si>
    <t>dorarealestate@gmail.com</t>
  </si>
  <si>
    <t>Hartnell Real Estate</t>
  </si>
  <si>
    <t>2327 S Budlong Ave, Los Angeles, CA 90007</t>
  </si>
  <si>
    <t>https://www.realtor.com/realestateandhomes-detail/2327-S-Budlong-Ave_Los-Angeles_CA_90007_M12964-74668</t>
  </si>
  <si>
    <t>William Rojas</t>
  </si>
  <si>
    <t>bill@pardeeproperties.com</t>
  </si>
  <si>
    <t>Ashby &amp; Graff</t>
  </si>
  <si>
    <t>15147 Otsego St, Sherman Oaks, CA 91403</t>
  </si>
  <si>
    <t>https://www.realtor.com/realestateandhomes-detail/15147-Otsego-St_Sherman-Oaks_CA_91403_M22243-66372</t>
  </si>
  <si>
    <t>Jacqueline Brooks</t>
  </si>
  <si>
    <t>jbrooks4re@yahoo.com</t>
  </si>
  <si>
    <t>Brooks Realty, Inc.</t>
  </si>
  <si>
    <t>Peter Bergman</t>
  </si>
  <si>
    <t>peter@bergmanbeachproperties.com</t>
  </si>
  <si>
    <t>20111 W Piccadilly Ln, Porter Ranch, CA 91326</t>
  </si>
  <si>
    <t>https://www.realtor.com/realestateandhomes-detail/20111-Piccadilly-Ln_Porter-Ranch_CA_91326_M95911-86240</t>
  </si>
  <si>
    <t>Olga Hooks</t>
  </si>
  <si>
    <t>olgahooks@yahoo.com</t>
  </si>
  <si>
    <t>2251 Crenshaw Blvd, Los Angeles, CA 90016</t>
  </si>
  <si>
    <t>https://www.realtor.com/realestateandhomes-detail/2251-Crenshaw-Blvd_Los-Angeles_CA_90016_M11905-40434</t>
  </si>
  <si>
    <t>Wes Wellman</t>
  </si>
  <si>
    <t>wes@wellmanproperties.com</t>
  </si>
  <si>
    <t>Wellman Realty Co.</t>
  </si>
  <si>
    <t>2208 Westridge Rd, Los Angeles, CA 90049</t>
  </si>
  <si>
    <t>https://www.realtor.com/realestateandhomes-detail/2208-Westridge-Rd_Los-Angeles_CA_90049_M16939-64584</t>
  </si>
  <si>
    <t>Patrice Allchorn</t>
  </si>
  <si>
    <t>patrice@haltonpardee.com</t>
  </si>
  <si>
    <t>10037 Reevesbury Dr, Beverly Hills, CA 90210</t>
  </si>
  <si>
    <t>https://www.realtor.com/realestateandhomes-detail/10037-Reevesbury-Dr_Beverly-Hills_CA_90210_M28217-92529</t>
  </si>
  <si>
    <t>James Likens</t>
  </si>
  <si>
    <t>james@globlred.com</t>
  </si>
  <si>
    <t>3242 Dos Palos Dr, Los Angeles, CA 90068</t>
  </si>
  <si>
    <t>https://www.realtor.com/realestateandhomes-detail/3242-Dos-Palos-Dr_Los-Angeles_CA_90068_M21837-61016</t>
  </si>
  <si>
    <t>Ideen(eddie) Toudeh Fallah</t>
  </si>
  <si>
    <t>eddiefallahestates@gmail.com</t>
  </si>
  <si>
    <t>11432 Aqua Vista St, Studio City, CA 91604</t>
  </si>
  <si>
    <t>https://www.realtor.com/realestateandhomes-detail/11432-Aqua-Vista-St_Studio-City_CA_91604_M11841-02108</t>
  </si>
  <si>
    <t>Natale Cadoch</t>
  </si>
  <si>
    <t>nataliecadoch@gmail.com</t>
  </si>
  <si>
    <t>1346 Abbot Kinney Blvd, Venice, CA 90291</t>
  </si>
  <si>
    <t>https://www.realtor.com/realestateandhomes-detail/1346-Abbot-Kinney-Blvd_Venice_CA_90291_M22328-36226</t>
  </si>
  <si>
    <t>Jim Ostridge</t>
  </si>
  <si>
    <t>Jim.Ostridge@elliman.com</t>
  </si>
  <si>
    <t>3943 Avenida Del Sol, Studio City, CA 91604</t>
  </si>
  <si>
    <t>https://www.realtor.com/realestateandhomes-detail/3943-Avenida-Del-Sol_Studio-City_CA_91604_M14221-19682</t>
  </si>
  <si>
    <t>Jory Burton</t>
  </si>
  <si>
    <t>Jory.Burton@Sothebys.Realty</t>
  </si>
  <si>
    <t>1765 E 113th St, Los Angeles, CA 90059</t>
  </si>
  <si>
    <t>https://www.realtor.com/realestateandhomes-detail/1765-E-113th-St_Los-Angeles_CA_90059_M25925-30435</t>
  </si>
  <si>
    <t>Lena Samigoullina</t>
  </si>
  <si>
    <t>LSAMIGOULLINA@COLDWELLBANKER.COM</t>
  </si>
  <si>
    <t>541 Paseo Miramar, Pacific Palisades, CA 90272</t>
  </si>
  <si>
    <t>https://www.realtor.com/realestateandhomes-detail/541-Paseo-Miramar_Pacific-Palisades_CA_90272_M28999-39121</t>
  </si>
  <si>
    <t>Richard Ehrlich</t>
  </si>
  <si>
    <t>re@weahomes.com</t>
  </si>
  <si>
    <t>3467 St Susan Pl, Los Angeles, CA 90066</t>
  </si>
  <si>
    <t>https://www.realtor.com/realestateandhomes-detail/3467-St-Susan-Pl_Los-Angeles_CA_90066_M22320-07113</t>
  </si>
  <si>
    <t>Joseph Treves</t>
  </si>
  <si>
    <t>joseph@josephtreves.com</t>
  </si>
  <si>
    <t>8118 Wakefield Ave, Panorama City, CA 91402</t>
  </si>
  <si>
    <t>https://www.realtor.com/realestateandhomes-detail/8118-Wakefield-Ave_Panorama-City_CA_91402_M24882-57882</t>
  </si>
  <si>
    <t>Juan Elias</t>
  </si>
  <si>
    <t>manny.thevaretgroup@gmail.com</t>
  </si>
  <si>
    <t>2917 S Mansfield Ave, Los Angeles, CA 90016</t>
  </si>
  <si>
    <t>https://www.realtor.com/realestateandhomes-detail/2917-S-Mansfield-Ave_Los-Angeles_CA_90016_M10897-97751</t>
  </si>
  <si>
    <t>Gina Hoffman</t>
  </si>
  <si>
    <t>ginahoffmanrealtor@gmail.com</t>
  </si>
  <si>
    <t>Exp Realty Of CA - San Ramon</t>
  </si>
  <si>
    <t>1547 Sunset Plaza Dr, Los Angeles, CA 90069</t>
  </si>
  <si>
    <t>https://www.realtor.com/realestateandhomes-detail/1547-Sunset-Plaza-Dr_Los-Angeles_CA_90069_M29538-31971</t>
  </si>
  <si>
    <t>Jordan Gonda</t>
  </si>
  <si>
    <t>jordan.gonda@theagencyre.com</t>
  </si>
  <si>
    <t>1521 S Cloverdale Ave, Los Angeles, CA 90019</t>
  </si>
  <si>
    <t>https://www.realtor.com/realestateandhomes-detail/1521-S-Cloverdale-Ave_Los-Angeles_CA_90019_M16971-20816</t>
  </si>
  <si>
    <t>Olivia Casillas</t>
  </si>
  <si>
    <t>olivia@jhagents.com</t>
  </si>
  <si>
    <t>5845 W 74th St, Los Angeles, CA 90045</t>
  </si>
  <si>
    <t>https://www.realtor.com/realestateandhomes-detail/5845-W-74th-St_Los-Angeles_CA_90045_M11962-22985</t>
  </si>
  <si>
    <t>Limor Zamir</t>
  </si>
  <si>
    <t>limorzamir05@fivestreet.me</t>
  </si>
  <si>
    <t>8723 Lookout Mountain Ave, Los Angeles, CA 90046</t>
  </si>
  <si>
    <t>https://www.realtor.com/realestateandhomes-detail/8723-Lookout-Mountain-Ave_Los-Angeles_CA_90046_M29994-08219</t>
  </si>
  <si>
    <t>Diana Braun</t>
  </si>
  <si>
    <t>diana.braun@compass.com</t>
  </si>
  <si>
    <t>608 Grizzly, Irvine, CA 92618</t>
  </si>
  <si>
    <t>https://www.realtor.com/realestateandhomes-detail/608-Grizzly_Irvine_CA_92618_M95179-72842</t>
  </si>
  <si>
    <t>Faye Zhang</t>
  </si>
  <si>
    <t>fayezhangproperties@gmail.com</t>
  </si>
  <si>
    <t>5253 Buffalo Ave, Sherman Oaks, CA 91401</t>
  </si>
  <si>
    <t>https://www.realtor.com/realestateandhomes-detail/5253-Buffalo-Ave_Sherman-Oaks_CA_91401_M24551-42980</t>
  </si>
  <si>
    <t>Michelle Davaasambuu</t>
  </si>
  <si>
    <t>Michelle.Davaasambuu@coldwellbanker.com</t>
  </si>
  <si>
    <t>1635 Woods Dr, Los Angeles, CA 90069</t>
  </si>
  <si>
    <t>https://www.realtor.com/realestateandhomes-detail/1635-Woods-Dr_Los-Angeles_CA_90069_M29085-53851</t>
  </si>
  <si>
    <t>william james baker</t>
  </si>
  <si>
    <t>william.baker@theagencyre.com</t>
  </si>
  <si>
    <t>1041 W 48th St, Los Angeles, CA 90037</t>
  </si>
  <si>
    <t>https://www.realtor.com/realestateandhomes-detail/1041-W-48th-St_Los-Angeles_CA_90037_M13119-99159</t>
  </si>
  <si>
    <t>Milla Goldenberg</t>
  </si>
  <si>
    <t>milla.goldenberg@dilbeck.com</t>
  </si>
  <si>
    <t>House Hunter L.A.</t>
  </si>
  <si>
    <t>3254 Oakdell Rd, Studio City, CA 91604</t>
  </si>
  <si>
    <t>https://www.realtor.com/realestateandhomes-detail/3254-Oakdell-Rd_Studio-City_CA_91604_M13699-47363</t>
  </si>
  <si>
    <t>Karen Silver</t>
  </si>
  <si>
    <t>karen.silver@theagencyre.com</t>
  </si>
  <si>
    <t>6030 Madden Ave, Los Angeles, CA 90043</t>
  </si>
  <si>
    <t>https://www.realtor.com/realestateandhomes-detail/6030-Madden-Ave_Los-Angeles_CA_90043_M20379-71574</t>
  </si>
  <si>
    <t>Richard Magana</t>
  </si>
  <si>
    <t>rickymagana@kwrealty.com</t>
  </si>
  <si>
    <t>6150 Wooster Ave, Los Angeles, CA 90056</t>
  </si>
  <si>
    <t>https://www.realtor.com/realestateandhomes-detail/6150-Wooster-Ave_Los-Angeles_CA_90056_M10485-00789</t>
  </si>
  <si>
    <t>Eric Kredatus</t>
  </si>
  <si>
    <t>eric@erickredatus.com</t>
  </si>
  <si>
    <t>1339 E M St, Wilmington, CA 90744</t>
  </si>
  <si>
    <t>https://www.realtor.com/realestateandhomes-detail/1339-E-M-St_Wilmington_CA_90744_M22346-15026</t>
  </si>
  <si>
    <t>Gabriela Bermudez</t>
  </si>
  <si>
    <t>gaby@laslomasrealtyinc.com</t>
  </si>
  <si>
    <t>Las Lomas Realty, Inc.</t>
  </si>
  <si>
    <t>358 E Colden Ave, Los Angeles, CA 90003</t>
  </si>
  <si>
    <t>https://www.realtor.com/realestateandhomes-detail/358-E-Colden-Ave_Los-Angeles_CA_90003_M21038-62132</t>
  </si>
  <si>
    <t>Michael Williams</t>
  </si>
  <si>
    <t>mwilliamsagent@gmail.com</t>
  </si>
  <si>
    <t>Integrity Realty And Finance</t>
  </si>
  <si>
    <t>2563 Nichols Canyon Rd, Los Angeles, CA 90046</t>
  </si>
  <si>
    <t>https://www.realtor.com/realestateandhomes-detail/2563-Nichols-Canyon-Rd_Los-Angeles_CA_90046_M11732-53866</t>
  </si>
  <si>
    <t>Weston Littlefield</t>
  </si>
  <si>
    <t>weston@aaronkirman.com</t>
  </si>
  <si>
    <t>6181 Temple Hill Dr, Los Angeles, CA 90068</t>
  </si>
  <si>
    <t>https://www.realtor.com/realestateandhomes-detail/6181-Temple-Hill-Dr_Los-Angeles_CA_90068_M19992-91021</t>
  </si>
  <si>
    <t>Manuela Villa</t>
  </si>
  <si>
    <t>manuela@manuelavilla.com</t>
  </si>
  <si>
    <t>Kelly deLaat</t>
  </si>
  <si>
    <t>Kelly.deLaat@elliman.com</t>
  </si>
  <si>
    <t>901 S Flower St Unit 513, Los Angeles, CA 90015</t>
  </si>
  <si>
    <t>https://www.realtor.com/realestateandhomes-detail/901-S-Flower-St-Unit-513_Los-Angeles_CA_90015_M11365-82527</t>
  </si>
  <si>
    <t>Reid Kaplan</t>
  </si>
  <si>
    <t>rkaplan@remax.net</t>
  </si>
  <si>
    <t>18330 Hanan Ct, Tarzana, CA 91356</t>
  </si>
  <si>
    <t>https://www.realtor.com/realestateandhomes-detail/18330-Hanan-Ct_Tarzana_CA_91356_M14539-78915</t>
  </si>
  <si>
    <t>Ali Quamruddin</t>
  </si>
  <si>
    <t>aliq@theagencyre.com</t>
  </si>
  <si>
    <t>2301 NE Nichols Canyon Rd, Los Angeles, CA 90046</t>
  </si>
  <si>
    <t>https://www.realtor.com/realestateandhomes-detail/2301-Nichols-Canyon-Rd_Los-Angeles_CA_90046_M13535-81528</t>
  </si>
  <si>
    <t>Robert Erickson</t>
  </si>
  <si>
    <t>robertericksonrealty@gmail.com</t>
  </si>
  <si>
    <t>Erickson Estates</t>
  </si>
  <si>
    <t>3321 W 74th St, Los Angeles, CA 90043</t>
  </si>
  <si>
    <t>https://www.realtor.com/realestateandhomes-detail/3321-W-74th-St_Los-Angeles_CA_90043_M99728-91313</t>
  </si>
  <si>
    <t>David Holstein</t>
  </si>
  <si>
    <t>david@theholsteingroup.com</t>
  </si>
  <si>
    <t>The Holstein Group</t>
  </si>
  <si>
    <t>7334 Vista Del Mar Ln, Playa Del Rey, CA 90293</t>
  </si>
  <si>
    <t>https://www.realtor.com/realestateandhomes-detail/7334-Vista-Del-Mar-Ln_Playa-Del-Rey_CA_90293_M18954-06599</t>
  </si>
  <si>
    <t>Zachary Quittman</t>
  </si>
  <si>
    <t>quitty03@verizon.net</t>
  </si>
  <si>
    <t>146 E 94th St, Los Angeles, CA 90003</t>
  </si>
  <si>
    <t>https://www.realtor.com/realestateandhomes-detail/146-E-94th-St_Los-Angeles_CA_90003_M20426-34188</t>
  </si>
  <si>
    <t>Michael Avendano</t>
  </si>
  <si>
    <t>michael.avendano@gmail.com</t>
  </si>
  <si>
    <t>Amberwood Real Estate, Inc.</t>
  </si>
  <si>
    <t>Sophia Hirjee</t>
  </si>
  <si>
    <t>sophiahproperties@gmail.com</t>
  </si>
  <si>
    <t>221 W 10th St, San Pedro, CA 90731</t>
  </si>
  <si>
    <t>https://www.realtor.com/realestateandhomes-detail/221-W-10th-St_San-Pedro_CA_90731_M29916-72647</t>
  </si>
  <si>
    <t>Irma Castaneda</t>
  </si>
  <si>
    <t>castanedairma@aol.com</t>
  </si>
  <si>
    <t>Realty South Bay</t>
  </si>
  <si>
    <t>15321 DE Pauw St, Pacific Palisades, CA 90272</t>
  </si>
  <si>
    <t>https://www.realtor.com/realestateandhomes-detail/15321-DE-Pauw-St_Pacific-Palisades_CA_90272_M29454-40837</t>
  </si>
  <si>
    <t>Andrea Pilot</t>
  </si>
  <si>
    <t>andpilot@aol.com</t>
  </si>
  <si>
    <t>714 6th Ave, Venice, CA 90291</t>
  </si>
  <si>
    <t>https://www.realtor.com/realestateandhomes-detail/714-6th-Ave_Venice_CA_90291_M17389-41427</t>
  </si>
  <si>
    <t>Mark Kitching</t>
  </si>
  <si>
    <t>Mark.Kitching@elliman.com</t>
  </si>
  <si>
    <t>12115 San Vicente Blvd Unit 303, Los Angeles, CA 90049</t>
  </si>
  <si>
    <t>https://www.realtor.com/realestateandhomes-detail/12115-San-Vicente-Blvd-Unit-303_Los-Angeles_CA_90049_M26199-97361</t>
  </si>
  <si>
    <t>Trevor Schneeberger</t>
  </si>
  <si>
    <t>trevor.schneeberger@telesproperties.com</t>
  </si>
  <si>
    <t>5945 Hesperia Ave, Encino, CA 91316</t>
  </si>
  <si>
    <t>https://www.realtor.com/realestateandhomes-detail/5945-Hesperia-Ave_Encino_CA_91316_M14018-81127</t>
  </si>
  <si>
    <t>Lee Mintz</t>
  </si>
  <si>
    <t>Lee@LeeMintz.com</t>
  </si>
  <si>
    <t>2370 San Marco Dr, Los Angeles, CA 90068</t>
  </si>
  <si>
    <t>https://www.realtor.com/realestateandhomes-detail/2370-San-Marco-Dr_Los-Angeles_CA_90068_M12126-06702</t>
  </si>
  <si>
    <t>Theodore Tillman</t>
  </si>
  <si>
    <t>ted.tillman@harcourtsusa.com</t>
  </si>
  <si>
    <t>1633 N Bruce Ct, Los Angeles, CA 90026</t>
  </si>
  <si>
    <t>https://www.realtor.com/realestateandhomes-detail/1633-N-Bruce-Ct_Los-Angeles_CA_90026_M97262-66140</t>
  </si>
  <si>
    <t>Kevin Shelburn</t>
  </si>
  <si>
    <t>kevin@shelburnrealty.com</t>
  </si>
  <si>
    <t>Shelburn Realty Corporation</t>
  </si>
  <si>
    <t>21435 NW Iglesia Dr, Woodland Hills, CA 91364</t>
  </si>
  <si>
    <t>https://www.realtor.com/realestateandhomes-detail/21435-Iglesia-Dr_Woodland-Hills_CA_91364_M99241-12486</t>
  </si>
  <si>
    <t>Roja Lahijaninejad</t>
  </si>
  <si>
    <t>rojalahijani@gmail.com</t>
  </si>
  <si>
    <t>Pellego, Inc.</t>
  </si>
  <si>
    <t>350 N Hayworth Ave, Los Angeles, CA 90048</t>
  </si>
  <si>
    <t>https://www.realtor.com/realestateandhomes-detail/350-N-Hayworth-Ave_Los-Angeles_CA_90048_M23373-78751</t>
  </si>
  <si>
    <t>Robert Sillman</t>
  </si>
  <si>
    <t>bobby.sillman@gmail.com</t>
  </si>
  <si>
    <t>2300 Grand Canal, Venice, CA 90291</t>
  </si>
  <si>
    <t>https://www.realtor.com/realestateandhomes-detail/2300-Grand-Canal_Venice_CA_90291_M13591-26941</t>
  </si>
  <si>
    <t>Zach Goldsmith</t>
  </si>
  <si>
    <t>zach@hiltonhyland.com</t>
  </si>
  <si>
    <t>Robert Leveen</t>
  </si>
  <si>
    <t>robert.leveen@lee-associates.com</t>
  </si>
  <si>
    <t>717 E 24th St, Los Angeles, CA 90011</t>
  </si>
  <si>
    <t>https://www.realtor.com/realestateandhomes-detail/717-E-24th-St_Los-Angeles_CA_90011_M28051-49084</t>
  </si>
  <si>
    <t>Lianne Gallardo</t>
  </si>
  <si>
    <t>lianne.gallardo@gmail.com</t>
  </si>
  <si>
    <t>Andrew Jevin</t>
  </si>
  <si>
    <t>thejevingroup@gmail.com</t>
  </si>
  <si>
    <t>7842 Lasaine Ave, Northridge, CA 91325</t>
  </si>
  <si>
    <t>https://www.realtor.com/realestateandhomes-detail/7842-Lasaine-Ave_Northridge_CA_91325_M22498-67649</t>
  </si>
  <si>
    <t>Sana Ahdeno</t>
  </si>
  <si>
    <t>sana.tabrizi@equityunion.com</t>
  </si>
  <si>
    <t>GARY COMSTOCK</t>
  </si>
  <si>
    <t>garyprimeproperties@yahoo.com</t>
  </si>
  <si>
    <t>25579 Pine Creek Ln, Wilmington, CA 90744</t>
  </si>
  <si>
    <t>https://www.realtor.com/realestateandhomes-detail/25579-Pine-Creek-Ln_Wilmington_CA_90744_M22302-28344</t>
  </si>
  <si>
    <t>Emma Dutro</t>
  </si>
  <si>
    <t>emmarosed9@aol.com</t>
  </si>
  <si>
    <t>2721 N Onyxdr, Los Angeles, CA 90032</t>
  </si>
  <si>
    <t>https://www.realtor.com/realestateandhomes-detail/2721-N-Onyxdr_Los-Angeles_CA_90032_M95617-77688</t>
  </si>
  <si>
    <t>Yasmeen Awad</t>
  </si>
  <si>
    <t>yasmeen@awadestates.com</t>
  </si>
  <si>
    <t>1600 Viewmont Dr, Los Angeles, CA 90069</t>
  </si>
  <si>
    <t>https://www.realtor.com/realestateandhomes-detail/1600-Viewmont-Dr_Los-Angeles_CA_90069_M29594-96395</t>
  </si>
  <si>
    <t>Heather Altman</t>
  </si>
  <si>
    <t>heather@heatherbilyeu.com</t>
  </si>
  <si>
    <t>5460 White Oak Ave Unit K301, Encino, CA 91316</t>
  </si>
  <si>
    <t>https://www.realtor.com/realestateandhomes-detail/5460-White-Oak-Ave-Unit-K301_Encino_CA_91316_M20197-39081</t>
  </si>
  <si>
    <t>Jonathon Trent</t>
  </si>
  <si>
    <t>jonathontrent@gmail.com</t>
  </si>
  <si>
    <t>1013 E 28th St, Los Angeles, CA 90011</t>
  </si>
  <si>
    <t>https://www.realtor.com/realestateandhomes-detail/1013-E-28th-St_Los-Angeles_CA_90011_M27718-70598</t>
  </si>
  <si>
    <t>Eliza Kerendian</t>
  </si>
  <si>
    <t>elizakerndian@hotmail.com</t>
  </si>
  <si>
    <t>7316 10th Ave, Los Angeles, CA 90043</t>
  </si>
  <si>
    <t>https://www.realtor.com/realestateandhomes-detail/7316-10th-Ave_Los-Angeles_CA_90043_M22073-82548</t>
  </si>
  <si>
    <t>Syii Tucker</t>
  </si>
  <si>
    <t>stonaje@gmail.com</t>
  </si>
  <si>
    <t>Tucker Realty</t>
  </si>
  <si>
    <t>4731 Deseret Dr, Woodland Hills, CA 91364</t>
  </si>
  <si>
    <t>https://www.realtor.com/realestateandhomes-detail/4731-Deseret-Dr_Woodland-Hills_CA_91364_M27255-90149</t>
  </si>
  <si>
    <t>David Rindenow</t>
  </si>
  <si>
    <t>david@davidrindenow.com</t>
  </si>
  <si>
    <t>23442 Burbank Blvd, Woodland Hills, CA 91367</t>
  </si>
  <si>
    <t>https://www.realtor.com/realestateandhomes-detail/23442-Burbank-Blvd_Woodland-Hills_CA_91367_M19190-06090</t>
  </si>
  <si>
    <t>Todd Scott Cloutier</t>
  </si>
  <si>
    <t>todd@toddcloutier.com</t>
  </si>
  <si>
    <t>7325 Rindge Ave, Playa Del Rey, CA 90293</t>
  </si>
  <si>
    <t>https://www.realtor.com/realestateandhomes-detail/7325-Rindge-Ave_Playa-Del-Rey_CA_90293_M17806-53389</t>
  </si>
  <si>
    <t>Dee Jay Hong</t>
  </si>
  <si>
    <t>djfinance2004@gmail.com</t>
  </si>
  <si>
    <t>5176 Don Pio Dr, Woodland Hills, CA 91364</t>
  </si>
  <si>
    <t>https://www.realtor.com/realestateandhomes-detail/5176-Don-Pio-Dr_Woodland-Hills_CA_91364_M17533-73497</t>
  </si>
  <si>
    <t>Howie Nicoll</t>
  </si>
  <si>
    <t>howienicoll@hotmail.com</t>
  </si>
  <si>
    <t>832 S Plymouth Blvd, Los Angeles, CA 90005</t>
  </si>
  <si>
    <t>https://www.realtor.com/realestateandhomes-detail/832-S-Plymouth-Blvd_Los-Angeles_CA_90005_M22141-48503</t>
  </si>
  <si>
    <t>Angel Kou</t>
  </si>
  <si>
    <t>angel@akirealestate.com</t>
  </si>
  <si>
    <t>5514 Smiley Dr, Los Angeles, CA 90016</t>
  </si>
  <si>
    <t>https://www.realtor.com/realestateandhomes-detail/5514-Smiley-Dr_Los-Angeles_CA_90016_M10723-57290</t>
  </si>
  <si>
    <t>Jose Ramos Sanchez</t>
  </si>
  <si>
    <t>jose.excellencepremier@gmail.com</t>
  </si>
  <si>
    <t>R Capital Real Estate</t>
  </si>
  <si>
    <t>1118 Grant Ave, Venice, CA 90291</t>
  </si>
  <si>
    <t>https://www.realtor.com/realestateandhomes-detail/1118-Grant-Ave_Venice_CA_90291_M17179-97968</t>
  </si>
  <si>
    <t>Barry Cassilly</t>
  </si>
  <si>
    <t>b.cassilly@verizon.net</t>
  </si>
  <si>
    <t>1136 W 10th St, San Pedro, CA 90731</t>
  </si>
  <si>
    <t>https://www.realtor.com/realestateandhomes-detail/1136-W-10th-St_San-Pedro_CA_90731_M29695-73943</t>
  </si>
  <si>
    <t>Gordon Inman</t>
  </si>
  <si>
    <t>Gordon@InmanTeam.com</t>
  </si>
  <si>
    <t>147 N Chicago St, Los Angeles, CA 90033</t>
  </si>
  <si>
    <t>https://www.realtor.com/realestateandhomes-detail/147-N-Chicago-St_Los-Angeles_CA_90033_M12484-27496</t>
  </si>
  <si>
    <t>SHAWN NEJAD</t>
  </si>
  <si>
    <t>shawn@nejadhomes.com</t>
  </si>
  <si>
    <t>126 E 89th St, Los Angeles, CA 90003</t>
  </si>
  <si>
    <t>https://www.realtor.com/realestateandhomes-detail/126-E-89th-St_Los-Angeles_CA_90003_M17418-98032</t>
  </si>
  <si>
    <t>John Heinz</t>
  </si>
  <si>
    <t>JohnHeinzJr@msn.com</t>
  </si>
  <si>
    <t>CENTURY 21 Cornerstone</t>
  </si>
  <si>
    <t>8418 Belford Ave, Los Angeles, CA 90045</t>
  </si>
  <si>
    <t>https://www.realtor.com/realestateandhomes-detail/8418-Belford-Ave_Los-Angeles_CA_90045_M25043-30723</t>
  </si>
  <si>
    <t>Michele Brown</t>
  </si>
  <si>
    <t>michelebrownassociates@gmail.com</t>
  </si>
  <si>
    <t>6125 West Blvd, Los Angeles, CA 90043</t>
  </si>
  <si>
    <t>https://www.realtor.com/realestateandhomes-detail/6125-West-Blvd_Los-Angeles_CA_90043_M19433-90612</t>
  </si>
  <si>
    <t>Denise Manning</t>
  </si>
  <si>
    <t>amerilegend@yahoo.com</t>
  </si>
  <si>
    <t>Manning &amp; Associates Real Estate Services</t>
  </si>
  <si>
    <t>2387 Earls Ct, Los Angeles, CA 90077</t>
  </si>
  <si>
    <t>https://www.realtor.com/realestateandhomes-detail/2387-Earls-Ct_Los-Angeles_CA_90077_M20312-32736</t>
  </si>
  <si>
    <t>Ike Obasi</t>
  </si>
  <si>
    <t>firstvisioninc@yahoo.com</t>
  </si>
  <si>
    <t>First Vision Real Estate and Financial Services</t>
  </si>
  <si>
    <t>5335 Fountain Ave, Los Angeles, CA 90029</t>
  </si>
  <si>
    <t>https://www.realtor.com/realestateandhomes-detail/5335-Fountain-Ave_Los-Angeles_CA_90029_M26634-55747</t>
  </si>
  <si>
    <t>Justin Freeling</t>
  </si>
  <si>
    <t>Justin.Freeling@compass.com</t>
  </si>
  <si>
    <t>22442 Via Pajaro, Coto de Caza, CA 92679</t>
  </si>
  <si>
    <t>https://www.realtor.com/realestateandhomes-detail/22442-Via-Pajaro_Trabuco-Canyon_CA_92679_M22652-43075</t>
  </si>
  <si>
    <t>Tiffany Cheung</t>
  </si>
  <si>
    <t>tiffcheung@gmail.com</t>
  </si>
  <si>
    <t>3699 Alta Mesa Dr, Studio City, CA 91604</t>
  </si>
  <si>
    <t>https://www.realtor.com/realestateandhomes-detail/3699-Alta-Mesa-Dr_Studio-City_CA_91604_M29912-90815</t>
  </si>
  <si>
    <t>Mila Walker</t>
  </si>
  <si>
    <t>mila@revelrealestate.com</t>
  </si>
  <si>
    <t>610 Main St, Venice, CA 90291</t>
  </si>
  <si>
    <t>https://www.realtor.com/realestateandhomes-detail/610-Main-St_Venice_CA_90291_M95792-50481</t>
  </si>
  <si>
    <t>Shane Willcox</t>
  </si>
  <si>
    <t>shane@shanewillcox.com</t>
  </si>
  <si>
    <t>101 Ocean Ave Unit A100, Santa Monica, CA 90402</t>
  </si>
  <si>
    <t>https://www.realtor.com/realestateandhomes-detail/101-Ocean-Ave-Unit-A100_Santa-Monica_CA_90402_M24919-53050</t>
  </si>
  <si>
    <t>Julie Scully</t>
  </si>
  <si>
    <t>juliescullybroker@gmail.com</t>
  </si>
  <si>
    <t>101 Ocean Ave Unit F402, Santa Monica, CA 90402</t>
  </si>
  <si>
    <t>https://www.realtor.com/realestateandhomes-detail/101-Ocean-Ave-Unit-F402_Santa-Monica_CA_90402_M24979-15601</t>
  </si>
  <si>
    <t>Frank Langen</t>
  </si>
  <si>
    <t>frank@inthecanyon.com</t>
  </si>
  <si>
    <t>914 N Sacramento St, Orange, CA 92867</t>
  </si>
  <si>
    <t>https://www.realtor.com/realestateandhomes-detail/914-N-Sacramento-St_Orange_CA_92867_M29106-71529</t>
  </si>
  <si>
    <t>Keegan Cin</t>
  </si>
  <si>
    <t>Keegan@cincoastrealty.com</t>
  </si>
  <si>
    <t>Kathrin Nicholson</t>
  </si>
  <si>
    <t>kn@weahomes.com</t>
  </si>
  <si>
    <t>1256 Monument St, Pacific Palisades, CA 90272</t>
  </si>
  <si>
    <t>https://www.realtor.com/realestateandhomes-detail/1256-Monument-St_Pacific-Palisades_CA_90272_M25463-24060</t>
  </si>
  <si>
    <t>Melissa Ellis</t>
  </si>
  <si>
    <t>melissa.ellis@gmail.com</t>
  </si>
  <si>
    <t>2496 Butler Ave, Los Angeles, CA 90064</t>
  </si>
  <si>
    <t>https://www.realtor.com/realestateandhomes-detail/2496-Butler-Ave_Los-Angeles_CA_90064_M25156-75466</t>
  </si>
  <si>
    <t>Jaclyn Naidoo</t>
  </si>
  <si>
    <t>jackie90266@gmail.com</t>
  </si>
  <si>
    <t>7218 Hillside Ave Unit 202, Los Angeles, CA 90046</t>
  </si>
  <si>
    <t>https://www.realtor.com/realestateandhomes-detail/7218-Hillside-Ave-Unit-202_Los-Angeles_CA_90046_M11786-94694</t>
  </si>
  <si>
    <t>Tomoko Maruo</t>
  </si>
  <si>
    <t>tomoko@indigo-america.com</t>
  </si>
  <si>
    <t>Indigo - A Real Estate Company</t>
  </si>
  <si>
    <t>5414 3rd Ave, Los Angeles, CA 90043</t>
  </si>
  <si>
    <t>https://www.realtor.com/realestateandhomes-detail/5414-3rd-Ave_Los-Angeles_CA_90043_M18411-65057</t>
  </si>
  <si>
    <t>Sameer Amaya Hossain</t>
  </si>
  <si>
    <t>sameer@svhenterprise.com</t>
  </si>
  <si>
    <t>735 S Arizona Ave, Los Angeles, CA 90022</t>
  </si>
  <si>
    <t>https://www.realtor.com/realestateandhomes-detail/735-S-Arizona-Ave_Los-Angeles_CA_90022_M23615-98465</t>
  </si>
  <si>
    <t>Adam Loria</t>
  </si>
  <si>
    <t>homes@adamloria.com</t>
  </si>
  <si>
    <t>CIRCLE REAL ESTATE</t>
  </si>
  <si>
    <t>8545 Charl Ln, Los Angeles, CA 90046</t>
  </si>
  <si>
    <t>https://www.realtor.com/realestateandhomes-detail/8545-Charl-Ln_Los-Angeles_CA_90046_M10912-31527</t>
  </si>
  <si>
    <t>Ronald Serio</t>
  </si>
  <si>
    <t>ron.serio@verizon.net</t>
  </si>
  <si>
    <t>764 W 12th St, San Pedro, CA 90731</t>
  </si>
  <si>
    <t>https://www.realtor.com/realestateandhomes-detail/764-W-12th-St_San-Pedro_CA_90731_M29255-25599</t>
  </si>
  <si>
    <t>Sergio Scerra</t>
  </si>
  <si>
    <t>sergioscerra@yahoo.com</t>
  </si>
  <si>
    <t>Cali Keys Realty</t>
  </si>
  <si>
    <t>990 Corsica Dr, Pacific Palisades, CA 90272</t>
  </si>
  <si>
    <t>https://www.realtor.com/realestateandhomes-detail/990-Corsica-Dr_Pacific-Palisades_CA_90272_M27873-58708</t>
  </si>
  <si>
    <t>Jeremiah Eden</t>
  </si>
  <si>
    <t>Jeremiah.Eden@Sothebys.Realty</t>
  </si>
  <si>
    <t>Marija Mladenovic</t>
  </si>
  <si>
    <t>marija@gogabby.com</t>
  </si>
  <si>
    <t>4069 Sawtelle Blvd, Los Angeles, CA 90066</t>
  </si>
  <si>
    <t>https://www.realtor.com/realestateandhomes-detail/4069-Sawtelle-Blvd_Los-Angeles_CA_90066_M15562-63777</t>
  </si>
  <si>
    <t>Natsuki Takano</t>
  </si>
  <si>
    <t>natsukitik@gmail.com</t>
  </si>
  <si>
    <t>Arcteria, Inc.</t>
  </si>
  <si>
    <t>906 W 59th, Los Angeles, CA 90044</t>
  </si>
  <si>
    <t>https://www.realtor.com/realestateandhomes-detail/906-W-59th_Los-Angeles_CA_90044_M96695-35485</t>
  </si>
  <si>
    <t>Nohemi Ramirez</t>
  </si>
  <si>
    <t>nohemi514@att.net</t>
  </si>
  <si>
    <t>1441 Brett Pl Unit 148, San Pedro, CA 90732</t>
  </si>
  <si>
    <t>https://www.realtor.com/realestateandhomes-detail/1441-Brett-Pl-Unit-148_San-Pedro_CA_90732_M25938-58711</t>
  </si>
  <si>
    <t>Joseph Nwabuzor</t>
  </si>
  <si>
    <t>joe.nwabuzor@westshoresrealty.com.com</t>
  </si>
  <si>
    <t>3901 DE Longpre Ave, Los Angeles, CA 90027</t>
  </si>
  <si>
    <t>https://www.realtor.com/realestateandhomes-detail/3901-DE-Longpre-Ave_Los-Angeles_CA_90027_M25554-33152</t>
  </si>
  <si>
    <t>Daniel Shieh</t>
  </si>
  <si>
    <t>daniel@lyonstahl.com</t>
  </si>
  <si>
    <t>501 Palisades Dr Apt 205, Pacific Palisades, CA 90272</t>
  </si>
  <si>
    <t>https://www.realtor.com/realestateandhomes-detail/501-Palisades-Dr-Apt-205_Pacific-Palisades_CA_90272_M29379-13116</t>
  </si>
  <si>
    <t>Keri Coughlan</t>
  </si>
  <si>
    <t>keri@haltonpardee.com</t>
  </si>
  <si>
    <t>8526 Hollywood Blvd, Los Angeles, CA 90069</t>
  </si>
  <si>
    <t>https://www.realtor.com/realestateandhomes-detail/8526-Hollywood-Blvd_Los-Angeles_CA_90069_M10497-38331</t>
  </si>
  <si>
    <t>Fred Doctorovich</t>
  </si>
  <si>
    <t>fred@afdrealty.com</t>
  </si>
  <si>
    <t>AFD Realty, Inc.</t>
  </si>
  <si>
    <t>1628 N Formosa Ave Apt A, Los Angeles, CA 90046</t>
  </si>
  <si>
    <t>https://www.realtor.com/realestateandhomes-detail/1628-N-Formosa-Ave-Apt-A_Los-Angeles_CA_90046_M11999-91214</t>
  </si>
  <si>
    <t>George Kahwaji</t>
  </si>
  <si>
    <t>george@rodeore.com</t>
  </si>
  <si>
    <t>LA Estate Brokerage</t>
  </si>
  <si>
    <t>10747 Valleyheart Dr, Studio City, CA 91604</t>
  </si>
  <si>
    <t>https://www.realtor.com/realestateandhomes-detail/10747-Valleyheart-Dr_Studio-City_CA_91604_M28915-03533</t>
  </si>
  <si>
    <t>Michelle Chavoor</t>
  </si>
  <si>
    <t>michelle.chavoor@thepartnerstrust.com</t>
  </si>
  <si>
    <t>1036 W 95th St, Los Angeles, CA 90044</t>
  </si>
  <si>
    <t>https://www.realtor.com/realestateandhomes-detail/1036-W-95th-St_Los-Angeles_CA_90044_M13149-32772</t>
  </si>
  <si>
    <t>Jesse Dougherty</t>
  </si>
  <si>
    <t>jesse@realtorjd.com</t>
  </si>
  <si>
    <t>1502 Paseo De Oro, Pacific Palisades, CA 90272</t>
  </si>
  <si>
    <t>https://www.realtor.com/realestateandhomes-detail/1502-Paseo-De-Oro_Pacific-Palisades_CA_90272_M12370-09596</t>
  </si>
  <si>
    <t>Marc Chorin</t>
  </si>
  <si>
    <t>MarcChorin@aol.com</t>
  </si>
  <si>
    <t>ZARA Equity Corp.</t>
  </si>
  <si>
    <t>12007 Rose Ave, Los Angeles, CA 90066</t>
  </si>
  <si>
    <t>https://www.realtor.com/realestateandhomes-detail/12007-Rose-Ave_Los-Angeles_CA_90066_M20688-56817</t>
  </si>
  <si>
    <t>Brian Selem</t>
  </si>
  <si>
    <t>Brian@TheSelemTeam.com</t>
  </si>
  <si>
    <t>4171 Holly Knoll Dr, Los Angeles, CA 90027</t>
  </si>
  <si>
    <t>https://www.realtor.com/realestateandhomes-detail/4171-Holly-Knoll-Dr_Los-Angeles_CA_90027_M15417-76772</t>
  </si>
  <si>
    <t>Carol Ann Walls-Sandell</t>
  </si>
  <si>
    <t>carolann@athomeCAL.com</t>
  </si>
  <si>
    <t>Christie's RE SoCal</t>
  </si>
  <si>
    <t>4506 Dockweiler St Unit 301, Los Angeles, CA 90019</t>
  </si>
  <si>
    <t>https://www.realtor.com/realestateandhomes-detail/4506-Dockweiler-St-Unit-301_Los-Angeles_CA_90019_M94685-02199</t>
  </si>
  <si>
    <t>Renee Pietrangelo</t>
  </si>
  <si>
    <t>reneepietrangelo@gmail.com</t>
  </si>
  <si>
    <t>3538 City Terrace Dr, Los Angeles, CA 90063</t>
  </si>
  <si>
    <t>https://www.realtor.com/realestateandhomes-detail/3538-City-Terrace-Dr_Los-Angeles_CA_90063_M18882-70676</t>
  </si>
  <si>
    <t>Isabel Vasquez</t>
  </si>
  <si>
    <t>isabel.vasquez21@yahoo.com</t>
  </si>
  <si>
    <t>Big Block Powerhouse Realty</t>
  </si>
  <si>
    <t>337 Museum Dr, Los Angeles, CA 90065</t>
  </si>
  <si>
    <t>https://www.realtor.com/realestateandhomes-detail/337-Museum-Dr_Los-Angeles_CA_90065_M12405-30265</t>
  </si>
  <si>
    <t>Francine Biton</t>
  </si>
  <si>
    <t>francine@l34group.com</t>
  </si>
  <si>
    <t>2351 Cabot St, Los Angeles, CA 90031</t>
  </si>
  <si>
    <t>https://www.realtor.com/realestateandhomes-detail/2351-Cabot-St_Los-Angeles_CA_90031_M29589-11512</t>
  </si>
  <si>
    <t>Amy Walker</t>
  </si>
  <si>
    <t>amy@tracydo.com</t>
  </si>
  <si>
    <t>3991 Hubert Ave, Leimert Park, CA 90008</t>
  </si>
  <si>
    <t>https://www.realtor.com/realestateandhomes-detail/3991-Hubert-Ave_Leimert-Park_CA_90008_M26951-14128</t>
  </si>
  <si>
    <t>jorge Acuna</t>
  </si>
  <si>
    <t>jorgedacuna@gmail.com</t>
  </si>
  <si>
    <t>Infinity Realty &amp; Investments</t>
  </si>
  <si>
    <t>15155 Sherman Way Unit 26, Van Nuys, CA 91405</t>
  </si>
  <si>
    <t>https://www.realtor.com/realestateandhomes-detail/15155-Sherman-Way-Unit-26_Van-Nuys_CA_91405_M28397-12986</t>
  </si>
  <si>
    <t>Gary Livingood</t>
  </si>
  <si>
    <t>realestate@iamlivingood.com</t>
  </si>
  <si>
    <t>1438 E 20th St, Los Angeles, CA 90011</t>
  </si>
  <si>
    <t>https://www.realtor.com/realestateandhomes-detail/1438-E-20th-St_Los-Angeles_CA_90011_M27066-55198</t>
  </si>
  <si>
    <t>Jose Perez</t>
  </si>
  <si>
    <t>jperez.lotusgroup@gmail.com</t>
  </si>
  <si>
    <t>4016 Ingraham St, Los Angeles, CA 90005</t>
  </si>
  <si>
    <t>https://www.realtor.com/realestateandhomes-detail/4016-Ingraham-St_Los-Angeles_CA_90005_M22338-99452</t>
  </si>
  <si>
    <t>Georgina Melendez</t>
  </si>
  <si>
    <t>realty.gina@gmail.com</t>
  </si>
  <si>
    <t>Iet Real Estate</t>
  </si>
  <si>
    <t>3663 Roderick Rd, Los Angeles, CA 90065</t>
  </si>
  <si>
    <t>https://www.realtor.com/realestateandhomes-detail/3663-Roderick-Rd_Los-Angeles_CA_90065_M11064-84670</t>
  </si>
  <si>
    <t>Keely A Myres</t>
  </si>
  <si>
    <t>keelymyres@msn.com</t>
  </si>
  <si>
    <t>3335 Folsom St, Los Angeles, CA 90063</t>
  </si>
  <si>
    <t>https://www.realtor.com/realestateandhomes-detail/3335-Folsom-St_Los-Angeles_CA_90063_M23761-71740</t>
  </si>
  <si>
    <t>Jesse Barocio</t>
  </si>
  <si>
    <t>jesse_c21@yahoo.com</t>
  </si>
  <si>
    <t>CENTURY 21 Realty Masters</t>
  </si>
  <si>
    <t>2842 W Avenue 33, Los Angeles, CA 90065</t>
  </si>
  <si>
    <t>https://www.realtor.com/realestateandhomes-detail/2842-W-Avenue-33_Los-Angeles_CA_90065_M10693-30525</t>
  </si>
  <si>
    <t>Robert E Silva</t>
  </si>
  <si>
    <t>res@robertsilva.com</t>
  </si>
  <si>
    <t>SILVA REAL ESTATE GRP.</t>
  </si>
  <si>
    <t>2822 S LA Salle Ave, Los Angeles, CA 90018</t>
  </si>
  <si>
    <t>https://www.realtor.com/realestateandhomes-detail/2822-S-LA-Salle-Ave_Los-Angeles_CA_90018_M12561-52919</t>
  </si>
  <si>
    <t>Scott Goshorn</t>
  </si>
  <si>
    <t>ScottG@rodeore.com</t>
  </si>
  <si>
    <t>3920 Longridge Ave, Sherman Oaks, CA 91423</t>
  </si>
  <si>
    <t>https://www.realtor.com/realestateandhomes-detail/3920-Longridge-Ave_Sherman-Oaks_CA_91423_M14316-22498</t>
  </si>
  <si>
    <t>Joe Custer</t>
  </si>
  <si>
    <t>joe.custer@exprealty.com</t>
  </si>
  <si>
    <t>5405-5411 Newtonia, Los Angeles, CA 90032</t>
  </si>
  <si>
    <t>https://www.realtor.com/realestateandhomes-detail/5405-5411-Newtonia_Los-Angeles_CA_90032_M96239-59394</t>
  </si>
  <si>
    <t>Erika Rodriguez</t>
  </si>
  <si>
    <t>erikarodriguez.la@gmail.com</t>
  </si>
  <si>
    <t>Red House Realty, Inc</t>
  </si>
  <si>
    <t>1308 N Ogden Dr, West Hollywood, CA 90046</t>
  </si>
  <si>
    <t>https://www.realtor.com/realestateandhomes-detail/1308-N-Ogden-Dr_West-Hollywood_CA_90046_M28348-04551</t>
  </si>
  <si>
    <t>Leslie Romenesko</t>
  </si>
  <si>
    <t>Leslie.Romenesko@elliman.com</t>
  </si>
  <si>
    <t>2236 Griffin Ave, Los Angeles, CA 90031</t>
  </si>
  <si>
    <t>https://www.realtor.com/realestateandhomes-detail/2236-Griffin-Ave_Los-Angeles_CA_90031_M14171-30418</t>
  </si>
  <si>
    <t>Joseph Cloninger</t>
  </si>
  <si>
    <t>joe@urbanhillsides.com</t>
  </si>
  <si>
    <t>144 W 45th St, Los Angeles, CA 90037</t>
  </si>
  <si>
    <t>https://www.realtor.com/realestateandhomes-detail/144-W-45th-St_Los-Angeles_CA_90037_M24688-98485</t>
  </si>
  <si>
    <t>Michelle Covington</t>
  </si>
  <si>
    <t>michellec@genearmstrong.com</t>
  </si>
  <si>
    <t>5228 Longfellow St, Los Angeles, CA 90042</t>
  </si>
  <si>
    <t>https://www.realtor.com/realestateandhomes-detail/5228-Longfellow-St_Los-Angeles_CA_90042_M12616-22788</t>
  </si>
  <si>
    <t>Ramiro Hernandez</t>
  </si>
  <si>
    <t>ramiro4035@sbcglobal.net</t>
  </si>
  <si>
    <t>5110 Whittier Blvd, Los Angeles, CA 90022</t>
  </si>
  <si>
    <t>https://www.realtor.com/realestateandhomes-detail/5110-Whittier-Blvd_Los-Angeles_CA_90022_M98527-89245</t>
  </si>
  <si>
    <t>Luis G.Sanchez</t>
  </si>
  <si>
    <t>luisgsanchez38@gmail.com</t>
  </si>
  <si>
    <t>Luis Sanchez, Broker</t>
  </si>
  <si>
    <t>2237 Avenue 33 W, Glassell Park, CA 90065</t>
  </si>
  <si>
    <t>https://www.realtor.com/realestateandhomes-detail/2237-12-W-Avenue-33_Glassell-Park_CA_90065_M93514-35788</t>
  </si>
  <si>
    <t>Stephen Simmons</t>
  </si>
  <si>
    <t>stephen@trgreinc.com</t>
  </si>
  <si>
    <t>, Los Angeles, CA 90047</t>
  </si>
  <si>
    <t>https://www.realtor.com/realestateandhomes-detail/Los-Angeles_CA_90047_M10622-04507</t>
  </si>
  <si>
    <t>Maesoa Darton</t>
  </si>
  <si>
    <t>maesoa@aol.com</t>
  </si>
  <si>
    <t>Montecito Realty Co</t>
  </si>
  <si>
    <t>5413 W Slauson Ave, Los Angeles, CA 90056</t>
  </si>
  <si>
    <t>https://www.realtor.com/realestateandhomes-detail/5413-W-Slauson-Ave_Los-Angeles_CA_90056_M24134-29093</t>
  </si>
  <si>
    <t>Mary Hall</t>
  </si>
  <si>
    <t>meh16hem@gmail.com</t>
  </si>
  <si>
    <t>M.E. Hall &amp; Associates Realty</t>
  </si>
  <si>
    <t>16918 Marquez Ave, Pacific Palisades, CA 90272</t>
  </si>
  <si>
    <t>https://www.realtor.com/realestateandhomes-detail/16918-Marquez-Ave_Pacific-Palisades_CA_90272_M29094-04670</t>
  </si>
  <si>
    <t>Marc J Robinson</t>
  </si>
  <si>
    <t>mjr1969@gmail.com</t>
  </si>
  <si>
    <t>4635 Esparto St, Woodland Hills, CA 91364</t>
  </si>
  <si>
    <t>https://www.realtor.com/realestateandhomes-detail/4635-Esparto-St_Woodland-Hills_CA_91364_M21778-69848</t>
  </si>
  <si>
    <t>Nikolai Medvedev</t>
  </si>
  <si>
    <t>nikolaimedvedev@bhhscal.com</t>
  </si>
  <si>
    <t>1930 Yosemite Dr, Los Angeles, CA 90041</t>
  </si>
  <si>
    <t>https://www.realtor.com/realestateandhomes-detail/1930-Yosemite-Dr_Los-Angeles_CA_90041_M12695-37689</t>
  </si>
  <si>
    <t>Rhonda Newborg</t>
  </si>
  <si>
    <t>trnewborg@gmail.com</t>
  </si>
  <si>
    <t>The Jmr Group</t>
  </si>
  <si>
    <t>4616 Hammel St, Los Angeles, CA 90022</t>
  </si>
  <si>
    <t>https://www.realtor.com/realestateandhomes-detail/4616-Hammel-St_Los-Angeles_CA_90022_M20978-30124</t>
  </si>
  <si>
    <t>Elvis Navarro</t>
  </si>
  <si>
    <t>enavarrodlp@gmail.com</t>
  </si>
  <si>
    <t>Dlp Realty Sales &amp; Loans</t>
  </si>
  <si>
    <t>3635 Kalsman Dr Unit 4, Los Angeles, CA 90016</t>
  </si>
  <si>
    <t>https://www.realtor.com/realestateandhomes-detail/3635-Kalsman-Dr-Unit-4_Los-Angeles_CA_90016_M26534-96294</t>
  </si>
  <si>
    <t>Robert A Rodriguez</t>
  </si>
  <si>
    <t>bobby.rodriguez@compass.com</t>
  </si>
  <si>
    <t>6300 Holmes Ave, Los Angeles, CA 90001</t>
  </si>
  <si>
    <t>https://www.realtor.com/realestateandhomes-detail/6300-Holmes-Ave_Los-Angeles_CA_90001_M27839-02422</t>
  </si>
  <si>
    <t>Ivania I Gonzalez</t>
  </si>
  <si>
    <t>ivalsa2000@yahoo.com</t>
  </si>
  <si>
    <t>CENTURY 21 REALTY MASTERS</t>
  </si>
  <si>
    <t>249 Steely, Irvine, CA 92614</t>
  </si>
  <si>
    <t>https://www.realtor.com/realestateandhomes-detail/249-Steely_Irvine_CA_92614_M94591-60388</t>
  </si>
  <si>
    <t>Meng Chen</t>
  </si>
  <si>
    <t>chenmeng0227@gmail.com</t>
  </si>
  <si>
    <t>400 S Broadway Apt 2304, Los Angeles, CA 90013</t>
  </si>
  <si>
    <t>https://www.realtor.com/realestateandhomes-detail/400-S-Broadway-Apt-2304_Los-Angeles_CA_90013_M98631-01566</t>
  </si>
  <si>
    <t>Sal Salinas</t>
  </si>
  <si>
    <t>salsalinas13@gmail.com</t>
  </si>
  <si>
    <t>6001 Carlton Way Apt 102, Los Angeles, CA 90028</t>
  </si>
  <si>
    <t>https://www.realtor.com/realestateandhomes-detail/6001-Carlton-Way-Apt-102_Los-Angeles_CA_90028_M11828-29561</t>
  </si>
  <si>
    <t>Jason S. Lowery</t>
  </si>
  <si>
    <t>info@thelowerygroupre.com</t>
  </si>
  <si>
    <t>4635 Bellflower Ave, North Hollywood, CA 91602</t>
  </si>
  <si>
    <t>https://www.realtor.com/realestateandhomes-detail/4635-Bellflower-Ave_North-Hollywood_CA_91602_M27250-97468</t>
  </si>
  <si>
    <t>Kristin Neithercut</t>
  </si>
  <si>
    <t>kristinn@aaroe.com</t>
  </si>
  <si>
    <t>401 E 46th St, Los Angeles, CA 90011</t>
  </si>
  <si>
    <t>https://www.realtor.com/realestateandhomes-detail/401-E-46th-St_Los-Angeles_CA_90011_M24376-32359</t>
  </si>
  <si>
    <t>Alejandro Soto</t>
  </si>
  <si>
    <t>alejandros_soto@yahoo.com</t>
  </si>
  <si>
    <t>7919 Naomi Ave, Los Angeles, CA 90001</t>
  </si>
  <si>
    <t>https://www.realtor.com/realestateandhomes-detail/7919-Naomi-Ave_Los-Angeles_CA_90001_M13794-12209</t>
  </si>
  <si>
    <t>Miguel Valencia</t>
  </si>
  <si>
    <t>mvalencia421@gmail.com</t>
  </si>
  <si>
    <t>6201-1/2 Saylin Ln, Los Angeles, CA 90042</t>
  </si>
  <si>
    <t>https://www.realtor.com/realestateandhomes-detail/6201-12-Saylin-Ln_Los-Angeles_CA_90042_M95487-30697</t>
  </si>
  <si>
    <t>Kinga Dorosz</t>
  </si>
  <si>
    <t>kingadorosz@kw.com</t>
  </si>
  <si>
    <t>633 Sunnyhill Dr, Los Angeles, CA 90065</t>
  </si>
  <si>
    <t>https://www.realtor.com/realestateandhomes-detail/633-Sunnyhill-Dr_Los-Angeles_CA_90065_M22340-84925</t>
  </si>
  <si>
    <t>Cassandra Nufable</t>
  </si>
  <si>
    <t>cnufable7@gmail.com</t>
  </si>
  <si>
    <t>Macross Group</t>
  </si>
  <si>
    <t>1717 E 122nd St, Los Angeles, CA 90059</t>
  </si>
  <si>
    <t>https://www.realtor.com/realestateandhomes-detail/1717-E-122nd-St_Los-Angeles_CA_90059_M18518-95722</t>
  </si>
  <si>
    <t>Joe Cruz</t>
  </si>
  <si>
    <t>teamcruz.realestate@gmail.com</t>
  </si>
  <si>
    <t>2350 San Marco Dr, Los Angeles, CA 90068</t>
  </si>
  <si>
    <t>https://www.realtor.com/realestateandhomes-detail/2350-San-Marco-Dr_Los-Angeles_CA_90068_M12101-09884</t>
  </si>
  <si>
    <t>Tyler Williams</t>
  </si>
  <si>
    <t>tylerhill@theagencyre.com</t>
  </si>
  <si>
    <t>4303 San Rafael Ave, Los Angeles, CA 90042</t>
  </si>
  <si>
    <t>https://www.realtor.com/realestateandhomes-detail/4303-San-Rafael-Ave_Los-Angeles_CA_90042_M13116-70949</t>
  </si>
  <si>
    <t>Grace Gaerlan</t>
  </si>
  <si>
    <t>Grace@LAHomesWithGrace.com</t>
  </si>
  <si>
    <t>3126 Blanchard St, Los Angeles, CA 90063</t>
  </si>
  <si>
    <t>https://www.realtor.com/realestateandhomes-detail/3126-Blanchard-St_Los-Angeles_CA_90063_M11219-09621</t>
  </si>
  <si>
    <t>Karla Brenda Gomez</t>
  </si>
  <si>
    <t>karla@kglistings.com</t>
  </si>
  <si>
    <t>Nueva Real Estate</t>
  </si>
  <si>
    <t>Seraphina Ai</t>
  </si>
  <si>
    <t>seraphina.ai@kw.com</t>
  </si>
  <si>
    <t>4603 Ellenwood Dr, Los Angeles, CA 90041</t>
  </si>
  <si>
    <t>https://www.realtor.com/realestateandhomes-detail/4603-Ellenwood-Dr_Los-Angeles_CA_90041_M13641-78662</t>
  </si>
  <si>
    <t>Katherine Vargas</t>
  </si>
  <si>
    <t>enkvargas@hotmail.com</t>
  </si>
  <si>
    <t>4516 St Charles Pl, Los Angeles, CA 90019</t>
  </si>
  <si>
    <t>https://www.realtor.com/realestateandhomes-detail/4516-St-Charles-Pl_Los-Angeles_CA_90019_M17339-76833</t>
  </si>
  <si>
    <t>Yvonne Y Kim</t>
  </si>
  <si>
    <t>yvonne.ys.kim@gmail.com</t>
  </si>
  <si>
    <t>WIN Realty &amp; Properties</t>
  </si>
  <si>
    <t>4400 Don Zarembo Dr, Los Angeles, CA 90008</t>
  </si>
  <si>
    <t>https://www.realtor.com/realestateandhomes-detail/4400-Don-Zarembo-Dr_Los-Angeles_CA_90008_M25479-88187</t>
  </si>
  <si>
    <t>Thelma Wacasey</t>
  </si>
  <si>
    <t>Thelmatherealtor@gmail.com</t>
  </si>
  <si>
    <t>1858 Blue Heights Dr, Los Angeles, CA 90069</t>
  </si>
  <si>
    <t>https://www.realtor.com/realestateandhomes-detail/1858-Blue-Heights-Dr_Los-Angeles_CA_90069_M96548-95945</t>
  </si>
  <si>
    <t>Daniel Damico</t>
  </si>
  <si>
    <t>daniel@thealtmanbrothers.com</t>
  </si>
  <si>
    <t>620 W 41st, Los Angeles, CA 90037</t>
  </si>
  <si>
    <t>https://www.realtor.com/realestateandhomes-detail/620-W-41st_Los-Angeles_CA_90037_M95463-89739</t>
  </si>
  <si>
    <t>Lance Maxwell</t>
  </si>
  <si>
    <t>lance@abmrealtygroup.com</t>
  </si>
  <si>
    <t>Abm Realty Group</t>
  </si>
  <si>
    <t>4116 W 59th St, Los Angeles, CA 90043</t>
  </si>
  <si>
    <t>https://www.realtor.com/realestateandhomes-detail/4116-W-59th-St_Los-Angeles_CA_90043_M25638-31288</t>
  </si>
  <si>
    <t>Christie  Thomas</t>
  </si>
  <si>
    <t>askchristietherealtor@gmail.com</t>
  </si>
  <si>
    <t>Coldwell Banker Champion Realty</t>
  </si>
  <si>
    <t>Camilo Valentin</t>
  </si>
  <si>
    <t>Camilo@RedHouseRealty.com</t>
  </si>
  <si>
    <t>2032 W 77th St, Los Angeles, CA 90047</t>
  </si>
  <si>
    <t>https://www.realtor.com/realestateandhomes-detail/2032-W-77th-St_Los-Angeles_CA_90047_M11304-38447</t>
  </si>
  <si>
    <t>Jeovanny Gonzalez</t>
  </si>
  <si>
    <t>jeovannygonzalez27@gmail.com</t>
  </si>
  <si>
    <t>415 Campdell St, Playa Del Rey, CA 90293</t>
  </si>
  <si>
    <t>https://www.realtor.com/realestateandhomes-detail/415-Campdell-St_Playa-Del-Rey_CA_90293_M17716-35031</t>
  </si>
  <si>
    <t>John Scott</t>
  </si>
  <si>
    <t>brokerjohnscott@gmail.com</t>
  </si>
  <si>
    <t>John L. Scott Real Estate</t>
  </si>
  <si>
    <t>9603 Holmes Ave, Los Angeles, CA 90002</t>
  </si>
  <si>
    <t>https://www.realtor.com/realestateandhomes-detail/9603-Holmes-Ave_Los-Angeles_CA_90002_M19204-01897</t>
  </si>
  <si>
    <t>Norma Lopez</t>
  </si>
  <si>
    <t>normalopezrealestate@gmail.com</t>
  </si>
  <si>
    <t>Berkshire Hathaway Home Serv.</t>
  </si>
  <si>
    <t>2266 W Earl St, Los Angeles, CA 90039</t>
  </si>
  <si>
    <t>https://www.realtor.com/realestateandhomes-detail/2266-Earl-St_Los-Angeles_CA_90039_M12816-62294</t>
  </si>
  <si>
    <t>Hanna Azboy</t>
  </si>
  <si>
    <t>hannaazboy@gmail.com</t>
  </si>
  <si>
    <t>2010 W 85th St, Los Angeles, CA 90047</t>
  </si>
  <si>
    <t>https://www.realtor.com/realestateandhomes-detail/2010-W-85th-St_Los-Angeles_CA_90047_M16290-94024</t>
  </si>
  <si>
    <t>Anthony Usher</t>
  </si>
  <si>
    <t>innovative.foreclosure.help@gmail.com</t>
  </si>
  <si>
    <t>Gemini 2 Realty Inc</t>
  </si>
  <si>
    <t>1750 Camino Palmero St Apt 237, Los Angeles, CA 90046</t>
  </si>
  <si>
    <t>https://www.realtor.com/realestateandhomes-detail/1750-Camino-Palmero-St-Apt-237_Los-Angeles_CA_90046_M27846-07326</t>
  </si>
  <si>
    <t>Craig K. Koendarfer</t>
  </si>
  <si>
    <t>ckksales@aol.com</t>
  </si>
  <si>
    <t>361 N Mansfield Ave, Los Angeles, CA 90036</t>
  </si>
  <si>
    <t>https://www.realtor.com/realestateandhomes-detail/361-N-Mansfield-Ave_Los-Angeles_CA_90036_M22448-47416</t>
  </si>
  <si>
    <t>Jennifer Gainey</t>
  </si>
  <si>
    <t>jgainey411@gmail.com</t>
  </si>
  <si>
    <t>1522 E 123rd St, Los Angeles, CA 90059</t>
  </si>
  <si>
    <t>https://www.realtor.com/realestateandhomes-detail/1522-E-123rd-St_Los-Angeles_CA_90059_M17823-57473</t>
  </si>
  <si>
    <t>Leonel Molina Jr</t>
  </si>
  <si>
    <t>leonelmolina@yahoo.com</t>
  </si>
  <si>
    <t>First Investments Realty &amp; Mortgage</t>
  </si>
  <si>
    <t>4669 W Olympic Blvd, Los Angeles, CA 90019</t>
  </si>
  <si>
    <t>https://www.realtor.com/realestateandhomes-detail/4669-W-Olympic-Blvd_Los-Angeles_CA_90019_M21731-18700</t>
  </si>
  <si>
    <t>Ivan Estrada</t>
  </si>
  <si>
    <t>Ivan.Estrada@elliman.com</t>
  </si>
  <si>
    <t>13361 El Dorado Dr Apt 201F, Seal Beach, CA 90740</t>
  </si>
  <si>
    <t>https://www.realtor.com/realestateandhomes-detail/13361-El-Dorado-Dr-Apt-201F_Seal-Beach_CA_90740_M93856-68982</t>
  </si>
  <si>
    <t>Craig Jaunzemis</t>
  </si>
  <si>
    <t>craigjaunzemis@yahoo.com</t>
  </si>
  <si>
    <t>1647 W 215th St, Torrance, CA 90501</t>
  </si>
  <si>
    <t>https://www.realtor.com/realestateandhomes-detail/1647-W-215th-St_Torrance_CA_90501_M19925-84101</t>
  </si>
  <si>
    <t>Ariadna Cardenas</t>
  </si>
  <si>
    <t>ariadnac76@yahoo.com</t>
  </si>
  <si>
    <t>4743 Purdue Ave, Culver City, CA 90230</t>
  </si>
  <si>
    <t>https://www.realtor.com/realestateandhomes-detail/4743-Purdue-Ave_Culver-City_CA_90230_M92256-55148</t>
  </si>
  <si>
    <t>Nancy Zelada</t>
  </si>
  <si>
    <t>nancyzbroker@gmail.com</t>
  </si>
  <si>
    <t>Century 21 Cornerstone</t>
  </si>
  <si>
    <t>4632 Abner St, Los Angeles, CA 90032</t>
  </si>
  <si>
    <t>https://www.realtor.com/realestateandhomes-detail/4632-Abner-St_Los-Angeles_CA_90032_M16555-57918</t>
  </si>
  <si>
    <t>John Fontamillas</t>
  </si>
  <si>
    <t>jfontam79@gmail.com</t>
  </si>
  <si>
    <t>ALIGN HOMES</t>
  </si>
  <si>
    <t>23143 Leonora Dr, Woodland Hills, CA 91367</t>
  </si>
  <si>
    <t>https://www.realtor.com/realestateandhomes-detail/23143-Leonora-Dr_Woodland-Hills_CA_91367_M18846-09625</t>
  </si>
  <si>
    <t>Sarit Cohen</t>
  </si>
  <si>
    <t>sarabusiness818@gmail.com</t>
  </si>
  <si>
    <t>3320 Stoner Ave, Los Angeles, CA 90066</t>
  </si>
  <si>
    <t>https://www.realtor.com/realestateandhomes-detail/3320-Stoner-Ave_Los-Angeles_CA_90066_M22208-64596</t>
  </si>
  <si>
    <t>Tholfaqar Al Emara</t>
  </si>
  <si>
    <t>dolf.a@kw.com</t>
  </si>
  <si>
    <t>220 E Avenue 38, Los Angeles, CA 90031</t>
  </si>
  <si>
    <t>https://www.realtor.com/realestateandhomes-detail/220-E-Avenue-38_Los-Angeles_CA_90031_M25375-55191</t>
  </si>
  <si>
    <t>Luis Estrada</t>
  </si>
  <si>
    <t>lestradaremax@gmail.com</t>
  </si>
  <si>
    <t>Remax Dynasty</t>
  </si>
  <si>
    <t>5430 Auckland Ave, North Hollywood, CA 91601</t>
  </si>
  <si>
    <t>https://www.realtor.com/realestateandhomes-detail/5430-Auckland-Ave_North-Hollywood_CA_91601_M19085-52030</t>
  </si>
  <si>
    <t>Victor J Caro</t>
  </si>
  <si>
    <t>vc@avidaassociates.com</t>
  </si>
  <si>
    <t>Avida &amp; Associates</t>
  </si>
  <si>
    <t>12007 Rochester Ave Apt 3, Los Angeles, CA 90025</t>
  </si>
  <si>
    <t>https://www.realtor.com/realestateandhomes-detail/12007-Rochester-Ave-Apt-3_Los-Angeles_CA_90025_M25887-16714</t>
  </si>
  <si>
    <t>Jason Reitz</t>
  </si>
  <si>
    <t>Jason@RockRealtyGroup.com</t>
  </si>
  <si>
    <t>Rock Realty Group</t>
  </si>
  <si>
    <t>2041 N Vermont Ave, Los Angeles, CA 90027</t>
  </si>
  <si>
    <t>https://www.realtor.com/realestateandhomes-detail/2041-N-Vermont-Ave-Apt-103_Los-Angeles_CA_90027_M13298-21020</t>
  </si>
  <si>
    <t>Lane Aronson</t>
  </si>
  <si>
    <t>LaneAronson@REALTOR.com</t>
  </si>
  <si>
    <t>7868 Electra Dr, Los Angeles, CA 90046</t>
  </si>
  <si>
    <t>https://www.realtor.com/realestateandhomes-detail/7868-Electra-Dr_Los-Angeles_CA_90046_M11490-31004</t>
  </si>
  <si>
    <t>John Johnston</t>
  </si>
  <si>
    <t>John.Johnston@sothebyshomes.com</t>
  </si>
  <si>
    <t>David Lozano</t>
  </si>
  <si>
    <t>davidlozano@sbcglobal.net</t>
  </si>
  <si>
    <t>IET Real Estate</t>
  </si>
  <si>
    <t>10633 Kinnard Ave Apt 14, Los Angeles, CA 90024</t>
  </si>
  <si>
    <t>https://www.realtor.com/realestateandhomes-detail/10633-Kinnard-Ave-Apt-14_Los-Angeles_CA_90024_M17689-56500</t>
  </si>
  <si>
    <t>Roland Quino</t>
  </si>
  <si>
    <t>roland.quino@compass.com</t>
  </si>
  <si>
    <t>1237 N Evergreen Ave, Los Angeles, CA 90033</t>
  </si>
  <si>
    <t>https://www.realtor.com/realestateandhomes-detail/1237-N-Evergreen-Ave_Los-Angeles_CA_90033_M11068-16914</t>
  </si>
  <si>
    <t>Armando Arenas</t>
  </si>
  <si>
    <t>armandoarenas46@gmail.com</t>
  </si>
  <si>
    <t>GEORGE MICHAEL REALTY</t>
  </si>
  <si>
    <t>4812 Saturn St, Los Angeles, CA 90019</t>
  </si>
  <si>
    <t>https://www.realtor.com/realestateandhomes-detail/4812-Saturn-St_Los-Angeles_CA_90019_M23598-72859</t>
  </si>
  <si>
    <t>Azucena Carrillo</t>
  </si>
  <si>
    <t>azubca@gmail.com</t>
  </si>
  <si>
    <t>2018 Griffith Park Blvd Apt 318, Los Angeles, CA 90039</t>
  </si>
  <si>
    <t>https://www.realtor.com/realestateandhomes-detail/2018-Griffith-Park-Blvd-Apt-318_Los-Angeles_CA_90039_M25842-39726</t>
  </si>
  <si>
    <t>Joey Kiralla</t>
  </si>
  <si>
    <t>Joseph.Kiralla@Sothebys.Realty</t>
  </si>
  <si>
    <t>4854 Alonzo Ave, Encino, CA 91316</t>
  </si>
  <si>
    <t>https://www.realtor.com/realestateandhomes-detail/4854-Alonzo-Ave_Encino_CA_91316_M21765-28274</t>
  </si>
  <si>
    <t>Ophelie Maskanian</t>
  </si>
  <si>
    <t>ophelie@nightfallrealty.com</t>
  </si>
  <si>
    <t>6110 Dennison St, Los Angeles, CA 90022</t>
  </si>
  <si>
    <t>https://www.realtor.com/realestateandhomes-detail/6110-Dennison-St_Los-Angeles_CA_90022_M15704-03313</t>
  </si>
  <si>
    <t>James R Escamilla</t>
  </si>
  <si>
    <t>jamesandmercy@excellencere.com</t>
  </si>
  <si>
    <t>Century 21 Masters</t>
  </si>
  <si>
    <t>3417 Arlington Ave, Los Angeles, CA 90018</t>
  </si>
  <si>
    <t>https://www.realtor.com/realestateandhomes-detail/3417-Arlington-Ave_Los-Angeles_CA_90018_M28183-33555</t>
  </si>
  <si>
    <t>Fredd Garcia</t>
  </si>
  <si>
    <t>fredd2c@gmail.com</t>
  </si>
  <si>
    <t>Bo Hyok Kim, Broker</t>
  </si>
  <si>
    <t>3878 E 1st St, Los Angeles, CA 90063</t>
  </si>
  <si>
    <t>https://www.realtor.com/realestateandhomes-detail/3878-E-1st-St_Los-Angeles_CA_90063_M20390-24467</t>
  </si>
  <si>
    <t>JESSE GARCIA THE REALTOR</t>
  </si>
  <si>
    <t>jessegarciahomes@gmail.com</t>
  </si>
  <si>
    <t>REALTY WORLD CALIFORNIA AGENT</t>
  </si>
  <si>
    <t>8008 Aura Ave, Reseda, CA 91335</t>
  </si>
  <si>
    <t>https://www.realtor.com/realestateandhomes-detail/8008-Aura-Ave_Reseda_CA_91335_M11490-05813</t>
  </si>
  <si>
    <t>Aida Karapetian</t>
  </si>
  <si>
    <t>aida@jhagents.com</t>
  </si>
  <si>
    <t>151 E 69th St, Los Angeles, CA 90003</t>
  </si>
  <si>
    <t>https://www.realtor.com/realestateandhomes-detail/151-E-69th-St_Los-Angeles_CA_90003_M28755-39375</t>
  </si>
  <si>
    <t>Jose Alvarez Meza</t>
  </si>
  <si>
    <t>josealvarezhomes@gmail.com</t>
  </si>
  <si>
    <t>PAK HOME REALTY</t>
  </si>
  <si>
    <t>3546 Multiview Dr, Los Angeles, CA 90068</t>
  </si>
  <si>
    <t>https://www.realtor.com/realestateandhomes-detail/3546-Multiview-Dr_Los-Angeles_CA_90068_M21023-72197</t>
  </si>
  <si>
    <t>Barbara Chen</t>
  </si>
  <si>
    <t>barbara_Chen@icloud.com</t>
  </si>
  <si>
    <t>Keller Williams SD Metro</t>
  </si>
  <si>
    <t>9427 Baird Ave, Los Angeles, CA 90002</t>
  </si>
  <si>
    <t>https://www.realtor.com/realestateandhomes-detail/9427-Baird-Ave_Los-Angeles_CA_90002_M19498-41991</t>
  </si>
  <si>
    <t>Christel Cottrell</t>
  </si>
  <si>
    <t>christel@yourhousedreams.com</t>
  </si>
  <si>
    <t>3007 Belden Dr, Los Angeles, CA 90068</t>
  </si>
  <si>
    <t>https://www.realtor.com/realestateandhomes-detail/3007-Belden-Dr_Los-Angeles_CA_90068_M13438-94617</t>
  </si>
  <si>
    <t>Aliza Tesar</t>
  </si>
  <si>
    <t>aliza@equityunion.com</t>
  </si>
  <si>
    <t>1333 Wildwood Dr, Eagle Rock, CA 90041</t>
  </si>
  <si>
    <t>https://www.realtor.com/realestateandhomes-detail/1333-Wildwood-Dr_Eagle-Rock_CA_90041_M21312-33705</t>
  </si>
  <si>
    <t>Levon Torosyan</t>
  </si>
  <si>
    <t>levon@theartinrealestate.com</t>
  </si>
  <si>
    <t>The Art In Real Estate</t>
  </si>
  <si>
    <t>8410 Hollywood Blvd, Los Angeles, CA 90069</t>
  </si>
  <si>
    <t>https://www.realtor.com/realestateandhomes-detail/8410-Hollywood-Blvd_Los-Angeles_CA_90069_M29005-41673</t>
  </si>
  <si>
    <t>Linda Chamberlain</t>
  </si>
  <si>
    <t>linda.chamberlain@sothebyshomes.com</t>
  </si>
  <si>
    <t>9631 S Harvard Blvd, Los Angeles, CA 90047</t>
  </si>
  <si>
    <t>https://www.realtor.com/realestateandhomes-detail/9631-S-Harvard-Blvd_Los-Angeles_CA_90047_M22139-08460</t>
  </si>
  <si>
    <t>Arlett Hamilton</t>
  </si>
  <si>
    <t>arlett@email.com</t>
  </si>
  <si>
    <t>New Vision Real Estate Investm</t>
  </si>
  <si>
    <t>1266 E 50th St, Los Angeles, CA 90011</t>
  </si>
  <si>
    <t>https://www.realtor.com/realestateandhomes-detail/1266-E-50th-St_Los-Angeles_CA_90011_M23391-60424</t>
  </si>
  <si>
    <t>Alfred Alcala</t>
  </si>
  <si>
    <t>chrisalcalabusiness@icloud.com</t>
  </si>
  <si>
    <t>JJ &amp; P Direct Inc</t>
  </si>
  <si>
    <t>3733 Rolle St, Los Angeles, CA 90031</t>
  </si>
  <si>
    <t>https://www.realtor.com/realestateandhomes-detail/3733-Rolle-St_Los-Angeles_CA_90031_M18874-89772</t>
  </si>
  <si>
    <t>Eugene Ridenour</t>
  </si>
  <si>
    <t>eugene.ridenour@compass.com</t>
  </si>
  <si>
    <t>Dominic Pietrangelo</t>
  </si>
  <si>
    <t>dominic@landonpacific.com</t>
  </si>
  <si>
    <t>1261 Exposition Blvd, Los Angeles, CA 90007</t>
  </si>
  <si>
    <t>https://www.realtor.com/realestateandhomes-detail/1261-Exposition-Blvd_Los-Angeles_CA_90007_M28046-01467</t>
  </si>
  <si>
    <t>ROBERT CARRILLO</t>
  </si>
  <si>
    <t>robertcarrillo@ymail.com</t>
  </si>
  <si>
    <t>Elevate Real Estate Agency</t>
  </si>
  <si>
    <t>Sue Carr</t>
  </si>
  <si>
    <t>sue.carr@camoves.com</t>
  </si>
  <si>
    <t>422 E Colden Ave, Los Angeles, CA 90003</t>
  </si>
  <si>
    <t>https://www.realtor.com/realestateandhomes-detail/422-E-Colden-Ave_Los-Angeles_CA_90003_M21327-43237</t>
  </si>
  <si>
    <t>Sherri Smith Reese</t>
  </si>
  <si>
    <t>sherri4realestate@gmail.com</t>
  </si>
  <si>
    <t>14805 Chase St Unit 105, Panorama City, CA 91402</t>
  </si>
  <si>
    <t>https://www.realtor.com/realestateandhomes-detail/14805-Chase-St-Unit-105_Panorama-City_CA_91402_M29348-70607</t>
  </si>
  <si>
    <t>Maria Ocava</t>
  </si>
  <si>
    <t>homes@reggieocava.com</t>
  </si>
  <si>
    <t>18326 Collins St Unit F, Tarzana, CA 91356</t>
  </si>
  <si>
    <t>https://www.realtor.com/realestateandhomes-detail/18326-Collins-St-Unit-F_Tarzana_CA_91356_M14043-77945</t>
  </si>
  <si>
    <t>Sofia Davidovich</t>
  </si>
  <si>
    <t>sofya.davidovich@gmail.com</t>
  </si>
  <si>
    <t>Citywide Realty Services</t>
  </si>
  <si>
    <t>3008 Stocker St, Los Angeles, CA 90008</t>
  </si>
  <si>
    <t>https://www.realtor.com/realestateandhomes-detail/3008-Stocker-St_Los-Angeles_CA_90008_M11627-99195</t>
  </si>
  <si>
    <t>Ashley Knight</t>
  </si>
  <si>
    <t>a.knight0@yahoo.com</t>
  </si>
  <si>
    <t>Darren D Hubert</t>
  </si>
  <si>
    <t>darren@urbanhillsides.com</t>
  </si>
  <si>
    <t>1030 N Kenter Ave, Los Angeles, CA 90049</t>
  </si>
  <si>
    <t>https://www.realtor.com/realestateandhomes-detail/1030-N-Kenter-Ave_Los-Angeles_CA_90049_M18456-74236</t>
  </si>
  <si>
    <t>marc sonnenthal</t>
  </si>
  <si>
    <t>marc.sonnenthal@compass.com</t>
  </si>
  <si>
    <t>8449 S Main St, Los Angeles, CA 90003</t>
  </si>
  <si>
    <t>https://www.realtor.com/realestateandhomes-detail/8449-S-Main-St_Los-Angeles_CA_90003_M24646-14369</t>
  </si>
  <si>
    <t>Karen Zapien Nunez</t>
  </si>
  <si>
    <t>kzapien2020@gmail.com</t>
  </si>
  <si>
    <t>REALI INC</t>
  </si>
  <si>
    <t>Jill DUERLER</t>
  </si>
  <si>
    <t>jill@hancockhomes.com</t>
  </si>
  <si>
    <t>Hancock Homes Realty</t>
  </si>
  <si>
    <t>1555 W Vernon Ave, Los Angeles, CA 90062</t>
  </si>
  <si>
    <t>https://www.realtor.com/realestateandhomes-detail/1555-W-Vernon-Ave_Los-Angeles_CA_90062_M24216-56643</t>
  </si>
  <si>
    <t>Rhonda Payne</t>
  </si>
  <si>
    <t>rstpayne@pacbell.net</t>
  </si>
  <si>
    <t>2129 W 30th St, Los Angeles, CA 90018</t>
  </si>
  <si>
    <t>https://www.realtor.com/realestateandhomes-detail/2129-W-30th-St_Los-Angeles_CA_90018_M12765-00123</t>
  </si>
  <si>
    <t>ANA LANDGRAVE</t>
  </si>
  <si>
    <t>ansells101@gmail.com</t>
  </si>
  <si>
    <t>17136 Nanette St, Granada Hills, CA 91344</t>
  </si>
  <si>
    <t>https://www.realtor.com/realestateandhomes-detail/17136-Nanette-St_Granada-Hills_CA_91344_M14713-62514</t>
  </si>
  <si>
    <t>Bryan Welch</t>
  </si>
  <si>
    <t>bwelchrealtor@gmail.com</t>
  </si>
  <si>
    <t>924-926 W 75th, Los Angeles, CA 90044</t>
  </si>
  <si>
    <t>https://www.realtor.com/realestateandhomes-detail/924-926-W-75th_Los-Angeles_CA_90044_M97890-13752</t>
  </si>
  <si>
    <t>Silvestre Medel</t>
  </si>
  <si>
    <t>silver.medel@yahoo.com</t>
  </si>
  <si>
    <t>5910 W 77th Pl, Los Angeles, CA 90045</t>
  </si>
  <si>
    <t>https://www.realtor.com/realestateandhomes-detail/5910-W-77th-Pl_Los-Angeles_CA_90045_M12248-43229</t>
  </si>
  <si>
    <t>Rob Kellner</t>
  </si>
  <si>
    <t>rob.kellner@compass.com</t>
  </si>
  <si>
    <t>7700 Lampson Ave Spc 15, Garden Grove, CA 92841</t>
  </si>
  <si>
    <t>https://www.realtor.com/realestateandhomes-detail/7700-Lampson-Ave-Spc-15_Garden-Grove_CA_92841_M28517-92623</t>
  </si>
  <si>
    <t>Samuel Su</t>
  </si>
  <si>
    <t>toddsu@advantagehomes.com</t>
  </si>
  <si>
    <t>Samuel Su, Broker</t>
  </si>
  <si>
    <t>925 Gehrig Ave, Placentia, CA 92870</t>
  </si>
  <si>
    <t>https://www.realtor.com/realestateandhomes-detail/925-Gehrig-Ave_Placentia_CA_92870_M17724-69220</t>
  </si>
  <si>
    <t>Joseph Oswald</t>
  </si>
  <si>
    <t>tcmanagement.oswald@gmail.com</t>
  </si>
  <si>
    <t>24562 Via Tonada, Lake Forest, CA 92630</t>
  </si>
  <si>
    <t>https://www.realtor.com/realestateandhomes-detail/24562-Via-Tonada_Lake-Forest_CA_92630_M19742-93341</t>
  </si>
  <si>
    <t>Haixia Bian</t>
  </si>
  <si>
    <t>bianhaixia83@gmail.com</t>
  </si>
  <si>
    <t>3135 Minnesota St, Los Angeles, CA 90031</t>
  </si>
  <si>
    <t>https://www.realtor.com/realestateandhomes-detail/3135-Minnesota-St_Los-Angeles_CA_90031_M14915-13239</t>
  </si>
  <si>
    <t>Matt Morgus</t>
  </si>
  <si>
    <t>mattmorgus@gmail.com</t>
  </si>
  <si>
    <t>8899 Beverly Blvd Unit 4D, Los Angeles, CA 90048</t>
  </si>
  <si>
    <t>https://www.realtor.com/realestateandhomes-detail/8899-Beverly-Blvd-4D_Los-Angeles_CA_90048_M92221-34749</t>
  </si>
  <si>
    <t>Taaseen Qureshi</t>
  </si>
  <si>
    <t>taaseen@cavallerimalibu.com</t>
  </si>
  <si>
    <t>63 Longchamp, Irvine, CA 92602</t>
  </si>
  <si>
    <t>https://www.realtor.com/realestateandhomes-detail/63-Longchamp_Irvine_CA_92602_M92720-87765</t>
  </si>
  <si>
    <t>Gangming Liang</t>
  </si>
  <si>
    <t>realtorliang@yahoo.com</t>
  </si>
  <si>
    <t>183 Lantana Dr, Stanton, CA 90680</t>
  </si>
  <si>
    <t>https://www.realtor.com/realestateandhomes-detail/183-Lantana-Dr_Stanton_CA_90680_M90657-82325</t>
  </si>
  <si>
    <t>Mike Nguyen</t>
  </si>
  <si>
    <t>minguyen_bmt@yahoo.com</t>
  </si>
  <si>
    <t>Stop Realty</t>
  </si>
  <si>
    <t>2209 6th Ave, Los Angeles, CA 90018</t>
  </si>
  <si>
    <t>https://www.realtor.com/realestateandhomes-detail/2209-6th-Ave_Los-Angeles_CA_90018_M93010-68597</t>
  </si>
  <si>
    <t>Quentin Givens</t>
  </si>
  <si>
    <t>quentin@distinctconciergere.com</t>
  </si>
  <si>
    <t>Radius Agent Realty</t>
  </si>
  <si>
    <t>3364 Clerendon Rd, Beverly Hills, CA 90210</t>
  </si>
  <si>
    <t>https://www.realtor.com/realestateandhomes-detail/3364-Clerendon-Rd_Beverly-Hills_CA_90210_M28930-60940</t>
  </si>
  <si>
    <t>Brian Lane</t>
  </si>
  <si>
    <t>brian.lane@camoves.com</t>
  </si>
  <si>
    <t>7410 Avalon Blvd, Los Angeles, CA 90003</t>
  </si>
  <si>
    <t>https://www.realtor.com/realestateandhomes-detail/7410-Avalon-Blvd_Los-Angeles_CA_90003_M92228-01588</t>
  </si>
  <si>
    <t>Hooman Emanuel</t>
  </si>
  <si>
    <t>hooman@re-investments.net</t>
  </si>
  <si>
    <t>Courtney Lamb</t>
  </si>
  <si>
    <t>courtneylambkw@gmail.com</t>
  </si>
  <si>
    <t>6754 W 86th Pl, Los Angeles, CA 90045</t>
  </si>
  <si>
    <t>https://www.realtor.com/realestateandhomes-detail/6754-W-86th-Pl_Los-Angeles_CA_90045_M90099-62623</t>
  </si>
  <si>
    <t>Peter Chang</t>
  </si>
  <si>
    <t>changmpeter@gmail.com</t>
  </si>
  <si>
    <t>8832 Horner St, Los Angeles, CA 90035</t>
  </si>
  <si>
    <t>https://www.realtor.com/realestateandhomes-detail/8832-Horner-St_Los-Angeles_CA_90035_M18503-55223</t>
  </si>
  <si>
    <t>Devorah Balakhaneh</t>
  </si>
  <si>
    <t>devorah@resnickandnash.com</t>
  </si>
  <si>
    <t>101 N Arden Blvd, Los Angeles, CA 90004</t>
  </si>
  <si>
    <t>https://www.realtor.com/realestateandhomes-detail/101-N-Arden-Blvd_Los-Angeles_CA_90004_M20616-10776</t>
  </si>
  <si>
    <t>Laura Stupsker</t>
  </si>
  <si>
    <t>lstupsker@theagencyre.com</t>
  </si>
  <si>
    <t>Dennis Hsii</t>
  </si>
  <si>
    <t>dennis@highlandpremiere.com</t>
  </si>
  <si>
    <t>1620 Electric Ave, Venice, CA 90291</t>
  </si>
  <si>
    <t>https://www.realtor.com/realestateandhomes-detail/1620-Electric-Ave_Venice_CA_90291_M18316-21826</t>
  </si>
  <si>
    <t>Samantha Nugent</t>
  </si>
  <si>
    <t>samantha@samanthanugent.com</t>
  </si>
  <si>
    <t>1288 Barry Ave, Los Angeles, CA 90025</t>
  </si>
  <si>
    <t>https://www.realtor.com/realestateandhomes-detail/1288-Barry-Ave_Los-Angeles_CA_90025_M10095-51123</t>
  </si>
  <si>
    <t>Ian Petas</t>
  </si>
  <si>
    <t>ianpetas@gmail.com</t>
  </si>
  <si>
    <t>801 E 108th St, Los Angeles, CA 90059</t>
  </si>
  <si>
    <t>https://www.realtor.com/realestateandhomes-detail/801-E-108th-St-Apt-A_Los-Angeles_CA_90059_M20380-50477</t>
  </si>
  <si>
    <t>Patty Lopez</t>
  </si>
  <si>
    <t>pattylopez@kw.ccom</t>
  </si>
  <si>
    <t>732 N Kingsley Dr, Los Angeles, CA 90029</t>
  </si>
  <si>
    <t>https://www.realtor.com/realestateandhomes-detail/732-N-Kingsley-Dr_Los-Angeles_CA_90029_M91481-38139</t>
  </si>
  <si>
    <t>Sayaka Kuroda</t>
  </si>
  <si>
    <t>sayachan0421@gmail.com</t>
  </si>
  <si>
    <t>24220 Sterling Ranch Rd, West Hills, CA 91304</t>
  </si>
  <si>
    <t>https://www.realtor.com/realestateandhomes-detail/24220-Sterling-Ranch-Rd_West-Hills_CA_91304_M11542-36188</t>
  </si>
  <si>
    <t>Corrie Sommers</t>
  </si>
  <si>
    <t>CorrieLuxuryHomes@gmail.com</t>
  </si>
  <si>
    <t>Jasmine Comino</t>
  </si>
  <si>
    <t>jasmine.comino@compass.com</t>
  </si>
  <si>
    <t>5016 Rubio Ave, Encino, CA 91436</t>
  </si>
  <si>
    <t>https://www.realtor.com/realestateandhomes-detail/5016-Rubio-Ave_Encino_CA_91436_M21351-14439</t>
  </si>
  <si>
    <t>Sean Matthews</t>
  </si>
  <si>
    <t>srmatthewsco@gmail.com</t>
  </si>
  <si>
    <t>2449 Riverside Pl, Los Angeles, CA 90039</t>
  </si>
  <si>
    <t>https://www.realtor.com/realestateandhomes-detail/2449-Riverside-Pl_Los-Angeles_CA_90039_M28443-18739</t>
  </si>
  <si>
    <t>Douglas Stockley</t>
  </si>
  <si>
    <t>douglas@spacelosangeles.co</t>
  </si>
  <si>
    <t>320 N Alta Vista Blvd, Los Angeles, CA 90036</t>
  </si>
  <si>
    <t>https://www.realtor.com/realestateandhomes-detail/320-N-Alta-Vista-Blvd_Los-Angeles_CA_90036_M23307-08147</t>
  </si>
  <si>
    <t>Maryam Majnaanian - West LA Realtor</t>
  </si>
  <si>
    <t>mmajnoonian@gmail.com</t>
  </si>
  <si>
    <t>The RFC Group</t>
  </si>
  <si>
    <t>1380 Summitridge Pl, Beverly Hills, CA 90210</t>
  </si>
  <si>
    <t>https://www.realtor.com/realestateandhomes-detail/1380-Summitridge-Pl_Beverly-Hills_CA_90210_M22474-51202</t>
  </si>
  <si>
    <t>Luke Cohen</t>
  </si>
  <si>
    <t>luke@davidkramer.com</t>
  </si>
  <si>
    <t>3804 Vista Linda Dr, Encino, CA 91316</t>
  </si>
  <si>
    <t>https://www.realtor.com/realestateandhomes-detail/3804-Vista-Linda-Dr_Encino_CA_91316_M11685-87645</t>
  </si>
  <si>
    <t>Michelle Bellamy</t>
  </si>
  <si>
    <t>michellebellamy@kw.com</t>
  </si>
  <si>
    <t>Nicole Pletkovich</t>
  </si>
  <si>
    <t>nicole@inmanteam.com</t>
  </si>
  <si>
    <t>9128 Menlo Ave, Los Angeles, CA 90044</t>
  </si>
  <si>
    <t>https://www.realtor.com/realestateandhomes-detail/9128-Menlo-Ave_Los-Angeles_CA_90044_M24625-27476</t>
  </si>
  <si>
    <t>John Ha</t>
  </si>
  <si>
    <t>info@mutoof.com</t>
  </si>
  <si>
    <t>MUTOOF®</t>
  </si>
  <si>
    <t>4314 N Canoga Dr, Woodland Hills, CA 91364</t>
  </si>
  <si>
    <t>https://www.realtor.com/realestateandhomes-detail/4314-Canoga-Dr_Woodland-Hills_CA_91364_M10553-40051</t>
  </si>
  <si>
    <t>Dr. Mehran Tebyani</t>
  </si>
  <si>
    <t>mehrantebyani@gmail.com</t>
  </si>
  <si>
    <t>Tebyani Real Estate Investment</t>
  </si>
  <si>
    <t>2643 Glendale Blvd, Los Angeles, CA 90039</t>
  </si>
  <si>
    <t>https://www.realtor.com/realestateandhomes-detail/2643-Glendale-Blvd_Los-Angeles_CA_90039_M28445-05068</t>
  </si>
  <si>
    <t>Cindy Melendrez</t>
  </si>
  <si>
    <t>cindy@estatexrealty.com</t>
  </si>
  <si>
    <t>12062 W Edinger Ave Spc 19, Santa Ana, CA 92704</t>
  </si>
  <si>
    <t>https://www.realtor.com/realestateandhomes-detail/12062-W-Edinger-Ave-Spc-19_Santa-Ana_CA_92704_M24021-04496</t>
  </si>
  <si>
    <t>Kelly Jones</t>
  </si>
  <si>
    <t>kelly@kellyjonesrealestate.com</t>
  </si>
  <si>
    <t>903 Muirfield Dr, Newport Beach, CA 92660</t>
  </si>
  <si>
    <t>https://www.realtor.com/realestateandhomes-detail/903-Muirfield-Dr_Newport-Beach_CA_92660_M19227-20425</t>
  </si>
  <si>
    <t>Julian Aguirre</t>
  </si>
  <si>
    <t>julian.michael@compass.com</t>
  </si>
  <si>
    <t>1373 N Coast Hwy, Laguna Beach, CA 92651</t>
  </si>
  <si>
    <t>https://www.realtor.com/realestateandhomes-detail/1373-N-Coast-Hwy_Laguna-Beach_CA_92651_M90831-23413</t>
  </si>
  <si>
    <t>Matthew R. Peters</t>
  </si>
  <si>
    <t>matt@ogroup.com</t>
  </si>
  <si>
    <t>1535 Dolphin Ter, Corona Del Mar, CA 92625</t>
  </si>
  <si>
    <t>https://www.realtor.com/realestateandhomes-detail/1535-Dolphin-Ter_Corona-Del-Mar_CA_92625_M18997-60233</t>
  </si>
  <si>
    <t>Obeid Habibi</t>
  </si>
  <si>
    <t>obeid@daftariangroup.com</t>
  </si>
  <si>
    <t>81 Island Coral, Irvine, CA 92620</t>
  </si>
  <si>
    <t>https://www.realtor.com/realestateandhomes-detail/81-Island-Coral_Irvine_CA_92620_M19076-19370</t>
  </si>
  <si>
    <t>Rachel Cao</t>
  </si>
  <si>
    <t>rachelvsu@gmail.com</t>
  </si>
  <si>
    <t>Jin Zhang, Broker</t>
  </si>
  <si>
    <t>8435 Rincon Ave, Sun Valley, CA 91352</t>
  </si>
  <si>
    <t>https://www.realtor.com/realestateandhomes-detail/8435-Rincon-Ave_Sun-Valley_CA_91352_M23719-68547</t>
  </si>
  <si>
    <t>Jora Mehrabi</t>
  </si>
  <si>
    <t>jora@jorarealty.com</t>
  </si>
  <si>
    <t>High Vision Realty</t>
  </si>
  <si>
    <t>Valeport Ave, Lake Los Angeles, CA 93535</t>
  </si>
  <si>
    <t>https://www.realtor.com/realestateandhomes-detail/Vac-Valport-Ave-178th-Ste_Lake-Los-Angeles_CA_93535_M29517-97994</t>
  </si>
  <si>
    <t>Blake Shawn</t>
  </si>
  <si>
    <t>Blake@TheShawnTeam.com</t>
  </si>
  <si>
    <t>Real Brokerage Technologies-Tulare</t>
  </si>
  <si>
    <t>17081 Pleasant Cir, Huntington Beach, CA 92649</t>
  </si>
  <si>
    <t>https://www.realtor.com/realestateandhomes-detail/17081-Pleasant-Cir_Huntington-Beach_CA_92649_M27879-97121</t>
  </si>
  <si>
    <t>Alondra Guevara Ibarra</t>
  </si>
  <si>
    <t>homesbyally1@gmail.com</t>
  </si>
  <si>
    <t>2532-2530-2532 Wabash Ave, County Los Angeles, CA 90033</t>
  </si>
  <si>
    <t>https://www.realtor.com/realestateandhomes-detail/2532-Wabash-Ave_Los-Angeles_CA_90033_M92545-76756</t>
  </si>
  <si>
    <t>Guillermina Munoz</t>
  </si>
  <si>
    <t>minamunoz@sbcglobal.net</t>
  </si>
  <si>
    <t>Victoria Premier Realty</t>
  </si>
  <si>
    <t>1891 McKinney Way Apt 26B, Seal Beach, CA 90740</t>
  </si>
  <si>
    <t>https://www.realtor.com/realestateandhomes-detail/1891-McKinney-Way-Apt-26B_Seal-Beach_CA_90740_M93314-85594</t>
  </si>
  <si>
    <t>Colleen Low</t>
  </si>
  <si>
    <t>colleen.low@fivestreet.me</t>
  </si>
  <si>
    <t>629 Traction Ave Apt 103, Los Angeles, CA 90013</t>
  </si>
  <si>
    <t>https://www.realtor.com/realestateandhomes-detail/629-Traction-Ave-Apt-103_Los-Angeles_CA_90013_M15709-41635</t>
  </si>
  <si>
    <t>Kevin Hahn</t>
  </si>
  <si>
    <t>agentkevinhahn@gmail.com</t>
  </si>
  <si>
    <t>13824 Fresh Meadow Ln # M313, Seal Beach, CA 90740</t>
  </si>
  <si>
    <t>https://www.realtor.com/realestateandhomes-detail/13824-Fresh-Meadow-Ln-M3-13G_Seal-Beach_CA_90740_M95795-61846</t>
  </si>
  <si>
    <t>Steven Arthur</t>
  </si>
  <si>
    <t>homes4u@realtorstevearthur.com</t>
  </si>
  <si>
    <t>1414 W Central Ave Spc 81, Brea, CA 92821</t>
  </si>
  <si>
    <t>https://www.realtor.com/realestateandhomes-detail/1414-W-Central-Ave-Spc-81_Brea_CA_92821_M21677-14496</t>
  </si>
  <si>
    <t>Anthony Hernandez</t>
  </si>
  <si>
    <t>r777on@aol.com</t>
  </si>
  <si>
    <t>1218 E 89th St, Los Angeles, CA 90002</t>
  </si>
  <si>
    <t>https://www.realtor.com/realestateandhomes-detail/1218-E-89th-St_Los-Angeles_CA_90002_M25102-27883</t>
  </si>
  <si>
    <t>Alex Sanchez</t>
  </si>
  <si>
    <t>alex@interodowney.com</t>
  </si>
  <si>
    <t>eXp Realty of Southern California, Inc.</t>
  </si>
  <si>
    <t>11721 Norgrove Ln, Rossmoor, CA 90720</t>
  </si>
  <si>
    <t>https://www.realtor.com/realestateandhomes-detail/11721-Norgrove-Ln_Rossmoor_CA_90720_M12272-47662</t>
  </si>
  <si>
    <t>Denise Manoogian</t>
  </si>
  <si>
    <t>dmanoogian@kw.com</t>
  </si>
  <si>
    <t>517 S Grand Ave, San Pedro, CA 90731</t>
  </si>
  <si>
    <t>https://www.realtor.com/realestateandhomes-detail/517-S-Grand-Ave_San-Pedro_CA_90731_M29143-08550</t>
  </si>
  <si>
    <t>Sergio Iturrios</t>
  </si>
  <si>
    <t>sergio7500@yahoo.com</t>
  </si>
  <si>
    <t>Rise Real Estate Group</t>
  </si>
  <si>
    <t>1442 W 219th St, Torrance, CA 90501</t>
  </si>
  <si>
    <t>https://www.realtor.com/realestateandhomes-detail/1442-W-219th-St_Torrance_CA_90501_M18021-92401</t>
  </si>
  <si>
    <t>Tessa Luckey Owen</t>
  </si>
  <si>
    <t>luckeyt@me.com</t>
  </si>
  <si>
    <t>R. Tyler Luckey</t>
  </si>
  <si>
    <t>tyler.luckey@compass.com</t>
  </si>
  <si>
    <t>1600 Northwood Rd Apt 275E, Seal Beach, CA 90740</t>
  </si>
  <si>
    <t>https://www.realtor.com/realestateandhomes-detail/1600-Northwood-Rd-Apt-275E_Seal-Beach_CA_90740_M14883-30439</t>
  </si>
  <si>
    <t>Susan Mckaig</t>
  </si>
  <si>
    <t>mckaigrlty@aol.com</t>
  </si>
  <si>
    <t>Susan Mckaig, Broker</t>
  </si>
  <si>
    <t>4437 Balboa Ave, Encino, CA 91316</t>
  </si>
  <si>
    <t>https://www.realtor.com/realestateandhomes-detail/4437-Balboa-Ave_Encino_CA_91316_M10660-92240</t>
  </si>
  <si>
    <t>Tanairy Felix</t>
  </si>
  <si>
    <t>tanairyfelix@gmail.com</t>
  </si>
  <si>
    <t>226 E 88th, Los Angeles, CA 90003</t>
  </si>
  <si>
    <t>https://www.realtor.com/realestateandhomes-detail/226-E-88th-Pl_Los-Angeles_CA_90003_M17648-16587</t>
  </si>
  <si>
    <t>Emilia Martell</t>
  </si>
  <si>
    <t>emiliamartellre@gmail.com</t>
  </si>
  <si>
    <t>2500 Fairmount St, Los Angeles, CA 90033</t>
  </si>
  <si>
    <t>https://www.realtor.com/realestateandhomes-detail/2500-Fairmount-St_Los-Angeles_CA_90033_M11147-91826</t>
  </si>
  <si>
    <t>Matthew Garcia</t>
  </si>
  <si>
    <t>matthewborbongroup@gmail.com</t>
  </si>
  <si>
    <t>CENTURY 21 ALLSTARS</t>
  </si>
  <si>
    <t>212 W 103rd St, Los Angeles, CA 90003</t>
  </si>
  <si>
    <t>https://www.realtor.com/realestateandhomes-detail/212-W-103rd-St_Los-Angeles_CA_90003_M26869-42982</t>
  </si>
  <si>
    <t>Mona Turner-Hawkins</t>
  </si>
  <si>
    <t>fivemsre11@aol.com</t>
  </si>
  <si>
    <t>Mona Turner-Hawkins, Broker</t>
  </si>
  <si>
    <t>126 E 95th St, Los Angeles, CA 90003</t>
  </si>
  <si>
    <t>https://www.realtor.com/realestateandhomes-detail/126-E-95th-St_Los-Angeles_CA_90003_M20785-95823</t>
  </si>
  <si>
    <t>Durga Baumann</t>
  </si>
  <si>
    <t>durgabaumann.REALTOR@yahoo.com</t>
  </si>
  <si>
    <t>Excellence RE Real Estate</t>
  </si>
  <si>
    <t>Roxana Chavarria</t>
  </si>
  <si>
    <t>theunveil.co@gmail.com</t>
  </si>
  <si>
    <t>14641 Alder Ln, Tustin, CA 92780</t>
  </si>
  <si>
    <t>https://www.realtor.com/realestateandhomes-detail/14641-Alder-Ln_Tustin_CA_92780_M10524-94359</t>
  </si>
  <si>
    <t>Marissa Bacon</t>
  </si>
  <si>
    <t>marissa@mcluregroup.com</t>
  </si>
  <si>
    <t>2607 Pennsylvania Ave, Los Angeles, CA 90033</t>
  </si>
  <si>
    <t>https://www.realtor.com/realestateandhomes-detail/2607-Pennsylvania-Ave_Los-Angeles_CA_90033_M29591-52166</t>
  </si>
  <si>
    <t>Eric Hernandez</t>
  </si>
  <si>
    <t>ericreadvisor@gmail.com</t>
  </si>
  <si>
    <t>10929 Compton Ave, Los Angeles, CA 90059</t>
  </si>
  <si>
    <t>https://www.realtor.com/realestateandhomes-detail/10929-Compton-Ave_Los-Angeles_CA_90059_M27878-56830</t>
  </si>
  <si>
    <t>Carolina Moreno</t>
  </si>
  <si>
    <t>carolinamorenorealtor@gmail.com</t>
  </si>
  <si>
    <t>9709 Maie Ave, Los Angeles, CA 90002</t>
  </si>
  <si>
    <t>https://www.realtor.com/realestateandhomes-detail/9709-Maie-Ave_Los-Angeles_CA_90002_M19533-44990</t>
  </si>
  <si>
    <t>Carmelita S Tiongson</t>
  </si>
  <si>
    <t>carmelitationgson@gmail.com</t>
  </si>
  <si>
    <t>13101 Oak Hills Dr Apt 234F, Seal Beach, CA 90740</t>
  </si>
  <si>
    <t>https://www.realtor.com/realestateandhomes-detail/13101-Oak-Hills-Dr-Apt-234F_Seal-Beach_CA_90740_M15355-35566</t>
  </si>
  <si>
    <t>Pam Luckey</t>
  </si>
  <si>
    <t>goluckey@aol.com</t>
  </si>
  <si>
    <t>1737 W 37th St, Los Angeles, CA 90018</t>
  </si>
  <si>
    <t>https://www.realtor.com/realestateandhomes-detail/1737-W-37th-St_Los-Angeles_CA_90018_M28595-68733</t>
  </si>
  <si>
    <t>David Pastor</t>
  </si>
  <si>
    <t>davidpastor1@yahoo.com</t>
  </si>
  <si>
    <t>FODMR Inc</t>
  </si>
  <si>
    <t>552 N Cambridge St, Orange, CA 92867</t>
  </si>
  <si>
    <t>https://www.realtor.com/realestateandhomes-detail/552-N-Cambridge-St_Orange_CA_92867_M11300-56158</t>
  </si>
  <si>
    <t>Daniel Gomez</t>
  </si>
  <si>
    <t>dgomez@younglewin.com</t>
  </si>
  <si>
    <t>Younglewin Advisors, Inc.</t>
  </si>
  <si>
    <t>5142 Hamer Ln, Placentia, CA 92870</t>
  </si>
  <si>
    <t>https://www.realtor.com/realestateandhomes-detail/5142-Hamer-Ln_Placentia_CA_92870_M23145-02354</t>
  </si>
  <si>
    <t>Sunny Choi</t>
  </si>
  <si>
    <t>sunnyandanna21@gmail.com</t>
  </si>
  <si>
    <t>785 W 19th St Apt 5, San Pedro, CA 90731</t>
  </si>
  <si>
    <t>https://www.realtor.com/realestateandhomes-detail/785-W-19th-St-Apt-5_San-Pedro_CA_90731_M12219-76106</t>
  </si>
  <si>
    <t>Kelly Lukehart-davila</t>
  </si>
  <si>
    <t>kelly@kellydavila.com</t>
  </si>
  <si>
    <t>Right Move Real Estate</t>
  </si>
  <si>
    <t>1950 E 97th St, Los Angeles, CA 90002</t>
  </si>
  <si>
    <t>https://www.realtor.com/realestateandhomes-detail/1950-E-97th-St_Los-Angeles_CA_90002_M10588-62522</t>
  </si>
  <si>
    <t>Ray Miramontes</t>
  </si>
  <si>
    <t>ray@mira-realestate.com</t>
  </si>
  <si>
    <t>8800 Burnet Ave Unit 12, North Hills, CA 91343</t>
  </si>
  <si>
    <t>https://www.realtor.com/realestateandhomes-detail/8800-Burnet-Ave-Unit-12_North-Hills_CA_91343_M29836-51726</t>
  </si>
  <si>
    <t>Noelle Longmeyer</t>
  </si>
  <si>
    <t>NLongmeyer@gmail.com</t>
  </si>
  <si>
    <t>1820 Sunningdale Rd # M1419K, Seal Beach, CA 90740</t>
  </si>
  <si>
    <t>https://www.realtor.com/realestateandhomes-detail/1820-Sunningdale-Rd_Seal-Beach_CA_90740_M98900-40521</t>
  </si>
  <si>
    <t>Stephen Batiz</t>
  </si>
  <si>
    <t>SteveBatiz@NextHomeWest.com</t>
  </si>
  <si>
    <t>NextHome West Realty</t>
  </si>
  <si>
    <t>2214 Edna Dr, Santa Ana, CA 92706</t>
  </si>
  <si>
    <t>https://www.realtor.com/realestateandhomes-detail/2214-Edna-Dr_Santa-Ana_CA_92706_M17164-73029</t>
  </si>
  <si>
    <t>Steven Saucedo</t>
  </si>
  <si>
    <t>steven@kasere.com</t>
  </si>
  <si>
    <t>9623 Bandera St, Los Angeles, CA 90002</t>
  </si>
  <si>
    <t>https://www.realtor.com/realestateandhomes-detail/9623-Bandera-St_Los-Angeles_CA_90002_M19278-55085</t>
  </si>
  <si>
    <t>Herb Diaz</t>
  </si>
  <si>
    <t>herb@plfrealestate.com</t>
  </si>
  <si>
    <t>Plf Real Estate Solutions</t>
  </si>
  <si>
    <t>1018 N Wright St, Santa Ana, CA 92701</t>
  </si>
  <si>
    <t>https://www.realtor.com/realestateandhomes-detail/1018-N-Wright-St_Santa-Ana_CA_92701_M17790-42547</t>
  </si>
  <si>
    <t>Jessica Lu</t>
  </si>
  <si>
    <t>jesslu88@gmail.com</t>
  </si>
  <si>
    <t>4388 Fir Ave, Seal Beach, CA 90740</t>
  </si>
  <si>
    <t>https://www.realtor.com/realestateandhomes-detail/4388-Fir-Ave_Seal-Beach_CA_90740_M13658-31479</t>
  </si>
  <si>
    <t>Natalie Sverkos</t>
  </si>
  <si>
    <t>natalie.sverkos@gmail.com</t>
  </si>
  <si>
    <t>Vincent Nunes</t>
  </si>
  <si>
    <t>vincent4homes@gmail.com</t>
  </si>
  <si>
    <t>8622 Watson St, Cypress, CA 90630</t>
  </si>
  <si>
    <t>https://www.realtor.com/realestateandhomes-detail/8622-Watson-St_Cypress_CA_90630_M19278-90945</t>
  </si>
  <si>
    <t>Andrew Carter</t>
  </si>
  <si>
    <t>andycarterrealty@gmail.com</t>
  </si>
  <si>
    <t>Fiv Realty Co</t>
  </si>
  <si>
    <t>840 N Lynn Dr, Orange, CA 92867</t>
  </si>
  <si>
    <t>https://www.realtor.com/realestateandhomes-detail/840-N-Lynn-Dr_Orange_CA_92867_M12101-03402</t>
  </si>
  <si>
    <t>JEFF LOFTUS</t>
  </si>
  <si>
    <t>JeffLoftus@kw.com</t>
  </si>
  <si>
    <t>2692 Salmon Dr, Rossmoor, CA 90720</t>
  </si>
  <si>
    <t>https://www.realtor.com/realestateandhomes-detail/2692-Salmon-Dr_Rossmoor_CA_90720_M12399-92614</t>
  </si>
  <si>
    <t>Granger Riach</t>
  </si>
  <si>
    <t>GrangerGroupRealty@gmail.com</t>
  </si>
  <si>
    <t>4012 S Budlong Ave, Los Angeles, CA 90037</t>
  </si>
  <si>
    <t>https://www.realtor.com/realestateandhomes-detail/4012-S-Budlong-Ave_Los-Angeles_CA_90037_M23324-41977</t>
  </si>
  <si>
    <t>Jeannie Lee</t>
  </si>
  <si>
    <t>realtorjeannie@verizon.net</t>
  </si>
  <si>
    <t>Jeannie Lee, Broker</t>
  </si>
  <si>
    <t>1521 N Bonnie Beach Pl, Los Angeles, CA 90063</t>
  </si>
  <si>
    <t>https://www.realtor.com/realestateandhomes-detail/1521-N-Bonnie-Beach-Pl_Los-Angeles_CA_90063_M17798-39836</t>
  </si>
  <si>
    <t>Luis Gonzalez</t>
  </si>
  <si>
    <t>artg68@yahoo.com</t>
  </si>
  <si>
    <t>United Real Estate Pacific States</t>
  </si>
  <si>
    <t>126 W Century Blvd, Los Angeles, CA 90003</t>
  </si>
  <si>
    <t>https://www.realtor.com/realestateandhomes-detail/126-W-Century-Blvd_Los-Angeles_CA_90003_M20794-15673</t>
  </si>
  <si>
    <t>Werner Rosales</t>
  </si>
  <si>
    <t>wernerr58@yahoo.com</t>
  </si>
  <si>
    <t>3342 Bradbury Rd Unit 20, Los Alamitos, CA 90720</t>
  </si>
  <si>
    <t>https://www.realtor.com/realestateandhomes-detail/3342-Bradbury-Rd-Unit-20_Los-Alamitos_CA_90720_M12428-62092</t>
  </si>
  <si>
    <t>Dave Dumalski</t>
  </si>
  <si>
    <t>ddumalski@gmail.com</t>
  </si>
  <si>
    <t>White Realty Associates</t>
  </si>
  <si>
    <t>2815 S Western Ave, Los Angeles, CA 90018</t>
  </si>
  <si>
    <t>https://www.realtor.com/realestateandhomes-detail/2815-S-Western-Ave_Los-Angeles_CA_90018_M93758-25077</t>
  </si>
  <si>
    <t>Madela Zavala</t>
  </si>
  <si>
    <t>madelaz.realestate@gmail.com</t>
  </si>
  <si>
    <t>12900 S Figueroa St, Los Angeles, CA 90061</t>
  </si>
  <si>
    <t>https://www.realtor.com/realestateandhomes-detail/12900-S-Figueroa-St_Los-Angeles_CA_90061_M95905-92478</t>
  </si>
  <si>
    <t>Jasmin Lovett</t>
  </si>
  <si>
    <t>Jasminlovett@yahoo.com</t>
  </si>
  <si>
    <t>Lovett &amp; Associates, Realtors</t>
  </si>
  <si>
    <t>5142 Warner Ave Apt 209, Huntington Beach, CA 92649</t>
  </si>
  <si>
    <t>https://www.realtor.com/realestateandhomes-detail/5142-Warner-Ave-Apt-209_Huntington-Beach_CA_92649_M13319-57960</t>
  </si>
  <si>
    <t>Sarah Sees Smith</t>
  </si>
  <si>
    <t>Sarahs@sevengables.com</t>
  </si>
  <si>
    <t>3612 S Gramercy Pl, Los Angeles, CA 90018</t>
  </si>
  <si>
    <t>https://www.realtor.com/realestateandhomes-detail/3612-S-Gramercy-Pl_Los-Angeles_CA_90018_M29180-01731</t>
  </si>
  <si>
    <t>Lilli Oden</t>
  </si>
  <si>
    <t>Lilli.oden@gmail.com</t>
  </si>
  <si>
    <t>3408 N Figueroa St, Glassell Park, CA 90065</t>
  </si>
  <si>
    <t>https://www.realtor.com/realestateandhomes-detail/3408-N-Figueroa-St_Glassell-Park_CA_90065_M29235-08866</t>
  </si>
  <si>
    <t>GERARDO CORONA</t>
  </si>
  <si>
    <t>coronajerry@yahoo.com</t>
  </si>
  <si>
    <t>CENTURY 21 DIVERSIFIED WORKS</t>
  </si>
  <si>
    <t>9080 Bloomfield Ave Spc 226, Cypress, CA 90630</t>
  </si>
  <si>
    <t>https://www.realtor.com/realestateandhomes-detail/9080-Bloomfield-Ave-Spc-226_Cypress_CA_90630_M28630-99701</t>
  </si>
  <si>
    <t>Salvador Torres</t>
  </si>
  <si>
    <t>sal.sharpstonerealty@gmail.com</t>
  </si>
  <si>
    <t>2525 Ocean Blvd Unit C1, Corona Del Mar, CA 92625</t>
  </si>
  <si>
    <t>https://www.realtor.com/realestateandhomes-detail/2525-Ocean-Blvd-Apt-1C_Corona-Del-Mar_CA_92625_M11601-47444</t>
  </si>
  <si>
    <t>Cyrus Mohseni</t>
  </si>
  <si>
    <t>cyrus@thekeystoneteam.com</t>
  </si>
  <si>
    <t>204 Kempton, Irvine, CA 92620</t>
  </si>
  <si>
    <t>https://www.realtor.com/realestateandhomes-detail/204-Kempton_Irvine_CA_92620_M19025-13539</t>
  </si>
  <si>
    <t>Qing Cao</t>
  </si>
  <si>
    <t>qingcao83@gmail.com</t>
  </si>
  <si>
    <t>808 Record, Los Angeles, CA 90063</t>
  </si>
  <si>
    <t>https://www.realtor.com/realestateandhomes-detail/808-Record-Ave_Los-Angeles_CA_90063_M19397-47996</t>
  </si>
  <si>
    <t>Pam Lee</t>
  </si>
  <si>
    <t>PamLeeRealtor@gmail.com</t>
  </si>
  <si>
    <t>24 HOUR REAL ESTATE</t>
  </si>
  <si>
    <t>8847 Willis Ave Unit 9, Panorama City, CA 91402</t>
  </si>
  <si>
    <t>https://www.realtor.com/realestateandhomes-detail/8847-Willis-Ave-9_Panorama-City_CA_91402_M97170-38465</t>
  </si>
  <si>
    <t>Dana Hughes</t>
  </si>
  <si>
    <t>dana.hughes@taulerhughes.com</t>
  </si>
  <si>
    <t>Tauler Hughes California Realty</t>
  </si>
  <si>
    <t>Katherine Manoogian</t>
  </si>
  <si>
    <t>katherinemanoogian@gmail.com</t>
  </si>
  <si>
    <t>207 N Ranchito St, Anaheim, CA 92801</t>
  </si>
  <si>
    <t>https://www.realtor.com/realestateandhomes-detail/207-N-Ranchito-St_Anaheim_CA_92801_M25227-34993</t>
  </si>
  <si>
    <t>Terry Avendano</t>
  </si>
  <si>
    <t>sellmeahome@yahoo.com</t>
  </si>
  <si>
    <t>Elite Homes Realty</t>
  </si>
  <si>
    <t>12111 Reagan St, Los Alamitos, CA 90720</t>
  </si>
  <si>
    <t>https://www.realtor.com/realestateandhomes-detail/12111-Reagan-St_Los-Alamitos_CA_90720_M19004-82807</t>
  </si>
  <si>
    <t>Joshua Coburn</t>
  </si>
  <si>
    <t>josh@3vmarketing.com</t>
  </si>
  <si>
    <t>Chamberlain Real Estate</t>
  </si>
  <si>
    <t>Cheremoya Ave, Los Angeles, CA 90068</t>
  </si>
  <si>
    <t>https://www.realtor.com/realestateandhomes-detail/Cheremoya-Ave_Los-Angeles_CA_90068_M99857-99276</t>
  </si>
  <si>
    <t>Dj Bonner</t>
  </si>
  <si>
    <t>djbonner@outlook.com</t>
  </si>
  <si>
    <t>535 W 15th St, San Pedro, CA 90731</t>
  </si>
  <si>
    <t>https://www.realtor.com/realestateandhomes-detail/535-W-15th-St_San-Pedro_CA_90731_M10380-23127</t>
  </si>
  <si>
    <t>Gia Silva</t>
  </si>
  <si>
    <t>Gia@intihomes.com</t>
  </si>
  <si>
    <t>Inti Realty</t>
  </si>
  <si>
    <t>1743-45 W 60th Pl, Los Angeles, CA 90047</t>
  </si>
  <si>
    <t>https://www.realtor.com/realestateandhomes-detail/1743-45-W-60th-Pl_Los-Angeles_CA_90047_M90607-77084</t>
  </si>
  <si>
    <t>Maria Amaya</t>
  </si>
  <si>
    <t>c21meliza@yahoo.com</t>
  </si>
  <si>
    <t>CENTURY 21 Jervis &amp; Associates</t>
  </si>
  <si>
    <t>13210 Seaview Ln # M10250, Seal Beach, CA 90740</t>
  </si>
  <si>
    <t>https://www.realtor.com/realestateandhomes-detail/13210-Seaview-Ln-M10-250D_Seal-Beach_CA_90740_M92545-21886</t>
  </si>
  <si>
    <t>Terri Walters</t>
  </si>
  <si>
    <t>terri4homes@gmail.com</t>
  </si>
  <si>
    <t>5353 Cumberland Dr, Cypress, CA 90630</t>
  </si>
  <si>
    <t>https://www.realtor.com/realestateandhomes-detail/5353-Cumberland-Dr_Cypress_CA_90630_M10152-22119</t>
  </si>
  <si>
    <t>Valerie Mercado</t>
  </si>
  <si>
    <t>valerie@cary4homes.com</t>
  </si>
  <si>
    <t>34291 Via Lopez, Dana Point, CA 92624</t>
  </si>
  <si>
    <t>https://www.realtor.com/realestateandhomes-detail/34291-Via-Lopez_Dana-Point_CA_92624_M13383-26064</t>
  </si>
  <si>
    <t>David Haub</t>
  </si>
  <si>
    <t>dhaub@calterrapartners.com</t>
  </si>
  <si>
    <t>Calterra Partners</t>
  </si>
  <si>
    <t>1337 W Gage Ave, Los Angeles, CA 90044</t>
  </si>
  <si>
    <t>https://www.realtor.com/realestateandhomes-detail/1337-W-Gage-Ave_Los-Angeles_CA_90044_M26642-41481</t>
  </si>
  <si>
    <t>Frank Granados</t>
  </si>
  <si>
    <t>frankgranados777@gmail.com</t>
  </si>
  <si>
    <t>Towne Center Realtors, Inc.</t>
  </si>
  <si>
    <t>1612 E 92nd St, Los Angeles, CA 90002</t>
  </si>
  <si>
    <t>https://www.realtor.com/realestateandhomes-detail/1612-E-92nd-St_Los-Angeles_CA_90002_M25344-13480</t>
  </si>
  <si>
    <t>Rod Austin</t>
  </si>
  <si>
    <t>rkbaustin@aol.com</t>
  </si>
  <si>
    <t>Home Base Realty Inc</t>
  </si>
  <si>
    <t>Sarah Gardner</t>
  </si>
  <si>
    <t>pm@wralistings.com</t>
  </si>
  <si>
    <t>600 W Third St Unit B211, Santa Ana, CA 92701</t>
  </si>
  <si>
    <t>https://www.realtor.com/realestateandhomes-detail/600-W-3rd-St-Apt-B211_Santa-Ana_CA_92701_M23239-14190</t>
  </si>
  <si>
    <t>Luis Mendoza</t>
  </si>
  <si>
    <t>reluismendoza@gmail.com</t>
  </si>
  <si>
    <t>1016 W 51st Pl, Los Angeles, CA 90037</t>
  </si>
  <si>
    <t>https://www.realtor.com/realestateandhomes-detail/1016-W-51st-Pl_Los-Angeles_CA_90037_M29315-04842</t>
  </si>
  <si>
    <t>Jorge Rico</t>
  </si>
  <si>
    <t>jrico@jrico.org</t>
  </si>
  <si>
    <t>Rico And Rico Realty And Assoc</t>
  </si>
  <si>
    <t>6651 Beck Ave, North Hollywood, CA 91606</t>
  </si>
  <si>
    <t>https://www.realtor.com/realestateandhomes-detail/6651-Beck-Ave_North-Hollywood_CA_91606_M16893-27863</t>
  </si>
  <si>
    <t>EDISON ECHEVERRY</t>
  </si>
  <si>
    <t>edison4life@gmail.com</t>
  </si>
  <si>
    <t>Four Brothers Real Estate</t>
  </si>
  <si>
    <t>1216 W River Ln, Santa Ana, CA 92706</t>
  </si>
  <si>
    <t>https://www.realtor.com/realestateandhomes-detail/1216-W-River-Ln_Santa-Ana_CA_92706_M26729-50859</t>
  </si>
  <si>
    <t>Martina Castellanos</t>
  </si>
  <si>
    <t>shortsalemartina@gmail.com</t>
  </si>
  <si>
    <t>Robert Bonito, Broker</t>
  </si>
  <si>
    <t>1920 Del Paso Ave, Los Angeles, CA 90032</t>
  </si>
  <si>
    <t>https://www.realtor.com/realestateandhomes-detail/1920-Del-Paso-Ave_Los-Angeles_CA_90032_M16443-78135</t>
  </si>
  <si>
    <t>Danny Villela</t>
  </si>
  <si>
    <t>villelasellshomes@gmail.com</t>
  </si>
  <si>
    <t>BOT Real Estate</t>
  </si>
  <si>
    <t>3713 Aguilar St, Los Angeles, CA 90065</t>
  </si>
  <si>
    <t>https://www.realtor.com/realestateandhomes-detail/3713-Aguilar-St_Los-Angeles_CA_90065_M99835-69297</t>
  </si>
  <si>
    <t>Alex Gomez</t>
  </si>
  <si>
    <t>alexhomes1982@gmail.com</t>
  </si>
  <si>
    <t>The Real Estate Plug</t>
  </si>
  <si>
    <t>1200 Canoe Brook Dr Apt 19D, Seal Beach, CA 90740</t>
  </si>
  <si>
    <t>https://www.realtor.com/realestateandhomes-detail/1200-Canoe-Brook-Dr-Apt-19D_Seal-Beach_CA_90740_M25909-33653</t>
  </si>
  <si>
    <t>Pedro Alvarez</t>
  </si>
  <si>
    <t>pedro@alvarezrealtygroup.com</t>
  </si>
  <si>
    <t>247 E 97th St, Los Angeles, CA 90003</t>
  </si>
  <si>
    <t>https://www.realtor.com/realestateandhomes-detail/247-E-97th-St_Los-Angeles_CA_90003_M20544-10226</t>
  </si>
  <si>
    <t>Noe Ramirez</t>
  </si>
  <si>
    <t>noep@emailc21.com</t>
  </si>
  <si>
    <t>4123 Telluride St, Los Angeles, CA 90031</t>
  </si>
  <si>
    <t>https://www.realtor.com/realestateandhomes-detail/4123-Telluride-St_Los-Angeles_CA_90031_M90316-63773</t>
  </si>
  <si>
    <t>Enrique Gomez</t>
  </si>
  <si>
    <t>enriquehome683@gmail.com</t>
  </si>
  <si>
    <t>2815 S Fairview St Unit A, Santa Ana, CA 92704</t>
  </si>
  <si>
    <t>https://www.realtor.com/realestateandhomes-detail/2815-S-Fairview-St-Unit-A_Santa-Ana_CA_92704_M18563-12516</t>
  </si>
  <si>
    <t>Gina Bryson</t>
  </si>
  <si>
    <t>ginambryson@gmail.com</t>
  </si>
  <si>
    <t>Ifg Realty</t>
  </si>
  <si>
    <t>5612 S Rimpau Blvd, Los Angeles, CA 90043</t>
  </si>
  <si>
    <t>https://www.realtor.com/realestateandhomes-detail/5612-S-Rimpau-Blvd_Los-Angeles_CA_90043_M19295-59872</t>
  </si>
  <si>
    <t>Robert Colangeli</t>
  </si>
  <si>
    <t>robertcolangeli@yahoo.com</t>
  </si>
  <si>
    <t>35 Garrison Loop, Ladera Ranch, CA 92694</t>
  </si>
  <si>
    <t>https://www.realtor.com/realestateandhomes-detail/35-Garrison-Loop_Ladera-Ranch_CA_92694_M27879-43133</t>
  </si>
  <si>
    <t>Alfie McFadden</t>
  </si>
  <si>
    <t>AlfieMcFadden@gmail.com</t>
  </si>
  <si>
    <t>7041 Indiana Ave, Buena Park, CA 90621</t>
  </si>
  <si>
    <t>https://www.realtor.com/realestateandhomes-detail/7041-Indiana-Ave_Buena-Park_CA_90621_M24235-33055</t>
  </si>
  <si>
    <t>Manuel Diaz</t>
  </si>
  <si>
    <t>manueldiazrealty@yahoo.com</t>
  </si>
  <si>
    <t>10811 S San Pedro St, Los Angeles, CA 90061</t>
  </si>
  <si>
    <t>https://www.realtor.com/realestateandhomes-detail/10811-S-San-Pedro-St_Los-Angeles_CA_90061_M25639-47457</t>
  </si>
  <si>
    <t>Robert Alonzo</t>
  </si>
  <si>
    <t>ralonzo@flash.net</t>
  </si>
  <si>
    <t>The Alonzo Group</t>
  </si>
  <si>
    <t>10460 Lorinda Ave, Buena Park, CA 90620</t>
  </si>
  <si>
    <t>https://www.realtor.com/realestateandhomes-detail/10460-Lorinda-Ave_Buena-Park_CA_90620_M23879-21335</t>
  </si>
  <si>
    <t>Kevin Hernandez</t>
  </si>
  <si>
    <t>kevin@angelandpatty.com</t>
  </si>
  <si>
    <t>149 W Colden Ave, Los Angeles, CA 90003</t>
  </si>
  <si>
    <t>https://www.realtor.com/realestateandhomes-detail/149-W-Colden-Ave_Los-Angeles_CA_90003_M21356-87247</t>
  </si>
  <si>
    <t>Ramon Sanchez</t>
  </si>
  <si>
    <t>ramon@ramonsanchezreg.com</t>
  </si>
  <si>
    <t>3812 E 1st St, Los Angeles, CA 90063</t>
  </si>
  <si>
    <t>https://www.realtor.com/realestateandhomes-detail/3812-E-1st-St_Los-Angeles_CA_90063_M19896-47093</t>
  </si>
  <si>
    <t>Bret Lewis</t>
  </si>
  <si>
    <t>BretRealty@gmail.com</t>
  </si>
  <si>
    <t>Bret Lewis, Broker</t>
  </si>
  <si>
    <t>714 E Kensington Rd, Los Angeles, CA 90026</t>
  </si>
  <si>
    <t>https://www.realtor.com/realestateandhomes-detail/714-E-Kensington-Rd_Los-Angeles_CA_90026_M22729-57309</t>
  </si>
  <si>
    <t>Chad Gordon</t>
  </si>
  <si>
    <t>chadgordonesq@gmail.com</t>
  </si>
  <si>
    <t>The Gordon Professional Group</t>
  </si>
  <si>
    <t>1265 N Harvard Blvd, Los Angeles, CA 90029</t>
  </si>
  <si>
    <t>https://www.realtor.com/realestateandhomes-detail/1265-N-Harvard-Blvd_Los-Angeles_CA_90029_M25692-84710</t>
  </si>
  <si>
    <t>Julio Cortez</t>
  </si>
  <si>
    <t>juliocortez2007@yahoo.com</t>
  </si>
  <si>
    <t>Julio Cesar Cortez</t>
  </si>
  <si>
    <t>1021 W 48th St, Los Angeles, CA 90037</t>
  </si>
  <si>
    <t>https://www.realtor.com/realestateandhomes-detail/1021-W-48th-St_Los-Angeles_CA_90037_M17110-93312</t>
  </si>
  <si>
    <t>Mark Perez</t>
  </si>
  <si>
    <t>markperez38@gmail.com</t>
  </si>
  <si>
    <t>4170 4th Ave, Los Angeles, CA 90008</t>
  </si>
  <si>
    <t>https://www.realtor.com/realestateandhomes-detail/4170-4th-Ave_Los-Angeles_CA_90008_M24992-81600</t>
  </si>
  <si>
    <t>Ernesto Ramos</t>
  </si>
  <si>
    <t>theramosregroup@gmail.com</t>
  </si>
  <si>
    <t>Keller Williams Real Estate Services</t>
  </si>
  <si>
    <t>3744 Borel St, Los Angeles, CA 90031</t>
  </si>
  <si>
    <t>https://www.realtor.com/realestateandhomes-detail/3744-Borel-St_Los-Angeles_CA_90031_M13927-27431</t>
  </si>
  <si>
    <t>Joanna Diaz</t>
  </si>
  <si>
    <t>homes@joannadiaz.com</t>
  </si>
  <si>
    <t>The Real Estate Store Inc.</t>
  </si>
  <si>
    <t>129 N Cabrillo Ave, San Pedro, CA 90731</t>
  </si>
  <si>
    <t>https://www.realtor.com/realestateandhomes-detail/129-N-Cabrillo-Ave_San-Pedro_CA_90731_M28452-54759</t>
  </si>
  <si>
    <t>Holly Kovich</t>
  </si>
  <si>
    <t>holly@hollykovich.com</t>
  </si>
  <si>
    <t>Holly Kovich And Associates</t>
  </si>
  <si>
    <t>1225 S Leland St, San Pedro, CA 90731</t>
  </si>
  <si>
    <t>https://www.realtor.com/realestateandhomes-detail/1225-S-Leland-St_San-Pedro_CA_90731_M10296-09402</t>
  </si>
  <si>
    <t>Winston Yeh</t>
  </si>
  <si>
    <t>winston@sackinstoneteam.com</t>
  </si>
  <si>
    <t>9222 S San Pedro St, Los Angeles, CA 90003</t>
  </si>
  <si>
    <t>https://www.realtor.com/realestateandhomes-detail/9222-S-San-Pedro-St_Los-Angeles_CA_90003_M21265-19825</t>
  </si>
  <si>
    <t>Sylvia Toscano</t>
  </si>
  <si>
    <t>info@housesbysylvia.com</t>
  </si>
  <si>
    <t>Realty World Capero</t>
  </si>
  <si>
    <t>136 E Avenue 44, Los Angeles, CA 90031</t>
  </si>
  <si>
    <t>https://www.realtor.com/realestateandhomes-detail/136-E-Avenue-44_Los-Angeles_CA_90031_M25620-38915</t>
  </si>
  <si>
    <t>MARY MARINO</t>
  </si>
  <si>
    <t>mario_mariscal@yahoo.com</t>
  </si>
  <si>
    <t>430 Wren Dr, Los Angeles, CA 90065</t>
  </si>
  <si>
    <t>https://www.realtor.com/realestateandhomes-detail/430-Wren-Dr_Los-Angeles_CA_90065_M97002-06777</t>
  </si>
  <si>
    <t>Allison A Shih</t>
  </si>
  <si>
    <t>allisonshihrealestate@gmail.com</t>
  </si>
  <si>
    <t>Apn 4371 # 042-004, Los Angeles, CA 90077</t>
  </si>
  <si>
    <t>https://www.realtor.com/realestateandhomes-detail/Apn-4371-042-004_Los-Angeles_CA_90077_M99261-84555</t>
  </si>
  <si>
    <t>Joe De La Torre</t>
  </si>
  <si>
    <t>joedelator@aol.com</t>
  </si>
  <si>
    <t>Legends Realty</t>
  </si>
  <si>
    <t>Laura Borbon</t>
  </si>
  <si>
    <t>lborbon@sbcglobal.net</t>
  </si>
  <si>
    <t>442 112th St W, Los Angeles, CA 90061</t>
  </si>
  <si>
    <t>https://www.realtor.com/realestateandhomes-detail/442-W-112th-St_Los-Angeles_CA_90061_M90306-73662</t>
  </si>
  <si>
    <t>Martin Gonzalez</t>
  </si>
  <si>
    <t>allcities.investments1@gmail.com</t>
  </si>
  <si>
    <t>Realty Executives-All Cities</t>
  </si>
  <si>
    <t>847 E 25th St, Los Angeles, CA 90011</t>
  </si>
  <si>
    <t>https://www.realtor.com/realestateandhomes-detail/847-E-25th-St_Los-Angeles_CA_90011_M28073-47775</t>
  </si>
  <si>
    <t>Daniel Diaz</t>
  </si>
  <si>
    <t>ddmakeithappen1@gmail.com</t>
  </si>
  <si>
    <t>13075 Pacific Promenade Apt 115, Playa Vista, CA 90094</t>
  </si>
  <si>
    <t>https://www.realtor.com/realestateandhomes-detail/13075-Pacific-Promenade-Apt-115_Playa-Vista_CA_90094_M16505-94760</t>
  </si>
  <si>
    <t>Vivan Ainis</t>
  </si>
  <si>
    <t>v.p.ainis@gmail.com</t>
  </si>
  <si>
    <t>13800 El Dorado Dr # M324, Seal Beach, CA 90740</t>
  </si>
  <si>
    <t>https://www.realtor.com/realestateandhomes-detail/13800-El-Dorado-Dr-M3-24F_Seal-Beach_CA_90740_M98407-12323</t>
  </si>
  <si>
    <t>Kimberly Jbeili</t>
  </si>
  <si>
    <t>kimonsitesales@gmail.com</t>
  </si>
  <si>
    <t>15809 Kingsbury St, Granada Hills, CA 91344</t>
  </si>
  <si>
    <t>https://www.realtor.com/realestateandhomes-detail/15809-Kingsbury-St_Granada-Hills_CA_91344_M12411-22148</t>
  </si>
  <si>
    <t>Issy Tindimwebwa</t>
  </si>
  <si>
    <t>kanyubure@yahoo.com</t>
  </si>
  <si>
    <t>Issy K Tindimwebwa</t>
  </si>
  <si>
    <t>Brenda Trigo</t>
  </si>
  <si>
    <t>brendatrigo@gmail.com</t>
  </si>
  <si>
    <t>346 Hazel Dr, Rancho Mission Viejo, CA 92694</t>
  </si>
  <si>
    <t>https://www.realtor.com/realestateandhomes-detail/346-Hazel-Dr_Rancho-Mission-Viejo_CA_92694_M94397-48465</t>
  </si>
  <si>
    <t>John Binder</t>
  </si>
  <si>
    <t>johnbinder@remax.net</t>
  </si>
  <si>
    <t>1306 Gulf Ave, Wilmington, CA 90744</t>
  </si>
  <si>
    <t>https://www.realtor.com/realestateandhomes-detail/1306-Gulf-Ave_Wilmington_CA_90744_M18877-43633</t>
  </si>
  <si>
    <t>Steven Arellano</t>
  </si>
  <si>
    <t>realtybysteve@gmail.com</t>
  </si>
  <si>
    <t>CENTURY 21 Astro</t>
  </si>
  <si>
    <t>12555 Euclid St Apt 34, Garden Grove, CA 92840</t>
  </si>
  <si>
    <t>https://www.realtor.com/realestateandhomes-detail/12555-Euclid-St-Apt-34_Garden-Grove_CA_92840_M14340-52121</t>
  </si>
  <si>
    <t>Candice Cheung Uy</t>
  </si>
  <si>
    <t>candzuy@gmail.com</t>
  </si>
  <si>
    <t>8877 Lauderdale Ct Unit 213G, Huntington Beach, CA 92646</t>
  </si>
  <si>
    <t>https://www.realtor.com/realestateandhomes-detail/8877-Lauderdale-Ct-Unit-213G_Huntington-Beach_CA_92646_M14764-04938</t>
  </si>
  <si>
    <t>Tim Majka</t>
  </si>
  <si>
    <t>tim@imaginerealty.com</t>
  </si>
  <si>
    <t>240 North Avenue 49, Los Angeles, CA 90042</t>
  </si>
  <si>
    <t>https://www.realtor.com/realestateandhomes-detail/240-North-Avenue-49_Los-Angeles_CA_90042_M12493-62293</t>
  </si>
  <si>
    <t>Aurora Gim</t>
  </si>
  <si>
    <t>agim@expertrei.com</t>
  </si>
  <si>
    <t>Expert Real Estate</t>
  </si>
  <si>
    <t>736 E Century Blvd, Los Angeles, CA 90002</t>
  </si>
  <si>
    <t>https://www.realtor.com/realestateandhomes-detail/736-E-Century-Blvd_Los-Angeles_CA_90002_M20129-70498</t>
  </si>
  <si>
    <t>Norma Machado</t>
  </si>
  <si>
    <t>normaamachado@yahoo.com</t>
  </si>
  <si>
    <t>Building Better Homes</t>
  </si>
  <si>
    <t>222 S Central Ave Apt 242, Los Angeles, CA 90012</t>
  </si>
  <si>
    <t>https://www.realtor.com/realestateandhomes-detail/222-S-Central-Ave-Apt-242_Los-Angeles_CA_90012_M10504-33543</t>
  </si>
  <si>
    <t>Maria Sanchez</t>
  </si>
  <si>
    <t>Mariasellssocal@gmail.com</t>
  </si>
  <si>
    <t>Don Gonzalez, Broker</t>
  </si>
  <si>
    <t>529 S Breed St, Los Angeles, CA 90033</t>
  </si>
  <si>
    <t>https://www.realtor.com/realestateandhomes-detail/529-S-Breed-St_Los-Angeles_CA_90033_M12613-21512</t>
  </si>
  <si>
    <t>Christian Flores</t>
  </si>
  <si>
    <t>myrealtorchris@outlook.com</t>
  </si>
  <si>
    <t>Benjamin Gardus</t>
  </si>
  <si>
    <t>benjamin.gardus@rodeo.com</t>
  </si>
  <si>
    <t>10535 Wilshire Blvd Apt 411, Los Angeles, CA 90024</t>
  </si>
  <si>
    <t>https://www.realtor.com/realestateandhomes-detail/10535-Wilshire-Blvd-Apt-411_Los-Angeles_CA_90024_M14596-84975</t>
  </si>
  <si>
    <t>Tyler Drinkwater</t>
  </si>
  <si>
    <t>tyler.drinkwater@compass.com</t>
  </si>
  <si>
    <t>Laith Hoffarth</t>
  </si>
  <si>
    <t>laith@soldbyaria.com</t>
  </si>
  <si>
    <t>2812 Alsace Ave, Los Angeles, CA 90016</t>
  </si>
  <si>
    <t>https://www.realtor.com/realestateandhomes-detail/2812-Alsace-Ave_Los-Angeles_CA_90016_M11595-59596</t>
  </si>
  <si>
    <t>Dedra Chachere-Hunt</t>
  </si>
  <si>
    <t>rdhuntinc@yahoo.com</t>
  </si>
  <si>
    <t>John Salinger Real Estate</t>
  </si>
  <si>
    <t>15 Via Hermosa, Rancho Santa Margarita, CA 92688</t>
  </si>
  <si>
    <t>https://www.realtor.com/realestateandhomes-detail/15-Via-Hermosa_Rancho-Santa-Margarita_CA_92688_M20440-21068</t>
  </si>
  <si>
    <t>Christina Banaga</t>
  </si>
  <si>
    <t>christina@teamdrivenrealestate.com</t>
  </si>
  <si>
    <t>KW Spectrum Properties</t>
  </si>
  <si>
    <t>990 S Scripps Cir, Anaheim, CA 92807</t>
  </si>
  <si>
    <t>https://www.realtor.com/realestateandhomes-detail/990-S-Scripps-Cir_Anaheim_CA_92807_M23195-21884</t>
  </si>
  <si>
    <t>Bonnie Conte</t>
  </si>
  <si>
    <t>bonnie.conte@theboutiquere.com</t>
  </si>
  <si>
    <t>31292 Ysidora St, San Juan Capistrano, CA 92675</t>
  </si>
  <si>
    <t>https://www.realtor.com/realestateandhomes-detail/31292-Ysidora-St_San-Juan-Capistrano_CA_92675_M13872-56247</t>
  </si>
  <si>
    <t>Debbie Faremouth CRS GRI</t>
  </si>
  <si>
    <t>debbiefaremouth@gmail.com</t>
  </si>
  <si>
    <t>3305 Rivington, Irvine, CA 92612</t>
  </si>
  <si>
    <t>https://www.realtor.com/realestateandhomes-detail/3305-Rivington_Irvine_CA_92612_M97609-10909</t>
  </si>
  <si>
    <t>Tammy L. Willis</t>
  </si>
  <si>
    <t>realtortammywillis@gmail.com</t>
  </si>
  <si>
    <t>7740 Lindley Ave, Reseda, CA 91335</t>
  </si>
  <si>
    <t>https://www.realtor.com/realestateandhomes-detail/7740-Lindley-Ave_Reseda_CA_91335_M19684-46623</t>
  </si>
  <si>
    <t>Zabie Sahial</t>
  </si>
  <si>
    <t>zabiesellssandiego@gmail.com</t>
  </si>
  <si>
    <t>ROA California Inc</t>
  </si>
  <si>
    <t>252 Mayflower Dr, Newport Beach, CA 92660</t>
  </si>
  <si>
    <t>https://www.realtor.com/realestateandhomes-detail/252-Mayflower-Dr_Newport-Beach_CA_92660_M15780-38580</t>
  </si>
  <si>
    <t>David Elia</t>
  </si>
  <si>
    <t>david.elia@redfin.com</t>
  </si>
  <si>
    <t>Jennifer Elia</t>
  </si>
  <si>
    <t>jennifer.elia@redfin.com</t>
  </si>
  <si>
    <t>Dina Corchado</t>
  </si>
  <si>
    <t>dinagarcia2020@gmail.com</t>
  </si>
  <si>
    <t>3733 Bostwick St, East Los Angeles, CA 90063</t>
  </si>
  <si>
    <t>https://www.realtor.com/realestateandhomes-detail/3733-Bostwick-St_Los-Angeles_CA_90063_M19182-82813</t>
  </si>
  <si>
    <t>Shirley Tang</t>
  </si>
  <si>
    <t>manmantang@remax.net</t>
  </si>
  <si>
    <t>RE MAX 888</t>
  </si>
  <si>
    <t>4499 Via Marisol Apt 244, Los Angeles, CA 90042</t>
  </si>
  <si>
    <t>https://www.realtor.com/realestateandhomes-detail/4499-Via-Marisol-Apt-244_Los-Angeles_CA_90042_M29819-16122</t>
  </si>
  <si>
    <t>Esther Clauson</t>
  </si>
  <si>
    <t>esther@daveknightrealestate.com</t>
  </si>
  <si>
    <t>Keller Williams SELA</t>
  </si>
  <si>
    <t>10338 Oro Vista Ave, Los Angeles, CA 91040</t>
  </si>
  <si>
    <t>https://www.realtor.com/realestateandhomes-detail/10338-Oro-Vista-Ave_Sunland_CA_91040_M29511-67197</t>
  </si>
  <si>
    <t>Travis Buhl</t>
  </si>
  <si>
    <t>travis.buhl@telesproperties.com</t>
  </si>
  <si>
    <t>4756 Edgewood Pl, Los Angeles, CA 90019</t>
  </si>
  <si>
    <t>https://www.realtor.com/realestateandhomes-detail/4756-Edgewood-Pl_Los-Angeles_CA_90019_M20200-67474</t>
  </si>
  <si>
    <t>John Ford</t>
  </si>
  <si>
    <t>john@fordteam.com</t>
  </si>
  <si>
    <t>750 S Spaulding Ave Apt 129, Los Angeles, CA 90036</t>
  </si>
  <si>
    <t>https://www.realtor.com/realestateandhomes-detail/750-S-Spaulding-Ave-Apt-129_Los-Angeles_CA_90036_M21810-56346</t>
  </si>
  <si>
    <t>Gina Labellarti</t>
  </si>
  <si>
    <t>glabellarti@gmail.com</t>
  </si>
  <si>
    <t>JOHNHART CORP</t>
  </si>
  <si>
    <t>2516 N Woodstock Rd, Los Angeles, CA 90046</t>
  </si>
  <si>
    <t>https://www.realtor.com/realestateandhomes-detail/2516-Woodstock-Rd_Los-Angeles_CA_90046_M17608-54716</t>
  </si>
  <si>
    <t>Karen Ku</t>
  </si>
  <si>
    <t>kieyu@yahoo.com</t>
  </si>
  <si>
    <t>Karen Ku, Broker</t>
  </si>
  <si>
    <t>Forest Park Dr, Los Angeles, CA 90032</t>
  </si>
  <si>
    <t>https://www.realtor.com/realestateandhomes-detail/Forest-Park-Dr_Los-Angeles_CA_90032_M93505-57134</t>
  </si>
  <si>
    <t>Cheryl Nickel</t>
  </si>
  <si>
    <t>cherylnickel4@gmail.com</t>
  </si>
  <si>
    <t>Norm Haley Real Estate</t>
  </si>
  <si>
    <t>2229 Shoredale Ave, Los Angeles, CA 90031</t>
  </si>
  <si>
    <t>https://www.realtor.com/realestateandhomes-detail/2229-Shoredale-Ave_Los-Angeles_CA_90031_M29435-95209</t>
  </si>
  <si>
    <t>Kimberly Olbrich</t>
  </si>
  <si>
    <t>kimberly@c21citrus.com</t>
  </si>
  <si>
    <t>CENTURY 21 Citrus Realty</t>
  </si>
  <si>
    <t>14429 Califa St, Sherman Oaks, CA 91401</t>
  </si>
  <si>
    <t>https://www.realtor.com/realestateandhomes-detail/14429-Califa-St_Van-Nuys_CA_91401_M13632-64929</t>
  </si>
  <si>
    <t>John Nguyen</t>
  </si>
  <si>
    <t>jo_ng95@yahoo.com</t>
  </si>
  <si>
    <t>C J Realty</t>
  </si>
  <si>
    <t>6510 S Figueroa St, Los Angeles, CA 90003</t>
  </si>
  <si>
    <t>https://www.realtor.com/realestateandhomes-detail/6510-S-Figueroa-St_Los-Angeles_CA_90003_M29211-15623</t>
  </si>
  <si>
    <t>Lourdes A. Palacios</t>
  </si>
  <si>
    <t>buyorsellnow@skylerbroker.com</t>
  </si>
  <si>
    <t>Skyler Realty</t>
  </si>
  <si>
    <t>2168 Aliso Peak Way, Lake Forest, CA 92610</t>
  </si>
  <si>
    <t>https://www.realtor.com/realestateandhomes-detail/2168-Aliso-Peak-Way_Lake-Forest_CA_92610_M99657-90799</t>
  </si>
  <si>
    <t>Biyun Gao</t>
  </si>
  <si>
    <t>jennifergao2086@gmail.com</t>
  </si>
  <si>
    <t>939 White Knoll Dr, Los Angeles, CA 90012</t>
  </si>
  <si>
    <t>https://www.realtor.com/realestateandhomes-detail/939-White-Knoll-Dr_Los-Angeles_CA_90012_M23019-87478</t>
  </si>
  <si>
    <t>Ryan Hou</t>
  </si>
  <si>
    <t>ryanstevenhou@gmail.com</t>
  </si>
  <si>
    <t>1034 S Herbert Ave, Los Angeles, CA 90023</t>
  </si>
  <si>
    <t>https://www.realtor.com/realestateandhomes-detail/1034-S-Herbert-Ave_Los-Angeles_CA_90023_M21918-89363</t>
  </si>
  <si>
    <t>BENJAMIN LIN</t>
  </si>
  <si>
    <t>blin@remax.net</t>
  </si>
  <si>
    <t>1000 Realty</t>
  </si>
  <si>
    <t>305 S Mott St, Los Angeles, CA 90033</t>
  </si>
  <si>
    <t>https://www.realtor.com/realestateandhomes-detail/305-S-Mott-St_Los-Angeles_CA_90033_M17717-02807</t>
  </si>
  <si>
    <t>Anita Lee</t>
  </si>
  <si>
    <t>anitahao@yahoo.com</t>
  </si>
  <si>
    <t>530 S Hewitt St Unit 146, Los Angeles, CA 90013</t>
  </si>
  <si>
    <t>https://www.realtor.com/realestateandhomes-detail/530-S-Hewitt-St-Unit-146_Los-Angeles_CA_90013_M10197-89656</t>
  </si>
  <si>
    <t>Cindy Liu</t>
  </si>
  <si>
    <t>cindyliu0209@gmail.com</t>
  </si>
  <si>
    <t>237 Pinnacle, Irvine, CA 92602</t>
  </si>
  <si>
    <t>https://www.realtor.com/realestateandhomes-detail/237-Pinnacle_Irvine_CA_92602_M95895-69635</t>
  </si>
  <si>
    <t>Lu Cheng</t>
  </si>
  <si>
    <t>winnie.anxin@gmail.com</t>
  </si>
  <si>
    <t>Treenlanes Realty Group Inc.</t>
  </si>
  <si>
    <t>5150 Valley Blvd, Los Angeles, CA 90032</t>
  </si>
  <si>
    <t>https://www.realtor.com/realestateandhomes-detail/5150-Valley-Blvd_Los-Angeles_CA_90032_M18770-16361</t>
  </si>
  <si>
    <t>ROSA REYES</t>
  </si>
  <si>
    <t>rareyes@msn.com</t>
  </si>
  <si>
    <t>10307 Foothill Blvd, Sylmar, CA 91342</t>
  </si>
  <si>
    <t>https://www.realtor.com/realestateandhomes-detail/10307-Foothill-Blvd_Sylmar_CA_91342_M21574-77154</t>
  </si>
  <si>
    <t>Kimberly Ann Wiedemann</t>
  </si>
  <si>
    <t>isignedit@aol.com</t>
  </si>
  <si>
    <t>Ryan Marier, Broker</t>
  </si>
  <si>
    <t>1437 Greenfield Ave, Los Angeles, CA 90025</t>
  </si>
  <si>
    <t>https://www.realtor.com/realestateandhomes-detail/1437-Greenfield-Ave_Los-Angeles_CA_90025_M23489-36268</t>
  </si>
  <si>
    <t>EMILIO CAMPOS</t>
  </si>
  <si>
    <t>emilio.campos@coldwellbanker.com</t>
  </si>
  <si>
    <t>400 S Broadway Apt 924, Los Angeles, CA 90013</t>
  </si>
  <si>
    <t>https://www.realtor.com/realestateandhomes-detail/400-S-Broadway-Apt-924_Los-Angeles_CA_90013_M93956-04384</t>
  </si>
  <si>
    <t>Pin Pei Chen</t>
  </si>
  <si>
    <t>peggychen967@gmail.com</t>
  </si>
  <si>
    <t>127 Oakstone, Irvine, CA 92618</t>
  </si>
  <si>
    <t>https://www.realtor.com/realestateandhomes-detail/127-Oakstone_Irvine_CA_92618_M94588-85070</t>
  </si>
  <si>
    <t>Liang Chen</t>
  </si>
  <si>
    <t>leon.chen.la@gmail.com</t>
  </si>
  <si>
    <t>12846 Palm St Unit 1, Garden Grove, CA 92840</t>
  </si>
  <si>
    <t>https://www.realtor.com/realestateandhomes-detail/12846-Palm-St-Unit-1_Garden-Grove_CA_92840_M23070-50937</t>
  </si>
  <si>
    <t>Russell Santos</t>
  </si>
  <si>
    <t>russellsantos@kw.com</t>
  </si>
  <si>
    <t>2926 Future St, Los Angeles, CA 90065</t>
  </si>
  <si>
    <t>https://www.realtor.com/realestateandhomes-detail/2926-Future-St_Los-Angeles_CA_90065_M16290-89344</t>
  </si>
  <si>
    <t>William Xie</t>
  </si>
  <si>
    <t>williamxie888@gmail.com</t>
  </si>
  <si>
    <t>136 Pineview, Irvine, CA 92620</t>
  </si>
  <si>
    <t>https://www.realtor.com/realestateandhomes-detail/136-Pineview_Irvine_CA_92620_M12957-92326</t>
  </si>
  <si>
    <t>Yun Jiang</t>
  </si>
  <si>
    <t>jiangyun0009@gmail.com</t>
  </si>
  <si>
    <t>9715 9717 Wilmington Ave, Los Angeles, CA 90002</t>
  </si>
  <si>
    <t>https://www.realtor.com/realestateandhomes-detail/9715-9717-Wilmington-Ave_Los-Angeles_CA_90002_M91045-62231</t>
  </si>
  <si>
    <t>My Hoang Trinh</t>
  </si>
  <si>
    <t>mytrinh.c21@gmail.com</t>
  </si>
  <si>
    <t>HDD Realty Inc.</t>
  </si>
  <si>
    <t>Yennis Wong</t>
  </si>
  <si>
    <t>yennisw@bhhscal.com</t>
  </si>
  <si>
    <t>1800 W Gramercy Ave Apt 17, Anaheim, CA 92801</t>
  </si>
  <si>
    <t>https://www.realtor.com/realestateandhomes-detail/1800-W-Gramercy-Ave-Apt-17_Anaheim_CA_92801_M14065-12590</t>
  </si>
  <si>
    <t>Yishi Xu</t>
  </si>
  <si>
    <t>spongebob2430@gmail.com</t>
  </si>
  <si>
    <t>Hanu Reddy Realty</t>
  </si>
  <si>
    <t>10131 Johanna Ave, Sunland, CA 91040</t>
  </si>
  <si>
    <t>https://www.realtor.com/realestateandhomes-detail/10131-Johanna-Ave_Sunland_CA_91040_M25623-34352</t>
  </si>
  <si>
    <t>Justin Chu</t>
  </si>
  <si>
    <t>m1sterchu@yahoo.com</t>
  </si>
  <si>
    <t>CIRCA PROPERTIES, INC.</t>
  </si>
  <si>
    <t>2672 Newell St, Los Angeles, CA 90039</t>
  </si>
  <si>
    <t>https://www.realtor.com/realestateandhomes-detail/2672-Newell-St_Los-Angeles_CA_90039_M28699-94973</t>
  </si>
  <si>
    <t>Lei Shen</t>
  </si>
  <si>
    <t>shen8322@gmail.com</t>
  </si>
  <si>
    <t>3874 W Point Dr, Los Angeles, CA 90065</t>
  </si>
  <si>
    <t>https://www.realtor.com/realestateandhomes-detail/3874-W-Point-Dr_Los-Angeles_CA_90065_M93193-53491</t>
  </si>
  <si>
    <t>The Parsons Real Estate Team</t>
  </si>
  <si>
    <t>brian@theparsonsrealestateteam.com</t>
  </si>
  <si>
    <t>3836 Oak Hill Ave, Los Angeles, CA 90032</t>
  </si>
  <si>
    <t>https://www.realtor.com/realestateandhomes-detail/3836-Oak-Hill-Ave_Los-Angeles_CA_90032_M18599-50240</t>
  </si>
  <si>
    <t>Brian Ngoy</t>
  </si>
  <si>
    <t>brian@pgiestates.com</t>
  </si>
  <si>
    <t>1020 S McBride Ave, East Los Angeles, CA 90022</t>
  </si>
  <si>
    <t>https://www.realtor.com/realestateandhomes-detail/1020-S-McBride-Ave_Los-Angeles_CA_90022_M23283-19978</t>
  </si>
  <si>
    <t>Andrea Campos</t>
  </si>
  <si>
    <t>andrea.campos@kw.com</t>
  </si>
  <si>
    <t>225 S Kern Ave, Los Angeles, CA 90022</t>
  </si>
  <si>
    <t>https://www.realtor.com/realestateandhomes-detail/225-S-Kern-Ave_Los-Angeles_CA_90022_M24250-25099</t>
  </si>
  <si>
    <t>Ron</t>
  </si>
  <si>
    <t>rondstoneburner@msn.com</t>
  </si>
  <si>
    <t>501 Palisades Dr Apt 106, Pacific Palisades, CA 90272</t>
  </si>
  <si>
    <t>https://www.realtor.com/realestateandhomes-detail/501-Palisades-Dr-Apt-106_Pacific-Palisades_CA_90272_M29312-79778</t>
  </si>
  <si>
    <t>Thomas Smith</t>
  </si>
  <si>
    <t>tommysmithrealestate@gmail.com</t>
  </si>
  <si>
    <t>Elhardt Realty, Inc.</t>
  </si>
  <si>
    <t>3209 Johnston St, Los Angeles, CA 90031</t>
  </si>
  <si>
    <t>https://www.realtor.com/realestateandhomes-detail/3209-Johnston-St_Los-Angeles_CA_90031_M14392-66388</t>
  </si>
  <si>
    <t>James Alvarez</t>
  </si>
  <si>
    <t>jjalvarezc21@gmail.com</t>
  </si>
  <si>
    <t>13946 Chandler Blvd, Sherman Oaks, CA 91401</t>
  </si>
  <si>
    <t>https://www.realtor.com/realestateandhomes-detail/13946-Chandler-Blvd_Sherman-Oaks_CA_91401_M18071-74145</t>
  </si>
  <si>
    <t>Zhenchen Wan</t>
  </si>
  <si>
    <t>daphnew2008@gmail.com</t>
  </si>
  <si>
    <t>BESTARTING GROUP CORP</t>
  </si>
  <si>
    <t>27576 Hillstone, San Pedro, CA 90732</t>
  </si>
  <si>
    <t>https://www.realtor.com/realestateandhomes-detail/27576-Hillstone_San-Pedro_CA_90732_M90498-33749</t>
  </si>
  <si>
    <t>George Li</t>
  </si>
  <si>
    <t>georgeli723@gmail.com</t>
  </si>
  <si>
    <t>EXP REALTY OF SOCAL</t>
  </si>
  <si>
    <t>19421 Sierra Lago Rd, Irvine, CA 92603</t>
  </si>
  <si>
    <t>https://www.realtor.com/realestateandhomes-detail/19421-Sierra-Lago-Rd_Irvine_CA_92603_M22630-03970</t>
  </si>
  <si>
    <t>Maysim Mondegaran</t>
  </si>
  <si>
    <t>hellomaysim@gmail.com</t>
  </si>
  <si>
    <t>2324 Lillyvale Ave Apt 143, Los Angeles, CA 90032</t>
  </si>
  <si>
    <t>https://www.realtor.com/realestateandhomes-detail/2324-Lillyvale-Ave-Apt-143_Los-Angeles_CA_90032_M17884-85535</t>
  </si>
  <si>
    <t>Angelina Tislow</t>
  </si>
  <si>
    <t>angietislowhomes@gmail.com</t>
  </si>
  <si>
    <t>Coldwell Banker New Century</t>
  </si>
  <si>
    <t>655 S Hope St Unit 902, Los Angeles, CA 90017</t>
  </si>
  <si>
    <t>https://www.realtor.com/realestateandhomes-detail/655-S-Hope-St-Unit-902_Los-Angeles_CA_90017_M11068-07039</t>
  </si>
  <si>
    <t>Hoo Ye</t>
  </si>
  <si>
    <t>haoye2378@gmail.com</t>
  </si>
  <si>
    <t>10795 Wilshire Blvd Apt 402, Los Angeles, CA 90024</t>
  </si>
  <si>
    <t>https://www.realtor.com/realestateandhomes-detail/10795-Wilshire-Blvd-Apt-402_Los-Angeles_CA_90024_M18952-08407</t>
  </si>
  <si>
    <t>Nikko Lowe</t>
  </si>
  <si>
    <t>nlhomesales@gmail.com</t>
  </si>
  <si>
    <t>453 Frontenac Ave, Los Angeles, CA 90065</t>
  </si>
  <si>
    <t>https://www.realtor.com/realestateandhomes-detail/453-Frontenac-Ave_Los-Angeles_CA_90065_M12236-11527</t>
  </si>
  <si>
    <t>Sarah Rogers</t>
  </si>
  <si>
    <t>sarah@sarahrogersestates.com</t>
  </si>
  <si>
    <t>1451 Volney Dr, City Terrace, CA 90063</t>
  </si>
  <si>
    <t>https://www.realtor.com/realestateandhomes-detail/1451-Volney-Dr_Los-Angeles_CA_90063_M18625-32963</t>
  </si>
  <si>
    <t>JULIA ZHAO</t>
  </si>
  <si>
    <t>juliazhao@remax.net</t>
  </si>
  <si>
    <t>Re/Max Elite Realty</t>
  </si>
  <si>
    <t>2111 S Bronson Ave, Los Angeles, CA 90018</t>
  </si>
  <si>
    <t>https://www.realtor.com/realestateandhomes-detail/2111-S-Bronson-Ave_Los-Angeles_CA_90018_M13915-40088</t>
  </si>
  <si>
    <t>Carlos Nogales</t>
  </si>
  <si>
    <t>carlos.nogales@c21allstars.com</t>
  </si>
  <si>
    <t>400 S Broadway Apt 1801, Los Angeles, CA 90013</t>
  </si>
  <si>
    <t>https://www.realtor.com/realestateandhomes-detail/400-S-Broadway-Apt-1801_Los-Angeles_CA_90013_M98985-70250</t>
  </si>
  <si>
    <t>Jason Bergman</t>
  </si>
  <si>
    <t>j.bergman@theagencyre.com</t>
  </si>
  <si>
    <t>12244 Tiara St, Valley Village, CA 91607</t>
  </si>
  <si>
    <t>https://www.realtor.com/realestateandhomes-detail/12244-Tiara-St_Valley-Village_CA_91607_M17201-98126</t>
  </si>
  <si>
    <t>Jeff Fisher</t>
  </si>
  <si>
    <t>jfisher.realestate@yahoo.com</t>
  </si>
  <si>
    <t>218 Keeper, Irvine, CA 92618</t>
  </si>
  <si>
    <t>https://www.realtor.com/realestateandhomes-detail/218-Keeper_Irvine_CA_92618_M90068-38809</t>
  </si>
  <si>
    <t>Lily Ly</t>
  </si>
  <si>
    <t>lilylyrealty@gmail.com</t>
  </si>
  <si>
    <t>308 E 65th St, Los Angeles, CA 90003</t>
  </si>
  <si>
    <t>https://www.realtor.com/realestateandhomes-detail/308-E-65th-St_Los-Angeles_CA_90003_M28910-42007</t>
  </si>
  <si>
    <t>Gail Duchetta</t>
  </si>
  <si>
    <t>duchetta@aol.com</t>
  </si>
  <si>
    <t>Landmark Realty Services</t>
  </si>
  <si>
    <t>79 Pelican Ln, Irvine, CA 92618</t>
  </si>
  <si>
    <t>https://www.realtor.com/realestateandhomes-detail/79-Pelican-Ln_Irvine_CA_92618_M16860-77316</t>
  </si>
  <si>
    <t>JOHN LIU</t>
  </si>
  <si>
    <t>johnl@northlandca.com</t>
  </si>
  <si>
    <t>Northland Real Estate Group, I</t>
  </si>
  <si>
    <t>1070 N Oban Dr, Los Angeles, CA 90065</t>
  </si>
  <si>
    <t>https://www.realtor.com/realestateandhomes-detail/1070-Oban-Dr_Los-Angeles_CA_90065_M10607-69506</t>
  </si>
  <si>
    <t>Teresa Fuller</t>
  </si>
  <si>
    <t>teresa@teresafuller.com</t>
  </si>
  <si>
    <t>404 Sievers Ave, Brea, CA 92821</t>
  </si>
  <si>
    <t>https://www.realtor.com/realestateandhomes-detail/404-Sievers-Ave_Brea_CA_92821_M14828-86953</t>
  </si>
  <si>
    <t>Irene Dominguez</t>
  </si>
  <si>
    <t>remax.irenemd@gmail.com</t>
  </si>
  <si>
    <t>COLDWELL BANKER LEADERS</t>
  </si>
  <si>
    <t>100 S Alameda St Unit 107, Los Angeles, CA 90012</t>
  </si>
  <si>
    <t>https://www.realtor.com/realestateandhomes-detail/100-S-Alameda-St-Unit-107_Los-Angeles_CA_90012_M20558-84446</t>
  </si>
  <si>
    <t>Julie Lai - Partner Real Estate</t>
  </si>
  <si>
    <t>jlai@partner.realestate</t>
  </si>
  <si>
    <t>2819 S Flower St, Los Angeles, CA 90007</t>
  </si>
  <si>
    <t>https://www.realtor.com/realestateandhomes-detail/2819-S-Flower-St_Los-Angeles_CA_90007_M93359-65927</t>
  </si>
  <si>
    <t>Thomas Chou</t>
  </si>
  <si>
    <t>thomaschou@altcrealty.com</t>
  </si>
  <si>
    <t>Altc Realty</t>
  </si>
  <si>
    <t>1558 Hauser Blvd, Los Angeles, CA 90019</t>
  </si>
  <si>
    <t>https://www.realtor.com/realestateandhomes-detail/1558-Hauser-Blvd_Los-Angeles_CA_90019_M16559-41950</t>
  </si>
  <si>
    <t>Cindy Hou</t>
  </si>
  <si>
    <t>cindyhouxiangyi@gmail.com</t>
  </si>
  <si>
    <t>12223 Shady Hollow Ln, Porter Ranch, CA 91326</t>
  </si>
  <si>
    <t>https://www.realtor.com/realestateandhomes-detail/12223-Shady-Hollow-Ln_Porter-Ranch_CA_91326_M18256-38457</t>
  </si>
  <si>
    <t>JOCELYN RUIZ</t>
  </si>
  <si>
    <t>jocelynruiz@epique.me</t>
  </si>
  <si>
    <t>Jocelyn Ruiz, Broker</t>
  </si>
  <si>
    <t>5261 Harmony Ave, North Hollywood, CA 91601</t>
  </si>
  <si>
    <t>https://www.realtor.com/realestateandhomes-detail/5261-Harmony-Ave_North-Hollywood_CA_91601_M19044-90042</t>
  </si>
  <si>
    <t>Janet Chan</t>
  </si>
  <si>
    <t>jc@advantaprop.com</t>
  </si>
  <si>
    <t>Advanta Properties, Inc</t>
  </si>
  <si>
    <t>Samuel Liu</t>
  </si>
  <si>
    <t>sliu1201@gmail.com</t>
  </si>
  <si>
    <t>Shl Investment Inc.</t>
  </si>
  <si>
    <t>Lili Qian</t>
  </si>
  <si>
    <t>qianpeter5@gmail.com</t>
  </si>
  <si>
    <t>3201 Hamilton Way, Los Angeles, CA 90026</t>
  </si>
  <si>
    <t>https://www.realtor.com/realestateandhomes-detail/3201-Hamilton-Way_Los-Angeles_CA_90026_M24488-89823</t>
  </si>
  <si>
    <t>Travis Ely</t>
  </si>
  <si>
    <t>elytravis@starlightpartners.com</t>
  </si>
  <si>
    <t>244 246 W 66th St, Los Angeles, CA 90003</t>
  </si>
  <si>
    <t>https://www.realtor.com/realestateandhomes-detail/244-246-W-66th-St_Los-Angeles_CA_90003_M96381-85591</t>
  </si>
  <si>
    <t>Pablo Ramirez</t>
  </si>
  <si>
    <t>pabloramirezrealestate@gmail.com</t>
  </si>
  <si>
    <t>315 Isabel St, Los Angeles, CA 90065</t>
  </si>
  <si>
    <t>https://www.realtor.com/realestateandhomes-detail/315-Isabel-St_Los-Angeles_CA_90065_M29931-21647</t>
  </si>
  <si>
    <t>Jacob Parra</t>
  </si>
  <si>
    <t>jacobvparra@gmail.com</t>
  </si>
  <si>
    <t>1233 N New Hampshire Ave, Los Angeles, CA 90029</t>
  </si>
  <si>
    <t>https://www.realtor.com/realestateandhomes-detail/1233-N-New-Hampshire-Ave_Los-Angeles_CA_90029_M26372-20524</t>
  </si>
  <si>
    <t>Edward Chen</t>
  </si>
  <si>
    <t>eddy@ecnteam.com</t>
  </si>
  <si>
    <t>2929 N Amethyst St, Los Angeles, CA 90032</t>
  </si>
  <si>
    <t>https://www.realtor.com/realestateandhomes-detail/2929-Amethyst-St_Los-Angeles_CA_90032_M14748-98589</t>
  </si>
  <si>
    <t>Roland Castelar</t>
  </si>
  <si>
    <t>roland.castelar@dilbeck.com</t>
  </si>
  <si>
    <t>Wetrustrealty</t>
  </si>
  <si>
    <t>16625 Marquez Ter, Pacific Palisades, CA 90272</t>
  </si>
  <si>
    <t>https://www.realtor.com/realestateandhomes-detail/16625-Marquez-Ter_Pacific-Palisades_CA_90272_M29553-53577</t>
  </si>
  <si>
    <t>RHEA BAI</t>
  </si>
  <si>
    <t>greenlandsproperty@gmail.com</t>
  </si>
  <si>
    <t>Re/Max Premier Properties Arcadia</t>
  </si>
  <si>
    <t>1916 W Court St, Los Angeles, CA 90026</t>
  </si>
  <si>
    <t>https://www.realtor.com/realestateandhomes-detail/1916-W-Court-St_Los-Angeles_CA_90026_M10162-97940</t>
  </si>
  <si>
    <t>Marcus and Helen Ibrahim</t>
  </si>
  <si>
    <t>marcus@teamibrahim.com</t>
  </si>
  <si>
    <t>1833 Roscomare Rd, Los Angeles, CA 90077</t>
  </si>
  <si>
    <t>https://www.realtor.com/realestateandhomes-detail/1833-Roscomare-Rd_Los-Angeles_CA_90077_M23182-46801</t>
  </si>
  <si>
    <t>Jia Chen</t>
  </si>
  <si>
    <t>pepperjia331@gmail.com</t>
  </si>
  <si>
    <t>Melissa Sui, Broker</t>
  </si>
  <si>
    <t>5 Quartz Ln, Ladera Ranch, CA 92694</t>
  </si>
  <si>
    <t>https://www.realtor.com/realestateandhomes-detail/5-Quartz-Ln_Ladera-Ranch_CA_92694_M22821-47017</t>
  </si>
  <si>
    <t>Diana Huo</t>
  </si>
  <si>
    <t>dianahuarealestate@gmail.com</t>
  </si>
  <si>
    <t>Keller Williams Premier Proper</t>
  </si>
  <si>
    <t>1437 S Bonnie Brae St, Los Angeles, CA 90006</t>
  </si>
  <si>
    <t>https://www.realtor.com/realestateandhomes-detail/1437-S-Bonnie-Brae-St_Los-Angeles_CA_90006_M17170-52409</t>
  </si>
  <si>
    <t>Victor And Carolina Prieto</t>
  </si>
  <si>
    <t>victorandcarolina@gmail.com</t>
  </si>
  <si>
    <t>eHomes</t>
  </si>
  <si>
    <t>5128 Avenida Hacienda, Tarzana, CA 91356</t>
  </si>
  <si>
    <t>https://www.realtor.com/realestateandhomes-detail/5128-Avenida-Hacienda_Tarzana_CA_91356_M14966-11153</t>
  </si>
  <si>
    <t>Jonathan Rodriguez</t>
  </si>
  <si>
    <t>jonathan@caflatfee.com</t>
  </si>
  <si>
    <t>CA Flat Fee Listings, Inc</t>
  </si>
  <si>
    <t>3500 Tuller Ave, Los Angeles, CA 90034</t>
  </si>
  <si>
    <t>https://www.realtor.com/realestateandhomes-detail/3500-Tuller-Ave_Los-Angeles_CA_90034_M22820-18008</t>
  </si>
  <si>
    <t>Oscar Isidro Morales Limon</t>
  </si>
  <si>
    <t>limon_10@yahoo.com</t>
  </si>
  <si>
    <t>OPTION ONE REALTY &amp; INVESTMENT</t>
  </si>
  <si>
    <t>1736 W 51st, Los Angeles, CA 90062</t>
  </si>
  <si>
    <t>https://www.realtor.com/realestateandhomes-detail/1736-W-51st_Los-Angeles_CA_90062_M90638-23166</t>
  </si>
  <si>
    <t>Lynne Tran</t>
  </si>
  <si>
    <t>ltran9015@gmail.com</t>
  </si>
  <si>
    <t>4760 Templeton St Apt 3226, Los Angeles, CA 90032</t>
  </si>
  <si>
    <t>https://www.realtor.com/realestateandhomes-detail/4760-Templeton-St-Apt-3226_Los-Angeles_CA_90032_M15385-80124</t>
  </si>
  <si>
    <t>Snowie Jenny Liu</t>
  </si>
  <si>
    <t>jenny_agent@yahoo.com</t>
  </si>
  <si>
    <t>Premier Agent Network</t>
  </si>
  <si>
    <t>3968 Arlington Ave, Los Angeles, CA 90008</t>
  </si>
  <si>
    <t>https://www.realtor.com/realestateandhomes-detail/3968-Arlington-Ave_Los-Angeles_CA_90008_M26764-43891</t>
  </si>
  <si>
    <t>Joe Tseng</t>
  </si>
  <si>
    <t>realestate.joet2438@yahoo.com</t>
  </si>
  <si>
    <t>Treeline Realty &amp; Investment</t>
  </si>
  <si>
    <t>3880 Hogan Dr, Yorba Linda, CA 92886</t>
  </si>
  <si>
    <t>https://www.realtor.com/realestateandhomes-detail/3880-Hogan-Dr_Yorba-Linda_CA_92886_M19917-51288</t>
  </si>
  <si>
    <t>Ping Wang</t>
  </si>
  <si>
    <t>carl@cdiamond.org</t>
  </si>
  <si>
    <t>Presidential Inc</t>
  </si>
  <si>
    <t>3144 Johnston St, Los Angeles, CA 90031</t>
  </si>
  <si>
    <t>https://www.realtor.com/realestateandhomes-detail/3144-Johnston-St_Los-Angeles_CA_90031_M25770-51708</t>
  </si>
  <si>
    <t>Herman Lee</t>
  </si>
  <si>
    <t>hermanleere@gmail.com</t>
  </si>
  <si>
    <t>Herman Lee, Broker</t>
  </si>
  <si>
    <t>1319 Douglas St, Los Angeles, CA 90026</t>
  </si>
  <si>
    <t>https://www.realtor.com/realestateandhomes-detail/1319-Douglas-St_Los-Angeles_CA_90026_M15017-05122</t>
  </si>
  <si>
    <t>KEVIN TRUONG</t>
  </si>
  <si>
    <t>kt5788@gmail.com</t>
  </si>
  <si>
    <t>Kevin L Truong, Broker</t>
  </si>
  <si>
    <t>Gary Karasawa</t>
  </si>
  <si>
    <t>markiiiproperties@yahoo.com</t>
  </si>
  <si>
    <t>Mark Iii Properties</t>
  </si>
  <si>
    <t>1133 S Hoover St Apt 416, Los Angeles, CA 90006</t>
  </si>
  <si>
    <t>https://www.realtor.com/realestateandhomes-detail/1133-S-Hoover-St-Apt-416_Los-Angeles_CA_90006_M11719-85968</t>
  </si>
  <si>
    <t>Calvin Chen</t>
  </si>
  <si>
    <t>calvinchen025@gmail.com</t>
  </si>
  <si>
    <t>3517 Ellsworth St, Los Angeles, CA 90026</t>
  </si>
  <si>
    <t>https://www.realtor.com/realestateandhomes-detail/3517-Ellsworth-St_Los-Angeles_CA_90026_M22087-10824</t>
  </si>
  <si>
    <t>Clarence Yeung</t>
  </si>
  <si>
    <t>clarencechiyeung@gmail.com</t>
  </si>
  <si>
    <t>EXP REALTY</t>
  </si>
  <si>
    <t>644 N Cherokee Ave, Los Angeles, CA 90004</t>
  </si>
  <si>
    <t>https://www.realtor.com/realestateandhomes-detail/644-N-Cherokee-Ave_Los-Angeles_CA_90004_M22674-67843</t>
  </si>
  <si>
    <t>Gregory Holcomb</t>
  </si>
  <si>
    <t>gregoryholcomb@gmail.com</t>
  </si>
  <si>
    <t>18842 Tuba St, Northridge, CA 91324</t>
  </si>
  <si>
    <t>https://www.realtor.com/realestateandhomes-detail/18842-Tuba-St_Northridge_CA_91324_M22755-87447</t>
  </si>
  <si>
    <t>Joshua Chao</t>
  </si>
  <si>
    <t>joshua@222save.com</t>
  </si>
  <si>
    <t>Smart Capital</t>
  </si>
  <si>
    <t>1249 S Burnside Ave, Los Angeles, CA 90019</t>
  </si>
  <si>
    <t>https://www.realtor.com/realestateandhomes-detail/1249-S-Burnside-Ave_Los-Angeles_CA_90019_M20214-09048</t>
  </si>
  <si>
    <t>Victoria Yu</t>
  </si>
  <si>
    <t>yht890513@gmail.com</t>
  </si>
  <si>
    <t>26511 Granvia Dr, Mission Viejo, CA 92691</t>
  </si>
  <si>
    <t>https://www.realtor.com/realestateandhomes-detail/26511-Granvia-Dr_Mission-Viejo_CA_92691_M18971-30095</t>
  </si>
  <si>
    <t>Xun Liao</t>
  </si>
  <si>
    <t>dave928928@yahoo.com</t>
  </si>
  <si>
    <t>Globridge Realty</t>
  </si>
  <si>
    <t>184 Elkhorn, Irvine, CA 92618</t>
  </si>
  <si>
    <t>https://www.realtor.com/realestateandhomes-detail/184-Elkhorn_Irvine_CA_92618_M96343-10148</t>
  </si>
  <si>
    <t>Yu Zhu</t>
  </si>
  <si>
    <t>jerryzhuyu@outlook.com</t>
  </si>
  <si>
    <t>9706 Hensal Rd, Beverly Hills, CA 90210</t>
  </si>
  <si>
    <t>https://www.realtor.com/realestateandhomes-detail/9706-Hensal-Rd_Beverly-Hills_CA_90210_M29614-67116</t>
  </si>
  <si>
    <t>Anita Wong</t>
  </si>
  <si>
    <t>anita88remax@gmail.com</t>
  </si>
  <si>
    <t>443 S State St, Los Angeles, CA 90033</t>
  </si>
  <si>
    <t>https://www.realtor.com/realestateandhomes-detail/443-S-State-St_Los-Angeles_CA_90033_M17064-87408</t>
  </si>
  <si>
    <t>Rick Diaz</t>
  </si>
  <si>
    <t>Rick@MainstreetGroup.com</t>
  </si>
  <si>
    <t>MAINSTREET REALTORS</t>
  </si>
  <si>
    <t>759 E 83rd St, Los Angeles, CA 90001</t>
  </si>
  <si>
    <t>https://www.realtor.com/realestateandhomes-detail/759-E-83rd-St_Los-Angeles_CA_90001_M13766-54529</t>
  </si>
  <si>
    <t>Rafael Ortiz</t>
  </si>
  <si>
    <t>ortizhomesyes@gmail.com</t>
  </si>
  <si>
    <t>Ortiz Homes</t>
  </si>
  <si>
    <t>630 W 79th St, Los Angeles, CA 90044</t>
  </si>
  <si>
    <t>https://www.realtor.com/realestateandhomes-detail/630-W-79th-St_Los-Angeles_CA_90044_M96911-27030</t>
  </si>
  <si>
    <t>Daniel Leech</t>
  </si>
  <si>
    <t>danleech@email.com</t>
  </si>
  <si>
    <t>KELLER WILLIAMS REALTY</t>
  </si>
  <si>
    <t>Colette Leech</t>
  </si>
  <si>
    <t>COLETTELEECH@gmail.com</t>
  </si>
  <si>
    <t>1805 Outpost Dr, Los Angeles, CA 90068</t>
  </si>
  <si>
    <t>https://www.realtor.com/realestateandhomes-detail/1805-Outpost-Dr_Los-Angeles_CA_90068_M10309-72099</t>
  </si>
  <si>
    <t>Catherine Zheng</t>
  </si>
  <si>
    <t>cat0529@gmail.com</t>
  </si>
  <si>
    <t>Lantastic Group, Inc.</t>
  </si>
  <si>
    <t>5851 Troost Ave, North Hollywood, CA 91601</t>
  </si>
  <si>
    <t>https://www.realtor.com/realestateandhomes-detail/5851-Troost-Ave_North-Hollywood_CA_91601_M22975-45311</t>
  </si>
  <si>
    <t>Chevy Ala</t>
  </si>
  <si>
    <t>chevyala@gmail.com</t>
  </si>
  <si>
    <t>Homequest Real Estate</t>
  </si>
  <si>
    <t>Norwalk Ave, Eagle Rock, CA 90041</t>
  </si>
  <si>
    <t>https://www.realtor.com/realestateandhomes-detail/Norwalk-Ave_Eagle-Rock_CA_90041_M98912-16033</t>
  </si>
  <si>
    <t>Tiffany Wopschall</t>
  </si>
  <si>
    <t>tfwopschall@gmail.com</t>
  </si>
  <si>
    <t>Hythe Realty, Inc</t>
  </si>
  <si>
    <t>3025 Carter Ave, Marina del Rey, CA 90292</t>
  </si>
  <si>
    <t>https://www.realtor.com/realestateandhomes-detail/3025-Carter-Ave_Marina-Del-Rey_CA_90292_M14070-13677</t>
  </si>
  <si>
    <t>Josiah Thropay</t>
  </si>
  <si>
    <t>josiahthropay@equityunion.com</t>
  </si>
  <si>
    <t>9224-9226 N Gothic Ave, North Hills, CA 91343</t>
  </si>
  <si>
    <t>https://www.realtor.com/realestateandhomes-detail/9224-9226-N-Gothic-Ave_North-Hills_CA_91343_M91984-10067</t>
  </si>
  <si>
    <t>Tanya Castillo</t>
  </si>
  <si>
    <t>tanyacastillorealtor@gmail.com</t>
  </si>
  <si>
    <t>Keller Williams Realty Antelop</t>
  </si>
  <si>
    <t>10646 Samoa Ave, Los Angeles, CA 91042</t>
  </si>
  <si>
    <t>https://www.realtor.com/realestateandhomes-detail/10646-Samoa-Ave_Tujunga_CA_91042_M11162-55347</t>
  </si>
  <si>
    <t>Jason and Laura Berns</t>
  </si>
  <si>
    <t>TheBernsTeam@gmail.com</t>
  </si>
  <si>
    <t>1705 Shady Brook Dr Unit 37, Fullerton, CA 92831</t>
  </si>
  <si>
    <t>https://www.realtor.com/realestateandhomes-detail/1705-Shady-Brook-Dr-37_Fullerton_CA_92831_M91138-89588</t>
  </si>
  <si>
    <t>Jacky Tu</t>
  </si>
  <si>
    <t>jacky.tu@redfin.com</t>
  </si>
  <si>
    <t>3451 Estrada St, Los Angeles, CA 90023</t>
  </si>
  <si>
    <t>https://www.realtor.com/realestateandhomes-detail/3451-Estrada-St_Los-Angeles_CA_90023_M13769-20466</t>
  </si>
  <si>
    <t>Raul Vega</t>
  </si>
  <si>
    <t>raulvegainvestments@yahoo.com</t>
  </si>
  <si>
    <t>Bankers Investment Group Inc.</t>
  </si>
  <si>
    <t>19000 Dorlon Dr, Tarzana, CA 91356</t>
  </si>
  <si>
    <t>https://www.realtor.com/realestateandhomes-detail/19000-Dorlon-Dr_Tarzana_CA_91356_M20759-47495</t>
  </si>
  <si>
    <t>Anthony Robles</t>
  </si>
  <si>
    <t>AnthonyR@LeonardR.com</t>
  </si>
  <si>
    <t>8169 Kirkwood Dr, Los Angeles, CA 90046</t>
  </si>
  <si>
    <t>https://www.realtor.com/realestateandhomes-detail/8169-Kirkwood-Dr_Los-Angeles_CA_90046_M27780-70041</t>
  </si>
  <si>
    <t>Richard Chassler</t>
  </si>
  <si>
    <t>rchassler@nourmand.com</t>
  </si>
  <si>
    <t>Nest Seekers</t>
  </si>
  <si>
    <t>Heather Rogers</t>
  </si>
  <si>
    <t>rogers@theheathergroup.com</t>
  </si>
  <si>
    <t>10345 Oso Ave, Chatsworth, CA 91311</t>
  </si>
  <si>
    <t>https://www.realtor.com/realestateandhomes-detail/10345-Oso-Ave_Chatsworth_CA_91311_M19769-75449</t>
  </si>
  <si>
    <t>Chris Pereira</t>
  </si>
  <si>
    <t>chris.pereira@equityunion.com</t>
  </si>
  <si>
    <t>Real Brokerage Technologies In</t>
  </si>
  <si>
    <t>1120 W 110th St, Los Angeles, CA 90044</t>
  </si>
  <si>
    <t>https://www.realtor.com/realestateandhomes-detail/1120-W-110th-St_Los-Angeles_CA_90044_M26482-80285</t>
  </si>
  <si>
    <t>Mark King</t>
  </si>
  <si>
    <t>mark.king@kw.com</t>
  </si>
  <si>
    <t>11 Saratoga, Newport Beach, CA 92660</t>
  </si>
  <si>
    <t>https://www.realtor.com/realestateandhomes-detail/11-Saratoga_Newport-Beach_CA_92660_M15889-06359</t>
  </si>
  <si>
    <t>Cassie French</t>
  </si>
  <si>
    <t>cassie.french@theagencyre.com</t>
  </si>
  <si>
    <t>Lauren Roberts</t>
  </si>
  <si>
    <t>lauren.kridel@gmail.com</t>
  </si>
  <si>
    <t>1160 S Tamarisk Dr, Anaheim, CA 92807</t>
  </si>
  <si>
    <t>https://www.realtor.com/realestateandhomes-detail/1160-S-Tamarisk-Dr_Anaheim_CA_92807_M23444-15533</t>
  </si>
  <si>
    <t>Audrey Vo</t>
  </si>
  <si>
    <t>audreyn.vo@gmail.com</t>
  </si>
  <si>
    <t>Credent Real Estate</t>
  </si>
  <si>
    <t>13102 Partridge St, Garden Grove, CA 92843</t>
  </si>
  <si>
    <t>https://www.realtor.com/realestateandhomes-detail/13102-Partridge-St_Garden-Grove_CA_92843_M91897-84517</t>
  </si>
  <si>
    <t>Angie Padilla</t>
  </si>
  <si>
    <t>realestatebyangiepadilla@gmail.com</t>
  </si>
  <si>
    <t>Enterprise Property Management</t>
  </si>
  <si>
    <t>6807 E Pinnacle Pointe, Orange, CA 92869</t>
  </si>
  <si>
    <t>https://www.realtor.com/realestateandhomes-detail/6807-E-Pinnacle-Pointe_Orange_CA_92869_M14304-94187</t>
  </si>
  <si>
    <t>Vy Nguyen</t>
  </si>
  <si>
    <t>vyrnbroker@gmail.com</t>
  </si>
  <si>
    <t>Professional R.E. Center, Inc.</t>
  </si>
  <si>
    <t>17735 Kinzie St, Northridge, CA 91325</t>
  </si>
  <si>
    <t>https://www.realtor.com/realestateandhomes-detail/17735-Kinzie-St_Northridge_CA_91325_M93323-97296</t>
  </si>
  <si>
    <t>Christina DiMarzo - Broker Associate</t>
  </si>
  <si>
    <t>dimarzo1@gmail.com</t>
  </si>
  <si>
    <t>RE MAX All-Pro</t>
  </si>
  <si>
    <t>5012 Gerald Ave, Encino, CA 91436</t>
  </si>
  <si>
    <t>https://www.realtor.com/realestateandhomes-detail/5012-Gerald-Ave_Encino_CA_91436_M15273-99117</t>
  </si>
  <si>
    <t>Michael Hrezo</t>
  </si>
  <si>
    <t>mikehrezo1@gmail.com</t>
  </si>
  <si>
    <t>1722 W 79th St, Los Angeles, CA 90047</t>
  </si>
  <si>
    <t>https://www.realtor.com/realestateandhomes-detail/1722-W-79th-St_Los-Angeles_CA_90047_M15529-96969</t>
  </si>
  <si>
    <t>Joi Campbell</t>
  </si>
  <si>
    <t>joincampbell@gmail.com</t>
  </si>
  <si>
    <t>10004 San Fernando Rd Unit 3, Pacoima, CA 91331</t>
  </si>
  <si>
    <t>https://www.realtor.com/realestateandhomes-detail/10004-San-Fernando-Rd-3_Pacoima_CA_91331_M91478-77898</t>
  </si>
  <si>
    <t>Sally Sanchez</t>
  </si>
  <si>
    <t>sally.blvd@yahoo.com</t>
  </si>
  <si>
    <t>Dominguez Realty Group</t>
  </si>
  <si>
    <t>1108 N Kenmore Ave, Los Angeles, CA 90029</t>
  </si>
  <si>
    <t>https://www.realtor.com/realestateandhomes-detail/1108-N-Kenmore-Ave_Los-Angeles_CA_90029_M94120-74189</t>
  </si>
  <si>
    <t>Jim Mangassarian</t>
  </si>
  <si>
    <t>jim@jimmangassarian.com</t>
  </si>
  <si>
    <t>Realty Executives Homes</t>
  </si>
  <si>
    <t>13513 Polk St, Sylmar, CA 91342</t>
  </si>
  <si>
    <t>https://www.realtor.com/realestateandhomes-detail/13513-Polk-St_Sylmar_CA_91342_M13116-77950</t>
  </si>
  <si>
    <t>Alfredo Manzano</t>
  </si>
  <si>
    <t>amanzano4reo@yahoo.com</t>
  </si>
  <si>
    <t>Platinum Real Estate Vip</t>
  </si>
  <si>
    <t>11419 Acala Ave, San Fernando, CA 91340</t>
  </si>
  <si>
    <t>https://www.realtor.com/realestateandhomes-detail/11419-Acala-Ave_San-Fernando_CA_91340_M18228-54884</t>
  </si>
  <si>
    <t>Brandon King</t>
  </si>
  <si>
    <t>bking@bkingteam.com</t>
  </si>
  <si>
    <t>7670 Woodrow Wilson Dr, Los Angeles, CA 90046</t>
  </si>
  <si>
    <t>https://www.realtor.com/realestateandhomes-detail/7670-Woodrow-Wilson-Dr_Los-Angeles_CA_90046_M11904-70732</t>
  </si>
  <si>
    <t>Jason Cook</t>
  </si>
  <si>
    <t>jason@jasoncookhomes.com</t>
  </si>
  <si>
    <t>9051 Cedros Ave Apt 8, Los Angeles, CA 91402</t>
  </si>
  <si>
    <t>https://www.realtor.com/realestateandhomes-detail/9051-Cedros-Ave-Apt-8_Panorama-City_CA_91402_M25816-74918</t>
  </si>
  <si>
    <t>Monica L. Madrigal</t>
  </si>
  <si>
    <t>monicamadrigalrealtor@gmail.com</t>
  </si>
  <si>
    <t>Next Level Realty &amp; Loans Inc.</t>
  </si>
  <si>
    <t>7431 Vanalden Ave, Reseda, CA 91335</t>
  </si>
  <si>
    <t>https://www.realtor.com/realestateandhomes-detail/7431-Vanalden-Ave_Reseda_CA_91335_M11073-79756</t>
  </si>
  <si>
    <t>Wilmer Pineda</t>
  </si>
  <si>
    <t>wilmer_pineda@aol.com</t>
  </si>
  <si>
    <t>Z Real Estate</t>
  </si>
  <si>
    <t>15051 Sherman Way, Van Nuys, CA 91405</t>
  </si>
  <si>
    <t>https://www.realtor.com/realestateandhomes-detail/15051-Sherman-Way_Van-Nuys_CA_91405_M94277-26944</t>
  </si>
  <si>
    <t>Kimberly Thurman</t>
  </si>
  <si>
    <t>kimsellsscv@gmail.com</t>
  </si>
  <si>
    <t>Cristian Manzano</t>
  </si>
  <si>
    <t>camanzanore@gmail.com</t>
  </si>
  <si>
    <t>9173 Burnet Ave, North Hills, CA 91343</t>
  </si>
  <si>
    <t>https://www.realtor.com/realestateandhomes-detail/9173-Burnet-Ave_North-Hills_CA_91343_M27895-55870</t>
  </si>
  <si>
    <t>Alex Salvador</t>
  </si>
  <si>
    <t>lexmarcapital@gmail.com</t>
  </si>
  <si>
    <t>Lexmar Capital</t>
  </si>
  <si>
    <t>14685-1/2 Sherman, Van Nuys, CA 91405</t>
  </si>
  <si>
    <t>https://www.realtor.com/realestateandhomes-detail/14685-12-Sherman_Van-Nuys_CA_91405_M99402-81353</t>
  </si>
  <si>
    <t>Carol Anderson</t>
  </si>
  <si>
    <t>carolanderson@remax.net</t>
  </si>
  <si>
    <t>RE MAX Gateway</t>
  </si>
  <si>
    <t>1149 Camulos St, Los Angeles, CA 90023</t>
  </si>
  <si>
    <t>https://www.realtor.com/realestateandhomes-detail/1149-Camulos-St_Los-Angeles_CA_90023_M10805-07159</t>
  </si>
  <si>
    <t>Henry Hernandez</t>
  </si>
  <si>
    <t>henryhernandezrealty@gmail.com</t>
  </si>
  <si>
    <t>Assist2Sell Buyers &amp; Sellers</t>
  </si>
  <si>
    <t>5400 Newcastle Ave Apt 12, Encino, CA 91316</t>
  </si>
  <si>
    <t>https://www.realtor.com/realestateandhomes-detail/5400-Newcastle-Ave-Apt-12_Encino_CA_91316_M15456-90399</t>
  </si>
  <si>
    <t>Tammy Mai</t>
  </si>
  <si>
    <t>tammey@brandolinogroup.com</t>
  </si>
  <si>
    <t>Brandolino Group</t>
  </si>
  <si>
    <t>7229 DE Celis Pl, Van Nuys, CA 91406</t>
  </si>
  <si>
    <t>https://www.realtor.com/realestateandhomes-detail/7229-DE-Celis-Pl_Van-Nuys_CA_91406_M10180-67813</t>
  </si>
  <si>
    <t>Jeffrey Eisenberg</t>
  </si>
  <si>
    <t>Brokerjeff@sorproperties.com</t>
  </si>
  <si>
    <t>Southern Oaks Realty</t>
  </si>
  <si>
    <t>5 Curl Dr, Corona Del Mar, CA 92625</t>
  </si>
  <si>
    <t>https://www.realtor.com/realestateandhomes-detail/5-Curl-Dr_Corona-Del-Mar_CA_92625_M19568-26986</t>
  </si>
  <si>
    <t>Nicole Griffin</t>
  </si>
  <si>
    <t>nicole@mcluregroup.com</t>
  </si>
  <si>
    <t>Impact Real Estate</t>
  </si>
  <si>
    <t>705 Bradshawe Ave, Los Angeles, CA 90022</t>
  </si>
  <si>
    <t>https://www.realtor.com/realestateandhomes-detail/705-Bradshawe-Ave_Los-Angeles_CA_90022_M16410-22274</t>
  </si>
  <si>
    <t>Hugo Prera</t>
  </si>
  <si>
    <t>hugo.prera@gmail.com</t>
  </si>
  <si>
    <t>2682 Pala Mesa Ct, Costa Mesa, CA 92627</t>
  </si>
  <si>
    <t>https://www.realtor.com/realestateandhomes-detail/2682-Pala-Mesa-Ct_Costa-Mesa_CA_92627_M23476-89861</t>
  </si>
  <si>
    <t>Ernie Aguilar</t>
  </si>
  <si>
    <t>Ernie@KaseRe.com</t>
  </si>
  <si>
    <t>Kase Real Estate Inc</t>
  </si>
  <si>
    <t>9512 Hightide Dr, Huntington Beach, CA 92646</t>
  </si>
  <si>
    <t>https://www.realtor.com/realestateandhomes-detail/9512-Hightide-Dr_Huntington-Beach_CA_92646_M18943-22554</t>
  </si>
  <si>
    <t>Heather Albertson</t>
  </si>
  <si>
    <t>heatheralbertson8@gmail.com</t>
  </si>
  <si>
    <t>1400 S Sunkist St Spc 173, Anaheim, CA 92806</t>
  </si>
  <si>
    <t>https://www.realtor.com/realestateandhomes-detail/1400-S-Sunkist-St-Spc-173_Anaheim_CA_92806_M15849-13980</t>
  </si>
  <si>
    <t>Cherie Seiler</t>
  </si>
  <si>
    <t>cherieseiler@tarbell.com</t>
  </si>
  <si>
    <t>1725 W 3rd St Unit 1, Santa Ana, CA 92703</t>
  </si>
  <si>
    <t>https://www.realtor.com/realestateandhomes-detail/1725-W-3rd-St-1_Santa-Ana_CA_92703_M22510-00910</t>
  </si>
  <si>
    <t>Maria Montoya</t>
  </si>
  <si>
    <t>mmontoya@anelarealty.com</t>
  </si>
  <si>
    <t>The Real Estate Solution</t>
  </si>
  <si>
    <t>2061 Pueblo, Tustin, CA 92782</t>
  </si>
  <si>
    <t>https://www.realtor.com/realestateandhomes-detail/2061-Pueblo_Tustin_CA_92782_M25723-11292</t>
  </si>
  <si>
    <t>Christopher Phipps</t>
  </si>
  <si>
    <t>christopher@ochomz.com</t>
  </si>
  <si>
    <t>9826 Saint George Cir, Cypress, CA 90630</t>
  </si>
  <si>
    <t>https://www.realtor.com/realestateandhomes-detail/9826-Saint-George-Cir_Cypress_CA_90630_M15580-75104</t>
  </si>
  <si>
    <t>Dave Pedneault</t>
  </si>
  <si>
    <t>Dave@TeamPedno.com</t>
  </si>
  <si>
    <t>8192 Sandcove Cir Unit 106, Huntington Beach, CA 92646</t>
  </si>
  <si>
    <t>https://www.realtor.com/realestateandhomes-detail/8192-Sandcove-Cir-Unit-106_Huntington-Beach_CA_92646_M28776-22935</t>
  </si>
  <si>
    <t>Rachelle Soto</t>
  </si>
  <si>
    <t>Rachelle@GMTRealEstate.com</t>
  </si>
  <si>
    <t>49 Winterhaven, Irvine, CA 92614</t>
  </si>
  <si>
    <t>https://www.realtor.com/realestateandhomes-detail/49-Winterhaven_Irvine_CA_92614_M14599-51951</t>
  </si>
  <si>
    <t>William Spradley</t>
  </si>
  <si>
    <t>bill@2-4units.com</t>
  </si>
  <si>
    <t>Home Smart Realty Group</t>
  </si>
  <si>
    <t>4171 Paseo De Plata, Cypress, CA 90630</t>
  </si>
  <si>
    <t>https://www.realtor.com/realestateandhomes-detail/4171-Paseo-De-Plata_Cypress_CA_90630_M29153-86634</t>
  </si>
  <si>
    <t>Ernie Lim</t>
  </si>
  <si>
    <t>joshua2415realty@gmail.com</t>
  </si>
  <si>
    <t>Joshua 2415 Realty</t>
  </si>
  <si>
    <t>513 N Yale Ave, Fullerton, CA 92831</t>
  </si>
  <si>
    <t>https://www.realtor.com/realestateandhomes-detail/513-N-Yale-Ave_Fullerton_CA_92831_M18370-53024</t>
  </si>
  <si>
    <t>Brian Bartholomew</t>
  </si>
  <si>
    <t>brian@thebartholomewteam.com</t>
  </si>
  <si>
    <t>12700 Josephine St, Garden Grove, CA 92841</t>
  </si>
  <si>
    <t>https://www.realtor.com/realestateandhomes-detail/12700-Josephine-St_Garden-Grove_CA_92841_M90769-12844</t>
  </si>
  <si>
    <t>Shawn Shahbazi</t>
  </si>
  <si>
    <t>myrealtorshawn@gmail.com</t>
  </si>
  <si>
    <t>12922 Shackelford Ln, Garden Grove, CA 92841</t>
  </si>
  <si>
    <t>https://www.realtor.com/realestateandhomes-detail/12922-Shackelford-Ln-Apt-6_Garden-Grove_CA_92841_M26095-62254</t>
  </si>
  <si>
    <t>Lisa Nguyen</t>
  </si>
  <si>
    <t>lisangocnguyen@yahoo.com</t>
  </si>
  <si>
    <t>Ana Real Estate</t>
  </si>
  <si>
    <t>2076 N Mori Ln, Orange, CA 92867</t>
  </si>
  <si>
    <t>https://www.realtor.com/realestateandhomes-detail/2076-N-Mori-Ln_Orange_CA_92867_M24100-78124</t>
  </si>
  <si>
    <t>Martin Cueva</t>
  </si>
  <si>
    <t>martin@martincueva.com</t>
  </si>
  <si>
    <t>Advance Realty</t>
  </si>
  <si>
    <t>21 Higo St, Rancho Mission Viejo, CA 92694</t>
  </si>
  <si>
    <t>https://www.realtor.com/realestateandhomes-detail/21-Higo-St_Rancho-Mission-Viejo_CA_92694_M21959-70822</t>
  </si>
  <si>
    <t>Steve Nieves</t>
  </si>
  <si>
    <t>stevenievesre@gmail.com</t>
  </si>
  <si>
    <t>SHEILA BUONAURO</t>
  </si>
  <si>
    <t>sheila@sheilabuonauro.com</t>
  </si>
  <si>
    <t>16781 Scotsdale Cir, Huntington Beach, CA 92647</t>
  </si>
  <si>
    <t>https://www.realtor.com/realestateandhomes-detail/16781-Scotsdale-Cir_Huntington-Beach_CA_92647_M26990-66061</t>
  </si>
  <si>
    <t>Trevor Johnson</t>
  </si>
  <si>
    <t>Trevorj@powerreteam.com</t>
  </si>
  <si>
    <t>21851 Newland St Spc 268, Huntington Beach, CA 92646</t>
  </si>
  <si>
    <t>https://www.realtor.com/realestateandhomes-detail/21851-Newland-St-Spc-268_Huntington-Beach_CA_92646_M17639-78943</t>
  </si>
  <si>
    <t>Erica Johnson</t>
  </si>
  <si>
    <t>EricaGalli@Remax.net</t>
  </si>
  <si>
    <t>1238 E 100th St, Los Angeles, CA 90002</t>
  </si>
  <si>
    <t>https://www.realtor.com/realestateandhomes-detail/1238-E-100th-St_Los-Angeles_CA_90002_M20379-75945</t>
  </si>
  <si>
    <t>Mona Bottros</t>
  </si>
  <si>
    <t>mona@mayateam.com</t>
  </si>
  <si>
    <t>Berkshire Hathaway H.S.C.P.</t>
  </si>
  <si>
    <t>22125 Caminito Vino, Laguna Hills, CA 92653</t>
  </si>
  <si>
    <t>https://www.realtor.com/realestateandhomes-detail/22125-Caminito-Vino_Laguna-Hills_CA_92653_M12712-37218</t>
  </si>
  <si>
    <t>Claire Barnett</t>
  </si>
  <si>
    <t>ClaireBarnett@bhhscal.com</t>
  </si>
  <si>
    <t>15940 Silvertip Ct, Fountain Valley, CA 92708</t>
  </si>
  <si>
    <t>https://www.realtor.com/realestateandhomes-detail/15940-Silvertip-Ct_Fountain-Valley_CA_92708_M21999-43423</t>
  </si>
  <si>
    <t>Jonathan W Pearson</t>
  </si>
  <si>
    <t>Jonathan.Pearson@Redfin.com</t>
  </si>
  <si>
    <t>7915 Cerritos Ave, Stanton, CA 90680</t>
  </si>
  <si>
    <t>https://www.realtor.com/realestateandhomes-detail/7915-Cerritos-Ave_Stanton_CA_90680_M94809-13341</t>
  </si>
  <si>
    <t>ANTOINE BUI</t>
  </si>
  <si>
    <t>antoinebui@earthlink.net</t>
  </si>
  <si>
    <t>World Realty</t>
  </si>
  <si>
    <t>2606 S Rosewood Ave, Santa Ana, CA 92707</t>
  </si>
  <si>
    <t>https://www.realtor.com/realestateandhomes-detail/2606-S-Rosewood-Ave-Apt-A_Santa-Ana_CA_92707_M25187-22742</t>
  </si>
  <si>
    <t>Michael Arp</t>
  </si>
  <si>
    <t>mike@morganskenderian.com</t>
  </si>
  <si>
    <t>13181 Del Monte Dr # M1238, Seal Beach, CA 90740</t>
  </si>
  <si>
    <t>https://www.realtor.com/realestateandhomes-detail/13181-Del-Monte-Dr-M12-38E_Seal-Beach_CA_90740_M96346-75707</t>
  </si>
  <si>
    <t>Casarah Aguilar</t>
  </si>
  <si>
    <t>casarah.aguilar@gmail.com</t>
  </si>
  <si>
    <t>1150 N Brantford St, Anaheim, CA 92805</t>
  </si>
  <si>
    <t>https://www.realtor.com/realestateandhomes-detail/1150-N-Brantford-St_Anaheim_CA_92805_M24942-58738</t>
  </si>
  <si>
    <t>Len Beckman</t>
  </si>
  <si>
    <t>lenbeckman@m3real.com</t>
  </si>
  <si>
    <t>Millennium 3 Real Estate</t>
  </si>
  <si>
    <t>1126 Naples Ave, Placentia, CA 92870</t>
  </si>
  <si>
    <t>https://www.realtor.com/realestateandhomes-detail/1126-Naples-Ave_Placentia_CA_92870_M22179-09031</t>
  </si>
  <si>
    <t>Wanda Walsh</t>
  </si>
  <si>
    <t>kimandwanda@gmail.com</t>
  </si>
  <si>
    <t>7425 Bradley Dr, Buena Park, CA 90620</t>
  </si>
  <si>
    <t>https://www.realtor.com/realestateandhomes-detail/7425-Bradley-Dr_Buena-Park_CA_90620_M25479-21696</t>
  </si>
  <si>
    <t>Ron Weiss</t>
  </si>
  <si>
    <t>r.r.weiss@sbcglobal.net</t>
  </si>
  <si>
    <t>718 Kenoak Dr, Placentia, CA 92870</t>
  </si>
  <si>
    <t>https://www.realtor.com/realestateandhomes-detail/718-Kenoak-Dr_Placentia_CA_92870_M21686-80721</t>
  </si>
  <si>
    <t>Aaron and Mindy Mills</t>
  </si>
  <si>
    <t>aaronsmills@gmail.com</t>
  </si>
  <si>
    <t>715 E 87th Pl, Los Angeles, CA 90002</t>
  </si>
  <si>
    <t>https://www.realtor.com/realestateandhomes-detail/715-E-87th-Pl_Los-Angeles_CA_90002_M24912-22252</t>
  </si>
  <si>
    <t>W. Ryan Lenocker</t>
  </si>
  <si>
    <t>ryan@thehouseheroes.com</t>
  </si>
  <si>
    <t>37 Peony, Irvine, CA 92618</t>
  </si>
  <si>
    <t>https://www.realtor.com/realestateandhomes-detail/37-Peony_Irvine_CA_92618_M12580-10192</t>
  </si>
  <si>
    <t>Lingyao Walsh</t>
  </si>
  <si>
    <t>lingyaow@sevengables.com</t>
  </si>
  <si>
    <t>12281 Alta Panorama, North Tustin, CA 92705</t>
  </si>
  <si>
    <t>https://www.realtor.com/realestateandhomes-detail/12281-Alta-Panorama_North-Tustin_CA_92705_M16748-11632</t>
  </si>
  <si>
    <t>Corine Peterson</t>
  </si>
  <si>
    <t>corine@corinepeterson.com</t>
  </si>
  <si>
    <t>181 Bright Poppy, Irvine, CA 92618</t>
  </si>
  <si>
    <t>https://www.realtor.com/realestateandhomes-detail/181-Bright-Poppy_Irvine_CA_92618_M25609-80395</t>
  </si>
  <si>
    <t>Chi Lan Dang</t>
  </si>
  <si>
    <t>chilandrealtor@gmail.com</t>
  </si>
  <si>
    <t>212 S Kraemer Blvd Unit 709, Placentia, CA 92870</t>
  </si>
  <si>
    <t>https://www.realtor.com/realestateandhomes-detail/212-S-Kraemer-Blvd-Unit-709_Placentia_CA_92870_M21150-75848</t>
  </si>
  <si>
    <t>Yogesh Shah</t>
  </si>
  <si>
    <t>yogesh4easyfinancial@gmail.com</t>
  </si>
  <si>
    <t>Akash Realty</t>
  </si>
  <si>
    <t>1146 N Puente St, Brea, CA 92821</t>
  </si>
  <si>
    <t>https://www.realtor.com/realestateandhomes-detail/1146-N-Puente-St_Brea_CA_92821_M28925-83025</t>
  </si>
  <si>
    <t>Lorri Malloy</t>
  </si>
  <si>
    <t>lorrimalloy@gmail.com</t>
  </si>
  <si>
    <t>12891 Shackelford Ln, Garden Grove, CA 92841</t>
  </si>
  <si>
    <t>https://www.realtor.com/realestateandhomes-detail/12891-Shackelford-Ln_Garden-Grove_CA_92841_M91191-03360</t>
  </si>
  <si>
    <t>Jim Daly</t>
  </si>
  <si>
    <t>jimd@thel3.com</t>
  </si>
  <si>
    <t>10200 Bolsa Ave Spc 126, Westminster, CA 92683</t>
  </si>
  <si>
    <t>https://www.realtor.com/realestateandhomes-detail/10200-Bolsa-Ave-Spc-126_Westminster_CA_92683_M23478-31893</t>
  </si>
  <si>
    <t>Danny Nguyen</t>
  </si>
  <si>
    <t>dannydanh@yahoo.com</t>
  </si>
  <si>
    <t>Smart Choice Realty</t>
  </si>
  <si>
    <t>8181 Holland Dr, Huntington Beach, CA 92647</t>
  </si>
  <si>
    <t>https://www.realtor.com/realestateandhomes-detail/8181-Holland-Dr_Huntington-Beach_CA_92647_M17067-88959</t>
  </si>
  <si>
    <t>Dean Lihou</t>
  </si>
  <si>
    <t>dean@deanlihou.com</t>
  </si>
  <si>
    <t>40 Three Vines Ct, Ladera Ranch, CA 92694</t>
  </si>
  <si>
    <t>https://www.realtor.com/realestateandhomes-detail/40-Three-Vines-Ct_Ladera-Ranch_CA_92694_M15419-94803</t>
  </si>
  <si>
    <t>Laura Henshall</t>
  </si>
  <si>
    <t>laura@cfginvestments.com</t>
  </si>
  <si>
    <t>Cfg Investments</t>
  </si>
  <si>
    <t>151 S Parker St, Orange, CA 92868</t>
  </si>
  <si>
    <t>https://www.realtor.com/realestateandhomes-detail/151-S-Parker-St_Orange_CA_92868_M13210-81379</t>
  </si>
  <si>
    <t>Laurinda Claus</t>
  </si>
  <si>
    <t>laurindaclaus@yahoo.com</t>
  </si>
  <si>
    <t>NORTH HILLS REALTY</t>
  </si>
  <si>
    <t>Lori Loucks</t>
  </si>
  <si>
    <t>lori@loricanhelp.com</t>
  </si>
  <si>
    <t>Charlotte Radziminsky</t>
  </si>
  <si>
    <t>cradziminsky@gmail.com</t>
  </si>
  <si>
    <t>3207 Moritz Dr Unit 41, Huntington Beach, CA 92649</t>
  </si>
  <si>
    <t>https://www.realtor.com/realestateandhomes-detail/3207-Moritz-Dr-41_Huntington-Beach_CA_92649_M21669-28947</t>
  </si>
  <si>
    <t>Susan Ingalls</t>
  </si>
  <si>
    <t>singalls5@gmail.com</t>
  </si>
  <si>
    <t>Arbor Real Estate Group</t>
  </si>
  <si>
    <t>26982 Safiro, Mission Viejo, CA 92691</t>
  </si>
  <si>
    <t>https://www.realtor.com/realestateandhomes-detail/26982-Safiro_Mission-Viejo_CA_92691_M10301-63836</t>
  </si>
  <si>
    <t>Dawn Marie Nicolaisen</t>
  </si>
  <si>
    <t>Dawn@theL3.com</t>
  </si>
  <si>
    <t>2482 Tequestra, Tustin, CA 92782</t>
  </si>
  <si>
    <t>https://www.realtor.com/realestateandhomes-detail/2482-Tequestra_Tustin_CA_92782_M14011-88360</t>
  </si>
  <si>
    <t>Stephen Jeong</t>
  </si>
  <si>
    <t>stephendjeong@gmail.com</t>
  </si>
  <si>
    <t>33 Manzanillo, Lake Forest, CA 92630</t>
  </si>
  <si>
    <t>https://www.realtor.com/realestateandhomes-detail/33-Manzanillo_Lake-Forest_CA_92630_M27058-88233</t>
  </si>
  <si>
    <t>Renee Ren</t>
  </si>
  <si>
    <t>renee.yren@gmail.com</t>
  </si>
  <si>
    <t>TopSky Realty Inc</t>
  </si>
  <si>
    <t>4102 Avenida Sevilla, Cypress, CA 90630</t>
  </si>
  <si>
    <t>https://www.realtor.com/realestateandhomes-detail/4102-Avenida-Sevilla_Cypress_CA_90630_M25822-66373</t>
  </si>
  <si>
    <t>Kathy Zajac</t>
  </si>
  <si>
    <t>kathy@kathyzajac.com</t>
  </si>
  <si>
    <t>Kathy Zajac, Broker</t>
  </si>
  <si>
    <t>2060 Newport Blvd, Costa Mesa, CA 92627</t>
  </si>
  <si>
    <t>https://www.realtor.com/realestateandhomes-detail/2060-Newport-Blvd_Costa-Mesa_CA_92627_M93525-32884</t>
  </si>
  <si>
    <t>Tyler Mcgaughy</t>
  </si>
  <si>
    <t>tylermcg55@gmail.com</t>
  </si>
  <si>
    <t>Western States Financial</t>
  </si>
  <si>
    <t>17470 Rockrose Cir, Yorba Linda, CA 92886</t>
  </si>
  <si>
    <t>https://www.realtor.com/realestateandhomes-detail/17470-Rockrose-Cir_Yorba-Linda_CA_92886_M25323-96319</t>
  </si>
  <si>
    <t>Dana Habener</t>
  </si>
  <si>
    <t>dana.habener@redfin.com</t>
  </si>
  <si>
    <t>24701 Raymond Way Spc 195, Lake Forest, CA 92630</t>
  </si>
  <si>
    <t>https://www.realtor.com/realestateandhomes-detail/24701-Raymond-Way-Spc-195_Lake-Forest_CA_92630_M10414-01764</t>
  </si>
  <si>
    <t>Gloria Hernandez</t>
  </si>
  <si>
    <t>hernandezloans@yahoo.com</t>
  </si>
  <si>
    <t>24001 Muirlands Blvd Spc 168, Lake Forest, CA 92630</t>
  </si>
  <si>
    <t>https://www.realtor.com/realestateandhomes-detail/24001-Muirlands-Blvd-Spc-168_Lake-Forest_CA_92630_M18515-89064</t>
  </si>
  <si>
    <t>Edgar Adame</t>
  </si>
  <si>
    <t>newdhomes@gmail.com</t>
  </si>
  <si>
    <t>Remax New Dimension</t>
  </si>
  <si>
    <t>2624 N Tustin Ave Unit D141, Santa Ana, CA 92705</t>
  </si>
  <si>
    <t>https://www.realtor.com/realestateandhomes-detail/2624-N-Tustin-Ave-D141_Santa-Ana_CA_92705_M94206-28206</t>
  </si>
  <si>
    <t>Patricia Beiza</t>
  </si>
  <si>
    <t>patriciabeiza@msn.com</t>
  </si>
  <si>
    <t>Southwest Realty</t>
  </si>
  <si>
    <t>3592 Windspun Dr, Huntington Beach, CA 92649</t>
  </si>
  <si>
    <t>https://www.realtor.com/realestateandhomes-detail/3592-Windspun-Dr_Huntington-Beach_CA_92649_M24458-09864</t>
  </si>
  <si>
    <t>Darlene Summers</t>
  </si>
  <si>
    <t>dsummersre@gmail.com</t>
  </si>
  <si>
    <t>Huntington Harbour Real Estate</t>
  </si>
  <si>
    <t>9906 Owensmouth Ave Unit 12, Chatsworth, CA 91311</t>
  </si>
  <si>
    <t>https://www.realtor.com/realestateandhomes-detail/9906-Owensmouth-Ave-Unit-12_Chatsworth_CA_91311_M24952-70177</t>
  </si>
  <si>
    <t>Kevin Jannak</t>
  </si>
  <si>
    <t>kevin@kevinjannak.net</t>
  </si>
  <si>
    <t>4014 Calle Sonora Oeste Unit 3F, Laguna Woods, CA 92637</t>
  </si>
  <si>
    <t>https://www.realtor.com/realestateandhomes-detail/4014-Calle-Sonora-Oeste-Unit-3F_Laguna-Woods_CA_92637_M13119-20255</t>
  </si>
  <si>
    <t>Ken Nazeri</t>
  </si>
  <si>
    <t>ken.nazeri@yahoo.com</t>
  </si>
  <si>
    <t>12747 Pacific Ave Apt 4, Los Angeles, CA 90066</t>
  </si>
  <si>
    <t>https://www.realtor.com/realestateandhomes-detail/12747-Pacific-Ave-Apt-4_Los-Angeles_CA_90066_M28564-99872</t>
  </si>
  <si>
    <t>Diana Perna</t>
  </si>
  <si>
    <t>dperna@pkrealestate.net</t>
  </si>
  <si>
    <t>Pk Real Estate &amp; Investments</t>
  </si>
  <si>
    <t>17 Water Prt, Newport Coast, CA 92657</t>
  </si>
  <si>
    <t>https://www.realtor.com/realestateandhomes-detail/17-Water-Prt_Newport-Coast_CA_92657_M24142-88684</t>
  </si>
  <si>
    <t>Brandon Ruddy</t>
  </si>
  <si>
    <t>brandon@ruddyteam.com</t>
  </si>
  <si>
    <t>1301 Seward St, Los Angeles, CA 90028</t>
  </si>
  <si>
    <t>https://www.realtor.com/realestateandhomes-detail/1301-Seward-St_Los-Angeles_CA_90028_M27050-07273</t>
  </si>
  <si>
    <t>Ismael Chavez</t>
  </si>
  <si>
    <t>ismael@chavezhomes.com</t>
  </si>
  <si>
    <t>1246 Armacost Ave Apt 101, Los Angeles, CA 90025</t>
  </si>
  <si>
    <t>https://www.realtor.com/realestateandhomes-detail/1246-Armacost-Ave-Apt-101_Los-Angeles_CA_90025_M13796-35651</t>
  </si>
  <si>
    <t>Ghity Mahdara</t>
  </si>
  <si>
    <t>ghity@sageinvestmentproperties.com</t>
  </si>
  <si>
    <t>Sage Investment Group</t>
  </si>
  <si>
    <t>8276 Constantine Dr, Huntington Beach, CA 92646</t>
  </si>
  <si>
    <t>https://www.realtor.com/realestateandhomes-detail/8276-Constantine-Dr_Huntington-Beach_CA_92646_M12303-07841</t>
  </si>
  <si>
    <t>Teresa Quick</t>
  </si>
  <si>
    <t>teresaquick@earthlink.net</t>
  </si>
  <si>
    <t>292 Novel, Irvine, CA 92618</t>
  </si>
  <si>
    <t>https://www.realtor.com/realestateandhomes-detail/292-Novel_Irvine_CA_92618_M97257-71377</t>
  </si>
  <si>
    <t>Erin Dineen</t>
  </si>
  <si>
    <t>erindineen78@gmail.com</t>
  </si>
  <si>
    <t>Jackson Ranch Rd S, Silverado, CA 92676</t>
  </si>
  <si>
    <t>https://www.realtor.com/realestateandhomes-detail/Jackson-Ranch-Rd-S_Silverado-Canyon_CA_92676_M99630-26604</t>
  </si>
  <si>
    <t>Rob Magnotta</t>
  </si>
  <si>
    <t>rob@robmagnotta.com</t>
  </si>
  <si>
    <t>4280 Via Arbolada Unit 140, Los Angeles, CA 90042</t>
  </si>
  <si>
    <t>https://www.realtor.com/realestateandhomes-detail/4280-Via-Arbolada-Unit-140_Los-Angeles_CA_90042_M18650-92940</t>
  </si>
  <si>
    <t>Min Oh</t>
  </si>
  <si>
    <t>paradise.minoh@gmail.com</t>
  </si>
  <si>
    <t>Paradise Realty</t>
  </si>
  <si>
    <t>5200 Irvine Blvd Spc 360, Irvine, CA 92620</t>
  </si>
  <si>
    <t>https://www.realtor.com/realestateandhomes-detail/5200-Irvine-Blvd-Spc-360_Irvine_CA_92620_M10453-17286</t>
  </si>
  <si>
    <t>Sharon Dugan</t>
  </si>
  <si>
    <t>sharondugan@sbcglobal.net</t>
  </si>
  <si>
    <t>6982 Crimson Dr, Buena Park, CA 90621</t>
  </si>
  <si>
    <t>https://www.realtor.com/realestateandhomes-detail/6982-Crimson-Dr_Buena-Park_CA_90621_M95057-80604</t>
  </si>
  <si>
    <t>Jenny Bae</t>
  </si>
  <si>
    <t>jennybae@newstarrealty.com</t>
  </si>
  <si>
    <t>1053 S Oxford Ave, Los Angeles, CA 90006</t>
  </si>
  <si>
    <t>https://www.realtor.com/realestateandhomes-detail/1053-S-Oxford-Ave_Los-Angeles_CA_90006_M19301-07489</t>
  </si>
  <si>
    <t>Myungwon Kim</t>
  </si>
  <si>
    <t>angelakim624@gmail.com</t>
  </si>
  <si>
    <t>28193 LA Gallina, Laguna Niguel, CA 92677</t>
  </si>
  <si>
    <t>https://www.realtor.com/realestateandhomes-detail/28193-LA-Gallina_Laguna-Niguel_CA_92677_M11703-25846</t>
  </si>
  <si>
    <t>Carol Klein</t>
  </si>
  <si>
    <t>cklein@kleinpro.com</t>
  </si>
  <si>
    <t>Klein Property Management</t>
  </si>
  <si>
    <t>185 Streamwood, Irvine, CA 92620</t>
  </si>
  <si>
    <t>https://www.realtor.com/realestateandhomes-detail/185-Streamwood_Irvine_CA_92620_M14957-15884</t>
  </si>
  <si>
    <t>Kyung Kwak</t>
  </si>
  <si>
    <t>annekwak7@yahoo.com</t>
  </si>
  <si>
    <t>1817 E Alcove Way, Anaheim, CA 92805</t>
  </si>
  <si>
    <t>https://www.realtor.com/realestateandhomes-detail/1817-E-Alcove-Way_Anaheim_CA_92805_M20333-39041</t>
  </si>
  <si>
    <t>Lucy Bucio</t>
  </si>
  <si>
    <t>lucy.bucio1@gmail.com</t>
  </si>
  <si>
    <t>649 S Glenhurst Dr, Anaheim, CA 92808</t>
  </si>
  <si>
    <t>https://www.realtor.com/realestateandhomes-detail/649-S-Glenhurst-Dr_Anaheim_CA_92808_M13353-71905</t>
  </si>
  <si>
    <t>Elaine Johnson Armogida</t>
  </si>
  <si>
    <t>ej@elainejohnsonteam.com</t>
  </si>
  <si>
    <t>21191 Binghampton Cir, Huntington Beach, CA 92646</t>
  </si>
  <si>
    <t>https://www.realtor.com/realestateandhomes-detail/21191-Binghampton-Cir_Huntington-Beach_CA_92646_M17693-69849</t>
  </si>
  <si>
    <t>Jo-An Hawley Verstraete</t>
  </si>
  <si>
    <t>joan.h.Verstraete@verizon.net</t>
  </si>
  <si>
    <t>16711 Greenview Ln, Huntington Beach, CA 92649</t>
  </si>
  <si>
    <t>https://www.realtor.com/realestateandhomes-detail/16711-Greenview-Ln_Huntington-Beach_CA_92649_M15767-42192</t>
  </si>
  <si>
    <t>Laura Hennes</t>
  </si>
  <si>
    <t>laura@surfcityliving.com</t>
  </si>
  <si>
    <t>4900 E Chapman Ave Unit 51, Orange, CA 92869</t>
  </si>
  <si>
    <t>https://www.realtor.com/realestateandhomes-detail/4900-E-Chapman-Ave-Unit-51_Orange_CA_92869_M14079-48291</t>
  </si>
  <si>
    <t>Paul Armas</t>
  </si>
  <si>
    <t>orangerealestate@aol.com</t>
  </si>
  <si>
    <t>7901 Rhine Dr, Huntington Beach, CA 92647</t>
  </si>
  <si>
    <t>https://www.realtor.com/realestateandhomes-detail/7901-Rhine-Dr_Huntington-Beach_CA_92647_M29177-31239</t>
  </si>
  <si>
    <t>Marli McGraw</t>
  </si>
  <si>
    <t>marlimcg18@gmail.com</t>
  </si>
  <si>
    <t>2976 E Coalinga Dr, Brea, CA 92821</t>
  </si>
  <si>
    <t>https://www.realtor.com/realestateandhomes-detail/2976-E-Coalinga-Dr_Brea_CA_92821_M15076-43215</t>
  </si>
  <si>
    <t>Chang Hae Han</t>
  </si>
  <si>
    <t>han4realestate@gmail.com</t>
  </si>
  <si>
    <t>5372 Punta Alta Unit 1C, Laguna Woods, CA 92637</t>
  </si>
  <si>
    <t>https://www.realtor.com/realestateandhomes-detail/5372-Punta-Alta-Unit-1C_Laguna-Woods_CA_92637_M25398-07166</t>
  </si>
  <si>
    <t>Bob Depew</t>
  </si>
  <si>
    <t>bob@bobdepewhomes.com</t>
  </si>
  <si>
    <t>Nancy K Anderson</t>
  </si>
  <si>
    <t>nkanderson@kw.com</t>
  </si>
  <si>
    <t>17021 Pinehurst Ln, Huntington Beach, CA 92647</t>
  </si>
  <si>
    <t>https://www.realtor.com/realestateandhomes-detail/17021-Pinehurst-Ln_Huntington-Beach_CA_92647_M21779-81706</t>
  </si>
  <si>
    <t>Drew Van Herk</t>
  </si>
  <si>
    <t>drew@vanherkteam.com</t>
  </si>
  <si>
    <t>10361 Garden Grove Blvd Apt 12, Garden Grove, CA 92843</t>
  </si>
  <si>
    <t>https://www.realtor.com/realestateandhomes-detail/10361-Garden-Grove-Blvd-Apt-12_Garden-Grove_CA_92843_M21785-39748</t>
  </si>
  <si>
    <t>Tom DeCuir</t>
  </si>
  <si>
    <t>tom@tomdecuir.com</t>
  </si>
  <si>
    <t>1774 E Belmont Ave, Anaheim, CA 92805</t>
  </si>
  <si>
    <t>https://www.realtor.com/realestateandhomes-detail/1774-E-Belmont-Ave_Anaheim_CA_92805_M25713-99239</t>
  </si>
  <si>
    <t>Kenneth Keithly</t>
  </si>
  <si>
    <t>ken@keithlycapital.com</t>
  </si>
  <si>
    <t>Kenneth Keithly, Broker</t>
  </si>
  <si>
    <t>20461 Elm Hill Ln, Yorba Linda, CA 92886</t>
  </si>
  <si>
    <t>https://www.realtor.com/realestateandhomes-detail/20461-Elm-Hill-Ln_Yorba-Linda_CA_92886_M96798-74476</t>
  </si>
  <si>
    <t>Josh Alexander</t>
  </si>
  <si>
    <t>joshalexanderrealestate@gmail.com</t>
  </si>
  <si>
    <t xml:space="preserve">THE brokeredge </t>
  </si>
  <si>
    <t>30902 Clubhouse Dr Unit 6A, Laguna Niguel, CA 92677</t>
  </si>
  <si>
    <t>https://www.realtor.com/realestateandhomes-detail/30902-Clubhouse-Dr-Unit-6A_Laguna-Niguel_CA_92677_M14949-07130</t>
  </si>
  <si>
    <t>Michelle Ranieri</t>
  </si>
  <si>
    <t>michelle.ranieri@cbrealty.com</t>
  </si>
  <si>
    <t>401 26th St, Santa Monica, CA 90402</t>
  </si>
  <si>
    <t>https://www.realtor.com/realestateandhomes-detail/401-26th-St_Santa-Monica_CA_90402_M26029-52304</t>
  </si>
  <si>
    <t>Andrew Vargas</t>
  </si>
  <si>
    <t>andrew@andrewvargas.com</t>
  </si>
  <si>
    <t>630 S Knott Ave Apt 6, Anaheim, CA 92804</t>
  </si>
  <si>
    <t>https://www.realtor.com/realestateandhomes-detail/630-S-Knott-Ave-Apt-6_Anaheim_CA_92804_M17073-86437</t>
  </si>
  <si>
    <t>Marianne Pettys</t>
  </si>
  <si>
    <t>mpettys@earthlink.net</t>
  </si>
  <si>
    <t>Beach Break Realty</t>
  </si>
  <si>
    <t>11662 Pickett Ln, Garden Grove, CA 92840</t>
  </si>
  <si>
    <t>https://www.realtor.com/realestateandhomes-detail/11662-Pickett-Ln_Garden-Grove_CA_92840_M15351-01613</t>
  </si>
  <si>
    <t>Tom Vo</t>
  </si>
  <si>
    <t>gmtomvo@gmail.com</t>
  </si>
  <si>
    <t>542 W Dunton Ave Unit 29, Orange, CA 92865</t>
  </si>
  <si>
    <t>https://www.realtor.com/realestateandhomes-detail/542-W-Dunton-Ave-29_Orange_CA_92865_M15280-25025</t>
  </si>
  <si>
    <t>Gary Hunter</t>
  </si>
  <si>
    <t>gary.hunter@exprealty.com</t>
  </si>
  <si>
    <t>C1 - TCOE1 - California</t>
  </si>
  <si>
    <t>2914 S Rene Dr, Santa Ana, CA 92704</t>
  </si>
  <si>
    <t>https://www.realtor.com/realestateandhomes-detail/2914-S-Rene-Dr_Santa-Ana_CA_92704_M26776-64037</t>
  </si>
  <si>
    <t>Nancy Nguyen</t>
  </si>
  <si>
    <t>NANCY@WYNNREALESTATES.COM</t>
  </si>
  <si>
    <t>Wynn Real Estate, Inc.</t>
  </si>
  <si>
    <t>23964 Old Pomegranate Rd, Yorba Linda, CA 92887</t>
  </si>
  <si>
    <t>https://www.realtor.com/realestateandhomes-detail/23964-Old-Pomegranate-Rd_Yorba-Linda_CA_92887_M16238-04003</t>
  </si>
  <si>
    <t>Steven Vartanian</t>
  </si>
  <si>
    <t>vartanian1@AOL.COM</t>
  </si>
  <si>
    <t>Jeffrey Pulcher</t>
  </si>
  <si>
    <t>jeffpulcher@gmail.com</t>
  </si>
  <si>
    <t>4179 Andros Cir, Huntington Beach, CA 92649</t>
  </si>
  <si>
    <t>https://www.realtor.com/realestateandhomes-detail/4179-Andros-Cir_Huntington-Beach_CA_92649_M24761-44341</t>
  </si>
  <si>
    <t>Kate Olivas~The Olivas Group</t>
  </si>
  <si>
    <t>olivaskaterealestate@gmail.com</t>
  </si>
  <si>
    <t>972 N Big Sky Ln, Orange, CA 92869</t>
  </si>
  <si>
    <t>https://www.realtor.com/realestateandhomes-detail/972-N-Big-Sky-Ln_Orange_CA_92869_M29430-55633</t>
  </si>
  <si>
    <t>Darlene Lopez</t>
  </si>
  <si>
    <t>darlo@darlenelopezteam.com</t>
  </si>
  <si>
    <t>1320 E Trenton Ave, Orange, CA 92867</t>
  </si>
  <si>
    <t>https://www.realtor.com/realestateandhomes-detail/1320-E-Trenton-Ave_Orange_CA_92867_M15135-67921</t>
  </si>
  <si>
    <t>RON ACCORNERO</t>
  </si>
  <si>
    <t>Ron@ocsignatureproperties.com</t>
  </si>
  <si>
    <t>OC Signature Properties</t>
  </si>
  <si>
    <t>120 22nd St, Huntington Beach, CA 92648</t>
  </si>
  <si>
    <t>https://www.realtor.com/realestateandhomes-detail/120-22nd-St_Huntington-Beach_CA_92648_M11420-05930</t>
  </si>
  <si>
    <t>Bonnie Ahrens</t>
  </si>
  <si>
    <t>ocbonnieahrens@gmail.com</t>
  </si>
  <si>
    <t>18601 Newland St Spc 97, Huntington Beach, CA 92646</t>
  </si>
  <si>
    <t>https://www.realtor.com/realestateandhomes-detail/18601-Newland-St-Spc-97_Huntington-Beach_CA_92646_M97995-36255</t>
  </si>
  <si>
    <t>Tracy Heffelman</t>
  </si>
  <si>
    <t>tracyheffelmanrealtor@gmail.com</t>
  </si>
  <si>
    <t>9151 Carl Ln, Garden Grove, CA 92844</t>
  </si>
  <si>
    <t>https://www.realtor.com/realestateandhomes-detail/9151-Carl-Ln_Garden-Grove_CA_92844_M19299-71540</t>
  </si>
  <si>
    <t>Sophia Bui</t>
  </si>
  <si>
    <t>sophiabuirealtor@gmail.com</t>
  </si>
  <si>
    <t>AMN Group Corp</t>
  </si>
  <si>
    <t>409 Utica Ave Apt 34, Huntington Beach, CA 92648</t>
  </si>
  <si>
    <t>https://www.realtor.com/realestateandhomes-detail/409-Utica-Ave-Apt-34_Huntington-Beach_CA_92648_M16356-60870</t>
  </si>
  <si>
    <t>Francesca Campbell</t>
  </si>
  <si>
    <t>francesca@francescacampbell.com</t>
  </si>
  <si>
    <t>17732 Amaganset Way, Tustin, CA 92780</t>
  </si>
  <si>
    <t>https://www.realtor.com/realestateandhomes-detail/17732-Amaganset-Way_Tustin_CA_92780_M17894-39745</t>
  </si>
  <si>
    <t>Julia Boynton</t>
  </si>
  <si>
    <t>JULIAB@SEVENGABLES.COM</t>
  </si>
  <si>
    <t>549 Fordham Dr, Placentia, CA 92870</t>
  </si>
  <si>
    <t>https://www.realtor.com/realestateandhomes-detail/549-Fordham-Dr_Placentia_CA_92870_M23781-89849</t>
  </si>
  <si>
    <t>Marlene Kurzbard</t>
  </si>
  <si>
    <t>mkurzbard@gmail.com</t>
  </si>
  <si>
    <t>5200 Irvine Blvd Spc 109, Irvine, CA 92620</t>
  </si>
  <si>
    <t>https://www.realtor.com/realestateandhomes-detail/5200-Irvine-Blvd-Spc-109_Irvine_CA_92620_M14830-10427</t>
  </si>
  <si>
    <t>Maria Casas</t>
  </si>
  <si>
    <t>maria.casas@coldwellbanker.com</t>
  </si>
  <si>
    <t>1865 W Tedmar Ave, Anaheim, CA 92804</t>
  </si>
  <si>
    <t>https://www.realtor.com/realestateandhomes-detail/1865-W-Tedmar-Ave_Anaheim_CA_92804_M16150-62953</t>
  </si>
  <si>
    <t>Nicole Galey</t>
  </si>
  <si>
    <t>nicole@theodellgroup.com</t>
  </si>
  <si>
    <t>4809 E Wasatch Dr, Anaheim, CA 92807</t>
  </si>
  <si>
    <t>https://www.realtor.com/realestateandhomes-detail/4809-E-Wasatch-Dr_Anaheim_CA_92807_M19443-28374</t>
  </si>
  <si>
    <t>Shahin Rafi</t>
  </si>
  <si>
    <t>shahin.rafi@gmail.com</t>
  </si>
  <si>
    <t>10972 Furlong Dr, North Tustin, CA 92705</t>
  </si>
  <si>
    <t>https://www.realtor.com/realestateandhomes-detail/10972-Furlong-Dr_North-Tustin_CA_92705_M28810-59626</t>
  </si>
  <si>
    <t>Gary Sully</t>
  </si>
  <si>
    <t>gary@thesullygroup.com</t>
  </si>
  <si>
    <t>The Sully Group</t>
  </si>
  <si>
    <t>847 S Canyon Mist Ln, Anaheim, CA 92808</t>
  </si>
  <si>
    <t>https://www.realtor.com/realestateandhomes-detail/847-S-Canyon-Mist-Ln_Anaheim_CA_92808_M18752-37317</t>
  </si>
  <si>
    <t>Ashley Thomas</t>
  </si>
  <si>
    <t>ashleythomas1002@gmail.com</t>
  </si>
  <si>
    <t>Dreamscape Real Estate</t>
  </si>
  <si>
    <t>411 S Rosemary Ln, Anaheim, CA 92808</t>
  </si>
  <si>
    <t>https://www.realtor.com/realestateandhomes-detail/411-S-Rosemary-Ln_Anaheim_CA_92808_M13430-85955</t>
  </si>
  <si>
    <t>Raj Qsar</t>
  </si>
  <si>
    <t>Raj@TheBoutiqueRE.com</t>
  </si>
  <si>
    <t>The Boutique Real Estate Group</t>
  </si>
  <si>
    <t>64 Mann St, Irvine, CA 92612</t>
  </si>
  <si>
    <t>https://www.realtor.com/realestateandhomes-detail/64-Mann-St_Irvine_CA_92612_M17485-47634</t>
  </si>
  <si>
    <t>Lynn Wong</t>
  </si>
  <si>
    <t>lynnwonggroup@gmail.com</t>
  </si>
  <si>
    <t>Mason Wong</t>
  </si>
  <si>
    <t>masonwong.lwg@gmail.com</t>
  </si>
  <si>
    <t>608 W 52nd, Los Angeles, CA 90037</t>
  </si>
  <si>
    <t>https://www.realtor.com/realestateandhomes-detail/608-W-52nd_Los-Angeles_CA_90037_M99731-45551</t>
  </si>
  <si>
    <t>Noel Valdez</t>
  </si>
  <si>
    <t>NoelValdezOC@gmail.com</t>
  </si>
  <si>
    <t>1018 Stanford Ave, Fullerton, CA 92831</t>
  </si>
  <si>
    <t>https://www.realtor.com/realestateandhomes-detail/1018-Stanford-Ave_Fullerton_CA_92831_M18297-11633</t>
  </si>
  <si>
    <t>Cristal Drake</t>
  </si>
  <si>
    <t>cristal@drakerealestate.com</t>
  </si>
  <si>
    <t>4041 Via Marisol Apt 210, Los Angeles, CA 90042</t>
  </si>
  <si>
    <t>https://www.realtor.com/realestateandhomes-detail/4041-Via-Marisol-Apt-210_Los-Angeles_CA_90042_M18595-40315</t>
  </si>
  <si>
    <t>Bernadette S Pittroff</t>
  </si>
  <si>
    <t>bernie@berniepittroff.com</t>
  </si>
  <si>
    <t>11954 Edgecliff Ave, Sylmar, CA 91342</t>
  </si>
  <si>
    <t>https://www.realtor.com/realestateandhomes-detail/11954-Edgecliff-Ave_Sylmar_CA_91342_M17249-19987</t>
  </si>
  <si>
    <t>Gustavo Rodriguez</t>
  </si>
  <si>
    <t>gustavo@risemre.com</t>
  </si>
  <si>
    <t>Rise Mortgage &amp; Real Estate</t>
  </si>
  <si>
    <t>780 W Aster Pl, Santa Ana, CA 92706</t>
  </si>
  <si>
    <t>https://www.realtor.com/realestateandhomes-detail/780-W-Aster-Pl_Santa-Ana_CA_92706_M10399-74958</t>
  </si>
  <si>
    <t>James Figueroa</t>
  </si>
  <si>
    <t>james@fidelityagents.com</t>
  </si>
  <si>
    <t>Fidelity Realty &amp; Dev. Group</t>
  </si>
  <si>
    <t>2590 Iris Way, Laguna Beach, CA 92651</t>
  </si>
  <si>
    <t>https://www.realtor.com/realestateandhomes-detail/2590-Iris-Way_Laguna-Beach_CA_92651_M27999-13724</t>
  </si>
  <si>
    <t>Peggy Aldinger</t>
  </si>
  <si>
    <t>peggy@paccove.com</t>
  </si>
  <si>
    <t>Pacific Cove Realty And Loan</t>
  </si>
  <si>
    <t>9 Bonsall, Irvine, CA 92602</t>
  </si>
  <si>
    <t>https://www.realtor.com/realestateandhomes-detail/9-Bonsall_Irvine_CA_92602_M16122-77300</t>
  </si>
  <si>
    <t>Han Oh</t>
  </si>
  <si>
    <t>hangiloh@yahoo.com</t>
  </si>
  <si>
    <t>Uniti Realty</t>
  </si>
  <si>
    <t>500 Brower Ave, Placentia, CA 92870</t>
  </si>
  <si>
    <t>https://www.realtor.com/realestateandhomes-detail/500-Brower-Ave_Placentia_CA_92870_M18120-45651</t>
  </si>
  <si>
    <t>Denise Knack</t>
  </si>
  <si>
    <t>deniseknack@hotmail.com</t>
  </si>
  <si>
    <t>16691 Carousel Ln, Huntington Beach, CA 92649</t>
  </si>
  <si>
    <t>https://www.realtor.com/realestateandhomes-detail/16691-Carousel-Ln_Huntington-Beach_CA_92649_M20842-92957</t>
  </si>
  <si>
    <t>Cristi Ulrich</t>
  </si>
  <si>
    <t>Cristi.Ulrich@camoves.com</t>
  </si>
  <si>
    <t>761 Ocean Vw, Fullerton, CA 92832</t>
  </si>
  <si>
    <t>https://www.realtor.com/realestateandhomes-detail/761-Oceanview-Dr_Fullerton_CA_92832_M24201-90493</t>
  </si>
  <si>
    <t>Thomas C. Santoro</t>
  </si>
  <si>
    <t>Tom@cranerealestate.com</t>
  </si>
  <si>
    <t>Crane Real Estate</t>
  </si>
  <si>
    <t>18945 Fowler Ave, Santa Ana, CA 92705</t>
  </si>
  <si>
    <t>https://www.realtor.com/realestateandhomes-detail/18945-Fowler-Ave_Santa-Ana_CA_92705_M93301-28576</t>
  </si>
  <si>
    <t>Susan Arnold</t>
  </si>
  <si>
    <t>1arnoldteam@gmail.com</t>
  </si>
  <si>
    <t>Ron Arnold</t>
  </si>
  <si>
    <t>ron@ronarnoldteam.com</t>
  </si>
  <si>
    <t>9543 Andover Cir, Fountain Valley, CA 92708</t>
  </si>
  <si>
    <t>https://www.realtor.com/realestateandhomes-detail/9543-Andover-Cir_Fountain-Valley_CA_92708_M10580-37538</t>
  </si>
  <si>
    <t>Van Tran</t>
  </si>
  <si>
    <t>phoebe.van.tran@gmail.com</t>
  </si>
  <si>
    <t>33856 Pequito Dr, Dana Point, CA 92629</t>
  </si>
  <si>
    <t>https://www.realtor.com/realestateandhomes-detail/33856-Pequito-Dr_Dana-Point_CA_92629_M14885-62289</t>
  </si>
  <si>
    <t>Michael Ricci</t>
  </si>
  <si>
    <t>michael@riccirealty.com</t>
  </si>
  <si>
    <t>Mark Hwang</t>
  </si>
  <si>
    <t>markhwang630@yahoo.com</t>
  </si>
  <si>
    <t>9862 Royal Palm Blvd, Garden Grove, CA 92841</t>
  </si>
  <si>
    <t>https://www.realtor.com/realestateandhomes-detail/9862-Royal-Palm-Blvd_Garden-Grove_CA_92841_M21997-28326</t>
  </si>
  <si>
    <t>Holly Nguyen</t>
  </si>
  <si>
    <t>hollyhuong7177@yahoo.com</t>
  </si>
  <si>
    <t>L.S. Gateway Realtors</t>
  </si>
  <si>
    <t>Adrianna Kestly</t>
  </si>
  <si>
    <t>adriannakestly@gmail.com</t>
  </si>
  <si>
    <t>141 E Coronado Ln, Tustin, CA 92780</t>
  </si>
  <si>
    <t>https://www.realtor.com/realestateandhomes-detail/141-E-Coronado-Ln_Tustin_CA_92780_M14030-30470</t>
  </si>
  <si>
    <t>Hung Trinh</t>
  </si>
  <si>
    <t>hungtrinhre@gmail.com</t>
  </si>
  <si>
    <t>3212 Watermarke Pl, Irvine, CA 92612</t>
  </si>
  <si>
    <t>https://www.realtor.com/realestateandhomes-detail/3212-Watermarke-Pl_Irvine_CA_92612_M24786-98235</t>
  </si>
  <si>
    <t>Nina Qamhiyah</t>
  </si>
  <si>
    <t>ninazqamhiyah@gmail.com</t>
  </si>
  <si>
    <t>2910 S Greenville St Unit H, Santa Ana, CA 92704</t>
  </si>
  <si>
    <t>https://www.realtor.com/realestateandhomes-detail/2910-S-Greenville-St-Unit-H_Santa-Ana_CA_92704_M26360-65096</t>
  </si>
  <si>
    <t>Javier Robles</t>
  </si>
  <si>
    <t>jrobles@remax.net</t>
  </si>
  <si>
    <t>8200 Bolsa Ave Spc 103, Midway City, CA 92655</t>
  </si>
  <si>
    <t>https://www.realtor.com/realestateandhomes-detail/8200-Bolsa-Ave-Spc-103_Midway-City_CA_92655_M29638-87020</t>
  </si>
  <si>
    <t>Liz Duran M.</t>
  </si>
  <si>
    <t>amazinhomeswithlizduran@gmail.com</t>
  </si>
  <si>
    <t>Christina Boladian</t>
  </si>
  <si>
    <t>christina.boladian@theboutiquere.com</t>
  </si>
  <si>
    <t>18440 Tamarind St, Fountain Valley, CA 92708</t>
  </si>
  <si>
    <t>https://www.realtor.com/realestateandhomes-detail/18440-Tamarind-St_Fountain-Valley_CA_92708_M25138-68848</t>
  </si>
  <si>
    <t>Phillip Nguyen</t>
  </si>
  <si>
    <t>PhillipNguyenRE@gmail.com</t>
  </si>
  <si>
    <t>1449-1447 W 83rd, Los Angeles, CA 90047</t>
  </si>
  <si>
    <t>https://www.realtor.com/realestateandhomes-detail/1449-1447-W-83rd_Los-Angeles_CA_90047_M93945-32954</t>
  </si>
  <si>
    <t>Jeff Andres</t>
  </si>
  <si>
    <t>jeffandres78@aol.com</t>
  </si>
  <si>
    <t>3028 N Juneberry St, Orange, CA 92865</t>
  </si>
  <si>
    <t>https://www.realtor.com/realestateandhomes-detail/3028-N-Juneberry-St_Orange_CA_92865_M29180-04542</t>
  </si>
  <si>
    <t>Dillon Fowler</t>
  </si>
  <si>
    <t>dillon.fowler4@gmail.com</t>
  </si>
  <si>
    <t>1789 Nantucket Pl, Costa Mesa, CA 92627</t>
  </si>
  <si>
    <t>https://www.realtor.com/realestateandhomes-detail/1789-Nantucket-Pl_Costa-Mesa_CA_92627_M95764-51321</t>
  </si>
  <si>
    <t>Michael Ferraiz</t>
  </si>
  <si>
    <t>mferraiz@yahoo.com</t>
  </si>
  <si>
    <t>The Kennedy Group</t>
  </si>
  <si>
    <t>Teri Hy</t>
  </si>
  <si>
    <t>terihy@ascensionrealty.net</t>
  </si>
  <si>
    <t>1364-61st E 61st, Los Angeles, CA 90001</t>
  </si>
  <si>
    <t>https://www.realtor.com/realestateandhomes-detail/1364-61st-E-61st_Los-Angeles_CA_90001_M97239-48888</t>
  </si>
  <si>
    <t>Chris Woodard</t>
  </si>
  <si>
    <t>chriswoodard@earthlink.net</t>
  </si>
  <si>
    <t>Woodard Financial</t>
  </si>
  <si>
    <t>365 N Magnolia St, Orange, CA 92866</t>
  </si>
  <si>
    <t>https://www.realtor.com/realestateandhomes-detail/365-N-Magnolia-St_Orange_CA_92866_M25784-15447</t>
  </si>
  <si>
    <t>Abraham Lee</t>
  </si>
  <si>
    <t>abraham.lee@nakomarealty.com</t>
  </si>
  <si>
    <t>Nakoma Realty Company</t>
  </si>
  <si>
    <t>7887 Lampson Ave Spc 100, Garden Grove, CA 92841</t>
  </si>
  <si>
    <t>https://www.realtor.com/realestateandhomes-detail/7887-Lampson-Ave-Spc-100_Garden-Grove_CA_92841_M29077-78847</t>
  </si>
  <si>
    <t>Collin Le</t>
  </si>
  <si>
    <t>collinle8451@gmail.com</t>
  </si>
  <si>
    <t>16742 Intrepid Ln, Huntington Beach, CA 92649</t>
  </si>
  <si>
    <t>https://www.realtor.com/realestateandhomes-detail/16742-Intrepid-Ln_Huntington-Beach_CA_92649_M24143-57410</t>
  </si>
  <si>
    <t>An Le</t>
  </si>
  <si>
    <t>anlerealtor@gmail.com</t>
  </si>
  <si>
    <t>Loan Factory, Inc.</t>
  </si>
  <si>
    <t>Mo Lenjavi</t>
  </si>
  <si>
    <t>mo@ocrealestate.com</t>
  </si>
  <si>
    <t>Mojo Management Group, Inc.</t>
  </si>
  <si>
    <t>19 Sorbonne St, Westminster, CA 92683</t>
  </si>
  <si>
    <t>https://www.realtor.com/realestateandhomes-detail/19-Sorbonne-St_Westminster_CA_92683_M25373-40491</t>
  </si>
  <si>
    <t>Hanson Le</t>
  </si>
  <si>
    <t>hansonle@bhhscaprops.com</t>
  </si>
  <si>
    <t>2018 N Lake Mead Cir, Orange, CA 92867</t>
  </si>
  <si>
    <t>https://www.realtor.com/realestateandhomes-detail/2018-N-Lake-Mead-Cir_Orange_CA_92867_M24149-59962</t>
  </si>
  <si>
    <t>Darin Wilson</t>
  </si>
  <si>
    <t>Darin@darinismyrealtor.com</t>
  </si>
  <si>
    <t>Legacy Real Estate</t>
  </si>
  <si>
    <t>6 Cavaillon, Newport Coast, CA 92657</t>
  </si>
  <si>
    <t>https://www.realtor.com/realestateandhomes-detail/6-Cavaillon_Newport-Coast_CA_92657_M21582-73067</t>
  </si>
  <si>
    <t>Tom Nguyen</t>
  </si>
  <si>
    <t>tomatlaw@gmail.com</t>
  </si>
  <si>
    <t>Real Capital Inc</t>
  </si>
  <si>
    <t>8326 Fontainbleau Way, Cypress, CA 90630</t>
  </si>
  <si>
    <t>https://www.realtor.com/realestateandhomes-detail/8326-Fontainbleau-Way_Cypress_CA_90630_M18437-81713</t>
  </si>
  <si>
    <t>Neil Hansen</t>
  </si>
  <si>
    <t>neil@teamchamberlain.com</t>
  </si>
  <si>
    <t>14272 Hoover St Trlr 10, Westminster, CA 92683</t>
  </si>
  <si>
    <t>https://www.realtor.com/realestateandhomes-detail/14272-Hoover-St-Trlr-10_Westminster_CA_92683_M23819-19133</t>
  </si>
  <si>
    <t>Liliane Tran</t>
  </si>
  <si>
    <t>lilianetran@hotmail.com</t>
  </si>
  <si>
    <t>Vietnam USA Holding Corp</t>
  </si>
  <si>
    <t>540 W 93rd St, Los Angeles, CA 90044</t>
  </si>
  <si>
    <t>https://www.realtor.com/realestateandhomes-detail/540-W-93rd-St_Los-Angeles_CA_90044_M16943-09423</t>
  </si>
  <si>
    <t>Kristina Fruneaux</t>
  </si>
  <si>
    <t>kristina@fruneaux.com</t>
  </si>
  <si>
    <t>Coldwell Banker Alliance</t>
  </si>
  <si>
    <t>28135 Via Luis, Laguna Niguel, CA 92677</t>
  </si>
  <si>
    <t>https://www.realtor.com/realestateandhomes-detail/28135-Via-Luis_Laguna-Niguel_CA_92677_M27673-90277</t>
  </si>
  <si>
    <t>Hani Mudawar</t>
  </si>
  <si>
    <t>hani@prestigesocal.com</t>
  </si>
  <si>
    <t>Heather Gapik</t>
  </si>
  <si>
    <t>heather.gapik@gmail.com</t>
  </si>
  <si>
    <t>46 Tierra Montanosa, Rancho Santa Margarita, CA 92688</t>
  </si>
  <si>
    <t>https://www.realtor.com/realestateandhomes-detail/46-Tierra-Montanosa_Rancho-Santa-Margarita_CA_92688_M24762-20096</t>
  </si>
  <si>
    <t>Amber Esquibel</t>
  </si>
  <si>
    <t>amber.esquibel@redfin.com</t>
  </si>
  <si>
    <t>2103 Ronda Granada Unit B, Laguna Woods, CA 92637</t>
  </si>
  <si>
    <t>https://www.realtor.com/realestateandhomes-detail/2103-Ronda-Granada-Unit-B_Laguna-Woods_CA_92637_M21342-31550</t>
  </si>
  <si>
    <t>Marcos Vargas</t>
  </si>
  <si>
    <t>marcosvargas1@msn.com</t>
  </si>
  <si>
    <t>3640 S Bear St Unit N46, Santa Ana, CA 92704</t>
  </si>
  <si>
    <t>https://www.realtor.com/realestateandhomes-detail/3640-S-Bear-St_Santa-Ana_CA_92704_M97554-49140</t>
  </si>
  <si>
    <t>Sal Ruiz</t>
  </si>
  <si>
    <t>salruizz@yahoo.com</t>
  </si>
  <si>
    <t>Properties Dot Realty Inc.</t>
  </si>
  <si>
    <t>2550 W Rowland Ave, Anaheim, CA 92804</t>
  </si>
  <si>
    <t>https://www.realtor.com/realestateandhomes-detail/2550-W-Rowland-Ave_Anaheim_CA_92804_M14918-24482</t>
  </si>
  <si>
    <t>Teresa Knoll</t>
  </si>
  <si>
    <t>teresaknollrealty@gmail.com</t>
  </si>
  <si>
    <t>2563 Columbia Dr, Costa Mesa, CA 92626</t>
  </si>
  <si>
    <t>https://www.realtor.com/realestateandhomes-detail/2563-Columbia-Dr_Costa-Mesa_CA_92626_M27753-00807</t>
  </si>
  <si>
    <t>Michael Lockwood</t>
  </si>
  <si>
    <t>michael.lockwood717@gmail.com</t>
  </si>
  <si>
    <t>7 Waltham Rd, Ladera Ranch, CA 92694</t>
  </si>
  <si>
    <t>https://www.realtor.com/realestateandhomes-detail/7-Waltham-Rd_Ladera-Ranch_CA_92694_M27558-29305</t>
  </si>
  <si>
    <t>Ernie Caponera</t>
  </si>
  <si>
    <t>ernie@newport-properties.com</t>
  </si>
  <si>
    <t>Newport Properties</t>
  </si>
  <si>
    <t>20321 W Aberdeen Ln, Porter Ranch, CA 91326</t>
  </si>
  <si>
    <t>https://www.realtor.com/realestateandhomes-detail/20321-W-Aberdeen-Ln_Porter-Ranch_CA_91326_M94002-04991</t>
  </si>
  <si>
    <t>Peter Perez</t>
  </si>
  <si>
    <t>coastlineproperties@ymail.com</t>
  </si>
  <si>
    <t>Coastline Properties</t>
  </si>
  <si>
    <t>369 Avenida Castilla Unit G, Laguna Woods, CA 92637</t>
  </si>
  <si>
    <t>https://www.realtor.com/realestateandhomes-detail/369-Avenida-Castilla-Unit-G_Laguna-Woods_CA_92637_M94033-70089</t>
  </si>
  <si>
    <t>Erik Messinger</t>
  </si>
  <si>
    <t>erik.messinger@hotmail.com</t>
  </si>
  <si>
    <t>213 Appalachian Cir, Placentia, CA 92870</t>
  </si>
  <si>
    <t>https://www.realtor.com/realestateandhomes-detail/213-Appalachian-Cir_Placentia_CA_92870_M18481-19083</t>
  </si>
  <si>
    <t>Clarence Yoshikane</t>
  </si>
  <si>
    <t>clarence.yoshikane@camoves.com</t>
  </si>
  <si>
    <t>Berkshire Hathaway HomeService</t>
  </si>
  <si>
    <t>1201 Hyde Park Dr, North Tustin, CA 92705</t>
  </si>
  <si>
    <t>https://www.realtor.com/realestateandhomes-detail/1201-Hyde-Park-Dr_Santa-Ana_CA_92705_M28538-55488</t>
  </si>
  <si>
    <t>Lisa and Christine Greubel</t>
  </si>
  <si>
    <t>thegreubels@earthlink.net</t>
  </si>
  <si>
    <t>1811 E Vermont Ave, Anaheim, CA 92805</t>
  </si>
  <si>
    <t>https://www.realtor.com/realestateandhomes-detail/1811-E-Vermont-Ave_Anaheim_CA_92805_M28410-66972</t>
  </si>
  <si>
    <t>Anna Shandra</t>
  </si>
  <si>
    <t>casalindarealtor@gmail.com</t>
  </si>
  <si>
    <t>Casa Linda Realtors Inc.</t>
  </si>
  <si>
    <t>127 S Redwood Ave, Brea, CA 92821</t>
  </si>
  <si>
    <t>https://www.realtor.com/realestateandhomes-detail/127-S-Redwood-Ave_Brea_CA_92821_M10695-21746</t>
  </si>
  <si>
    <t>ALEX HOROWITZ</t>
  </si>
  <si>
    <t>Alex@AlexHorowitz.com</t>
  </si>
  <si>
    <t>Coldwell Banker Diamond</t>
  </si>
  <si>
    <t>1542 LA Loma Dr, North Tustin, CA 92705</t>
  </si>
  <si>
    <t>https://www.realtor.com/realestateandhomes-detail/1542-LA-Loma-Dr_Santa-Ana_CA_92705_M27553-98868</t>
  </si>
  <si>
    <t>Kevin Kanda</t>
  </si>
  <si>
    <t>kkanda@surterreproperties.com</t>
  </si>
  <si>
    <t>6361 Los Robles Ave, Buena Park, CA 90621</t>
  </si>
  <si>
    <t>https://www.realtor.com/realestateandhomes-detail/6361-Los-Robles-Ave_Buena-Park_CA_90621_M23800-43700</t>
  </si>
  <si>
    <t>Cindy De Los Santos</t>
  </si>
  <si>
    <t>cindymaribel@gmail.com</t>
  </si>
  <si>
    <t>6512 E Camino Vis Unit 6, Anaheim, CA 92807</t>
  </si>
  <si>
    <t>https://www.realtor.com/realestateandhomes-detail/6512-E-Camino-Vis-Unit-6_Anaheim_CA_92807_M22920-56884</t>
  </si>
  <si>
    <t>Gilda Johnson</t>
  </si>
  <si>
    <t>gilda@soldbygilda.com</t>
  </si>
  <si>
    <t>701 N Fickett St, Los Angeles, CA 90033</t>
  </si>
  <si>
    <t>https://www.realtor.com/realestateandhomes-detail/701-N-Fickett-St_Los-Angeles_CA_90033_M19217-73214</t>
  </si>
  <si>
    <t>CHARLES LEE</t>
  </si>
  <si>
    <t>CHARLESLEE@ONEGROUPREALTY.COM</t>
  </si>
  <si>
    <t>One Group Realty</t>
  </si>
  <si>
    <t>32791 Del Obispo St, Dana Point, CA 92629</t>
  </si>
  <si>
    <t>https://www.realtor.com/realestateandhomes-detail/32791-Del-Obispo-St_Dana-Point_CA_92629_M26453-29794</t>
  </si>
  <si>
    <t>REALTOR® Kay Lee</t>
  </si>
  <si>
    <t>realtorkaylee@gmail.com</t>
  </si>
  <si>
    <t>3311 Bounty Cir, Huntington Beach, CA 92649</t>
  </si>
  <si>
    <t>https://www.realtor.com/realestateandhomes-detail/3311-Bounty-Cir_Huntington-Beach_CA_92649_M24028-42233</t>
  </si>
  <si>
    <t>Tanya Swinford</t>
  </si>
  <si>
    <t>vannessa@bettsrg.com</t>
  </si>
  <si>
    <t>5099 Vista Del Amigo, Yorba Linda, CA 92886</t>
  </si>
  <si>
    <t>https://www.realtor.com/realestateandhomes-detail/5099-Vista-Del-Amigo_Yorba-Linda_CA_92886_M15215-08991</t>
  </si>
  <si>
    <t>Roya Saberzadeh</t>
  </si>
  <si>
    <t>homes@realtorroya.com</t>
  </si>
  <si>
    <t>2038 Redfield St, Fullerton, CA 92833</t>
  </si>
  <si>
    <t>https://www.realtor.com/realestateandhomes-detail/2038-Redfield-St_Fullerton_CA_92833_M27417-59746</t>
  </si>
  <si>
    <t>Yoomi Won</t>
  </si>
  <si>
    <t>yoomindavid@gmail.com</t>
  </si>
  <si>
    <t>8104 E Carnation Way, Anaheim, CA 92808</t>
  </si>
  <si>
    <t>https://www.realtor.com/realestateandhomes-detail/8104-E-Carnation-Way_Anaheim_CA_92808_M25417-80579</t>
  </si>
  <si>
    <t>Vicki Sommers</t>
  </si>
  <si>
    <t>vicki@vickisommers.com</t>
  </si>
  <si>
    <t>92 New Season, Irvine, CA 92602</t>
  </si>
  <si>
    <t>https://www.realtor.com/realestateandhomes-detail/92-New-Season_Irvine_CA_92602_M29597-15465</t>
  </si>
  <si>
    <t>Alexander Luu</t>
  </si>
  <si>
    <t>888windwater@gmail.com</t>
  </si>
  <si>
    <t>Barrena Real Estate Group</t>
  </si>
  <si>
    <t>1076 Skyline Dr, Laguna Beach, CA 92651</t>
  </si>
  <si>
    <t>https://www.realtor.com/realestateandhomes-detail/1076-Skyline-Dr_Laguna-Beach_CA_92651_M12984-64101</t>
  </si>
  <si>
    <t>Vince Nguyen</t>
  </si>
  <si>
    <t>vince.nguyen@gmail.com</t>
  </si>
  <si>
    <t>Vince International Properties, Inc.</t>
  </si>
  <si>
    <t>11082 Meads, Orange, CA 92869</t>
  </si>
  <si>
    <t>https://www.realtor.com/realestateandhomes-detail/11082-Meads_Orange_CA_92869_M16322-53925</t>
  </si>
  <si>
    <t>Kathryn Hampton</t>
  </si>
  <si>
    <t>kathrynhampton@firstteam.com</t>
  </si>
  <si>
    <t>5585 Camino Dorado, Yorba Linda, CA 92887</t>
  </si>
  <si>
    <t>https://www.realtor.com/realestateandhomes-detail/5585-Camino-Dorado_Yorba-Linda_CA_92887_M16348-34722</t>
  </si>
  <si>
    <t>Victoria Hill</t>
  </si>
  <si>
    <t>victoriahillrealestate@gmail.com</t>
  </si>
  <si>
    <t>8561 Gloria Ave, Garden Grove, CA 92844</t>
  </si>
  <si>
    <t>https://www.realtor.com/realestateandhomes-detail/8561-Gloria-Ave_Garden-Grove_CA_92844_M11543-84978</t>
  </si>
  <si>
    <t>Tony Do</t>
  </si>
  <si>
    <t>toneedo@gmail.com</t>
  </si>
  <si>
    <t>West Capital Lending, Inc</t>
  </si>
  <si>
    <t>2141 S Vern St, Anaheim, CA 92802</t>
  </si>
  <si>
    <t>https://www.realtor.com/realestateandhomes-detail/2141-S-Vern-St_Anaheim_CA_92802_M25166-75166</t>
  </si>
  <si>
    <t>Trina Trang Dang</t>
  </si>
  <si>
    <t>trinadang@cox.net</t>
  </si>
  <si>
    <t>Greenfield Realty</t>
  </si>
  <si>
    <t>8222 Prestwick Cir, Huntington Beach, CA 92646</t>
  </si>
  <si>
    <t>https://www.realtor.com/realestateandhomes-detail/8222-Prestwick-Cir_Huntington-Beach_CA_92646_M21563-02130</t>
  </si>
  <si>
    <t>George Lambert</t>
  </si>
  <si>
    <t>gl3hb@sbcglobal.net</t>
  </si>
  <si>
    <t>Huntington Beach Realty Inc</t>
  </si>
  <si>
    <t>7812 12th St, Westminster, CA 92683</t>
  </si>
  <si>
    <t>https://www.realtor.com/realestateandhomes-detail/7812-12th-St_Westminster_CA_92683_M17446-48008</t>
  </si>
  <si>
    <t>Hieu Nguyen</t>
  </si>
  <si>
    <t>Hieu.Q.Nguyen@outlook.com</t>
  </si>
  <si>
    <t>Vn Mortgage &amp; Realty Co.</t>
  </si>
  <si>
    <t>7641 Beck Ave, North Hollywood, CA 91605</t>
  </si>
  <si>
    <t>https://www.realtor.com/realestateandhomes-detail/7641-Beck-Ave_North-Hollywood_CA_91605_M16400-99553</t>
  </si>
  <si>
    <t>Diego Magdaleno</t>
  </si>
  <si>
    <t>Diego@1visionproperties.com</t>
  </si>
  <si>
    <t>Brad Hansen</t>
  </si>
  <si>
    <t>bradhansen@equityunion.com</t>
  </si>
  <si>
    <t>347 Memory Ln, Santa Ana, CA 92705</t>
  </si>
  <si>
    <t>https://www.realtor.com/realestateandhomes-detail/347-Memory-Ln_Santa-Ana_CA_92705_M11365-80173</t>
  </si>
  <si>
    <t>Kenneth Le</t>
  </si>
  <si>
    <t>kennethle@alliancewestfinancial.com</t>
  </si>
  <si>
    <t>Alliance West Realty</t>
  </si>
  <si>
    <t>Elio Cipriano</t>
  </si>
  <si>
    <t>eliocipriano@firstteam.com</t>
  </si>
  <si>
    <t>17 Calle Viviana, San Clemente, CA 92673</t>
  </si>
  <si>
    <t>https://www.realtor.com/realestateandhomes-detail/17-Calle-Viviana_San-Clemente_CA_92673_M15063-39458</t>
  </si>
  <si>
    <t>Philip Talbert</t>
  </si>
  <si>
    <t>philip@sackinstoneteam.com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</si>
</sst>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realtor.com/realestateandhomes-detail/9112-Gibson-St_Los-Angeles_CA_90034_M16981-23848" TargetMode="External"/><Relationship Id="rId170" Type="http://schemas.openxmlformats.org/officeDocument/2006/relationships/hyperlink" Target="https://www.realtor.com/realestateandhomes-detail/1354-Shadow-Ln-202_Fullerton_CA_92831_M97451-47898" TargetMode="External"/><Relationship Id="rId987" Type="http://schemas.openxmlformats.org/officeDocument/2006/relationships/hyperlink" Target="https://www.realtor.com/realestateandhomes-detail/10591-Ayres-Ave_Los-Angeles_CA_90064_M21826-55633" TargetMode="External"/><Relationship Id="rId847" Type="http://schemas.openxmlformats.org/officeDocument/2006/relationships/hyperlink" Target="https://www.realtor.com/realestateandhomes-detail/5152-Hartwick-St_Los-Angeles_CA_90041_M13729-50680" TargetMode="External"/><Relationship Id="rId1477" Type="http://schemas.openxmlformats.org/officeDocument/2006/relationships/hyperlink" Target="https://www.realtor.com/realestateandhomes-detail/27525-Paseo-Toluca_San-Juan-Capistrano_CA_92675_M15745-86790" TargetMode="External"/><Relationship Id="rId1684" Type="http://schemas.openxmlformats.org/officeDocument/2006/relationships/hyperlink" Target="https://www.realtor.com/realestateandhomes-detail/15960-Alcima-Ave_Pacific-Palisades_CA_90272_M29890-04723" TargetMode="External"/><Relationship Id="rId1891" Type="http://schemas.openxmlformats.org/officeDocument/2006/relationships/hyperlink" Target="https://www.realtor.com/realestateandhomes-detail/2208-Westridge-Rd_Los-Angeles_CA_90049_M16939-64584" TargetMode="External"/><Relationship Id="rId2528" Type="http://schemas.openxmlformats.org/officeDocument/2006/relationships/hyperlink" Target="https://www.realtor.com/realestateandhomes-detail/127-S-Redwood-Ave_Brea_CA_92821_M10695-21746" TargetMode="External"/><Relationship Id="rId707" Type="http://schemas.openxmlformats.org/officeDocument/2006/relationships/hyperlink" Target="https://www.realtor.com/realestateandhomes-detail/1418-Lindacrest-Dr_Beverly-Hills_CA_90210_M17170-98661" TargetMode="External"/><Relationship Id="rId914" Type="http://schemas.openxmlformats.org/officeDocument/2006/relationships/hyperlink" Target="https://www.realtor.com/realestateandhomes-detail/163-Summerland_Irvine_CA_92602_M92593-07224" TargetMode="External"/><Relationship Id="rId1337" Type="http://schemas.openxmlformats.org/officeDocument/2006/relationships/hyperlink" Target="https://www.realtor.com/realestateandhomes-detail/2133-Mayview-Dr_Los-Angeles_CA_90027_M25597-93268" TargetMode="External"/><Relationship Id="rId1544" Type="http://schemas.openxmlformats.org/officeDocument/2006/relationships/hyperlink" Target="https://www.realtor.com/realestateandhomes-detail/505-Dahlia-Ave_Corona-Del-Mar_CA_92625_M20685-50282" TargetMode="External"/><Relationship Id="rId1751" Type="http://schemas.openxmlformats.org/officeDocument/2006/relationships/hyperlink" Target="https://www.realtor.com/realestateandhomes-detail/1180-Fiske-St_Pacific-Palisades_CA_90272_M10411-77069" TargetMode="External"/><Relationship Id="rId43" Type="http://schemas.openxmlformats.org/officeDocument/2006/relationships/hyperlink" Target="https://www.realtor.com/realestateandhomes-detail/1000-S-Citrus-Ave_Los-Angeles_CA_90019_M20365-76287" TargetMode="External"/><Relationship Id="rId1404" Type="http://schemas.openxmlformats.org/officeDocument/2006/relationships/hyperlink" Target="https://www.realtor.com/realestateandhomes-detail/4-Oxford-Way_Northridge_CA_91324_M98853-35591" TargetMode="External"/><Relationship Id="rId1611" Type="http://schemas.openxmlformats.org/officeDocument/2006/relationships/hyperlink" Target="https://www.realtor.com/realestateandhomes-detail/1125-3rd-Ave-Apt-C_Los-Angeles_CA_90019_M26018-87149" TargetMode="External"/><Relationship Id="rId497" Type="http://schemas.openxmlformats.org/officeDocument/2006/relationships/hyperlink" Target="https://www.realtor.com/realestateandhomes-detail/Bonnie-Beach-Pl_Los-Angeles_CA_90063_M99438-60275" TargetMode="External"/><Relationship Id="rId2178" Type="http://schemas.openxmlformats.org/officeDocument/2006/relationships/hyperlink" Target="https://www.realtor.com/realestateandhomes-detail/808-Record-Ave_Los-Angeles_CA_90063_M19397-47996" TargetMode="External"/><Relationship Id="rId2385" Type="http://schemas.openxmlformats.org/officeDocument/2006/relationships/hyperlink" Target="https://www.realtor.com/realestateandhomes-detail/2076-N-Mori-Ln_Orange_CA_92867_M24100-78124" TargetMode="External"/><Relationship Id="rId357" Type="http://schemas.openxmlformats.org/officeDocument/2006/relationships/hyperlink" Target="https://www.realtor.com/realestateandhomes-detail/10212-Briarwood-Dr_Los-Angeles_CA_90077_M17756-99157" TargetMode="External"/><Relationship Id="rId1194" Type="http://schemas.openxmlformats.org/officeDocument/2006/relationships/hyperlink" Target="https://www.realtor.com/realestateandhomes-detail/3810-Wilshire-Blvd-Apt-802_Los-Angeles_CA_90010_M13910-06319" TargetMode="External"/><Relationship Id="rId2038" Type="http://schemas.openxmlformats.org/officeDocument/2006/relationships/hyperlink" Target="https://www.realtor.com/realestateandhomes-detail/9603-Holmes-Ave_Los-Angeles_CA_90002_M19204-01897" TargetMode="External"/><Relationship Id="rId217" Type="http://schemas.openxmlformats.org/officeDocument/2006/relationships/hyperlink" Target="https://www.realtor.com/realestateandhomes-detail/Woods-Dr_Hollywood-Hills_CA_90069_M91731-81068" TargetMode="External"/><Relationship Id="rId564" Type="http://schemas.openxmlformats.org/officeDocument/2006/relationships/hyperlink" Target="https://www.realtor.com/realestateandhomes-detail/1612-W-226th-St_Torrance_CA_90501_M18169-86980" TargetMode="External"/><Relationship Id="rId771" Type="http://schemas.openxmlformats.org/officeDocument/2006/relationships/hyperlink" Target="https://www.realtor.com/realestateandhomes-detail/1655-N-Beverly-Glen-Blvd_Los-Angeles_CA_90077_M17962-70968" TargetMode="External"/><Relationship Id="rId2245" Type="http://schemas.openxmlformats.org/officeDocument/2006/relationships/hyperlink" Target="https://www.realtor.com/realestateandhomes-detail/252-Mayflower-Dr_Newport-Beach_CA_92660_M15780-38580" TargetMode="External"/><Relationship Id="rId2452" Type="http://schemas.openxmlformats.org/officeDocument/2006/relationships/hyperlink" Target="https://www.realtor.com/realestateandhomes-detail/30902-Clubhouse-Dr-Unit-6A_Laguna-Niguel_CA_92677_M14949-07130" TargetMode="External"/><Relationship Id="rId424" Type="http://schemas.openxmlformats.org/officeDocument/2006/relationships/hyperlink" Target="https://www.realtor.com/realestateandhomes-detail/4671-Bedel-St_Woodland-Hills_CA_91364_M11359-42679" TargetMode="External"/><Relationship Id="rId631" Type="http://schemas.openxmlformats.org/officeDocument/2006/relationships/hyperlink" Target="https://www.realtor.com/realestateandhomes-detail/738-Palms-Blvd_Venice_CA_90291_M18809-99200" TargetMode="External"/><Relationship Id="rId1054" Type="http://schemas.openxmlformats.org/officeDocument/2006/relationships/hyperlink" Target="https://www.realtor.com/realestateandhomes-detail/7304-Balboa-Blvd-Unit-C_Van-Nuys_CA_91406_M10107-63688" TargetMode="External"/><Relationship Id="rId1261" Type="http://schemas.openxmlformats.org/officeDocument/2006/relationships/hyperlink" Target="https://www.realtor.com/realestateandhomes-detail/27-Via-Lavendera_Rancho-Santa-Margarita_CA_92688_M20000-47256" TargetMode="External"/><Relationship Id="rId2105" Type="http://schemas.openxmlformats.org/officeDocument/2006/relationships/hyperlink" Target="https://www.realtor.com/realestateandhomes-detail/12883-Runway-Rd-Apt-1_Playa-Vista_CA_90094_M94631-85330" TargetMode="External"/><Relationship Id="rId2312" Type="http://schemas.openxmlformats.org/officeDocument/2006/relationships/hyperlink" Target="https://www.realtor.com/realestateandhomes-detail/1833-Roscomare-Rd_Los-Angeles_CA_90077_M23182-46801" TargetMode="External"/><Relationship Id="rId1121" Type="http://schemas.openxmlformats.org/officeDocument/2006/relationships/hyperlink" Target="https://www.realtor.com/realestateandhomes-detail/2502-Armstrong-Ave_Los-Angeles_CA_90039_M28705-53962" TargetMode="External"/><Relationship Id="rId1938" Type="http://schemas.openxmlformats.org/officeDocument/2006/relationships/hyperlink" Target="https://www.realtor.com/realestateandhomes-detail/7842-Lasaine-Ave_Northridge_CA_91325_M22498-67649" TargetMode="External"/><Relationship Id="rId281" Type="http://schemas.openxmlformats.org/officeDocument/2006/relationships/hyperlink" Target="https://www.realtor.com/realestateandhomes-detail/1601-S-Coast-Hwy-F1_Laguna-Beach_CA_92651_M22020-62659" TargetMode="External"/><Relationship Id="rId141" Type="http://schemas.openxmlformats.org/officeDocument/2006/relationships/hyperlink" Target="https://www.realtor.com/realestateandhomes-detail/816-El-Oro-Ln_Pacific-Palisades_CA_90272_M29543-10131" TargetMode="External"/><Relationship Id="rId7" Type="http://schemas.openxmlformats.org/officeDocument/2006/relationships/hyperlink" Target="https://www.realtor.com/realestateandhomes-detail/14929-Vose-St_Van-Nuys_CA_91405_M24434-17353" TargetMode="External"/><Relationship Id="rId958" Type="http://schemas.openxmlformats.org/officeDocument/2006/relationships/hyperlink" Target="https://www.realtor.com/realestateandhomes-detail/4125-S-Figueroa-St-Apt-101_Los-Angeles_CA_90037_M16842-51469" TargetMode="External"/><Relationship Id="rId1588" Type="http://schemas.openxmlformats.org/officeDocument/2006/relationships/hyperlink" Target="https://www.realtor.com/realestateandhomes-detail/607-Rockefeller-72_Irvine_CA_92612_M96108-34152" TargetMode="External"/><Relationship Id="rId1795" Type="http://schemas.openxmlformats.org/officeDocument/2006/relationships/hyperlink" Target="https://www.realtor.com/realestateandhomes-detail/1297-Marinette-Rd_Pacific-Palisades_CA_90272_M10055-50827" TargetMode="External"/><Relationship Id="rId87" Type="http://schemas.openxmlformats.org/officeDocument/2006/relationships/hyperlink" Target="https://www.realtor.com/realestateandhomes-detail/2045-Penmar-Ave_Venice_CA_90291_M93361-96921" TargetMode="External"/><Relationship Id="rId818" Type="http://schemas.openxmlformats.org/officeDocument/2006/relationships/hyperlink" Target="https://www.realtor.com/realestateandhomes-detail/15445-Vanowen-St_Van-Nuys_CA_91406_M95442-20547" TargetMode="External"/><Relationship Id="rId1448" Type="http://schemas.openxmlformats.org/officeDocument/2006/relationships/hyperlink" Target="https://www.realtor.com/realestateandhomes-detail/320-S-Ardmore-Ave_Los-Angeles_CA_90020_M95573-62270" TargetMode="External"/><Relationship Id="rId1655" Type="http://schemas.openxmlformats.org/officeDocument/2006/relationships/hyperlink" Target="https://www.realtor.com/realestateandhomes-detail/718-Palisades-Dr_Pacific-Palisades_CA_90272_M29829-30375" TargetMode="External"/><Relationship Id="rId1308" Type="http://schemas.openxmlformats.org/officeDocument/2006/relationships/hyperlink" Target="https://www.realtor.com/realestateandhomes-detail/11822-Moen-St_Anaheim_CA_92804_M20044-54787" TargetMode="External"/><Relationship Id="rId1862" Type="http://schemas.openxmlformats.org/officeDocument/2006/relationships/hyperlink" Target="https://www.realtor.com/realestateandhomes-detail/2633-S-Cochran-Ave_Los-Angeles_CA_90016_M29237-77952" TargetMode="External"/><Relationship Id="rId1515" Type="http://schemas.openxmlformats.org/officeDocument/2006/relationships/hyperlink" Target="https://www.realtor.com/realestateandhomes-detail/124-126-Sapphire-Ave_Newport-Beach_CA_92662_M99666-66547" TargetMode="External"/><Relationship Id="rId1722" Type="http://schemas.openxmlformats.org/officeDocument/2006/relationships/hyperlink" Target="https://www.realtor.com/realestateandhomes-detail/132-N-Swall-Dr-Unit-202_Los-Angeles_CA_90048_M93167-72148" TargetMode="External"/><Relationship Id="rId14" Type="http://schemas.openxmlformats.org/officeDocument/2006/relationships/hyperlink" Target="https://www.realtor.com/realestateandhomes-detail/74-Emerald-Bay_Laguna-Beach_CA_92651_M19769-38000" TargetMode="External"/><Relationship Id="rId2289" Type="http://schemas.openxmlformats.org/officeDocument/2006/relationships/hyperlink" Target="https://www.realtor.com/realestateandhomes-detail/1451-Volney-Dr_Los-Angeles_CA_90063_M18625-32963" TargetMode="External"/><Relationship Id="rId2496" Type="http://schemas.openxmlformats.org/officeDocument/2006/relationships/hyperlink" Target="https://www.realtor.com/realestateandhomes-detail/2910-S-Greenville-St-Unit-H_Santa-Ana_CA_92704_M26360-65096" TargetMode="External"/><Relationship Id="rId468" Type="http://schemas.openxmlformats.org/officeDocument/2006/relationships/hyperlink" Target="https://www.realtor.com/realestateandhomes-detail/5126-6th-Ave_Los-Angeles_CA_90043_M21537-14516" TargetMode="External"/><Relationship Id="rId675" Type="http://schemas.openxmlformats.org/officeDocument/2006/relationships/hyperlink" Target="https://www.realtor.com/realestateandhomes-detail/5424-Franklin-Ave_Los-Angeles_CA_90027_M90192-63096" TargetMode="External"/><Relationship Id="rId882" Type="http://schemas.openxmlformats.org/officeDocument/2006/relationships/hyperlink" Target="https://www.realtor.com/realestateandhomes-detail/1626-1628-E-32nd_Los-Angeles_CA_90011_M96002-10073" TargetMode="External"/><Relationship Id="rId1098" Type="http://schemas.openxmlformats.org/officeDocument/2006/relationships/hyperlink" Target="https://www.realtor.com/realestateandhomes-detail/305-Arnaz-Dr-Apt-304_Los-Angeles_CA_90048_M24620-21466" TargetMode="External"/><Relationship Id="rId2149" Type="http://schemas.openxmlformats.org/officeDocument/2006/relationships/hyperlink" Target="https://www.realtor.com/realestateandhomes-detail/9709-Maie-Ave_Los-Angeles_CA_90002_M19533-44990" TargetMode="External"/><Relationship Id="rId2356" Type="http://schemas.openxmlformats.org/officeDocument/2006/relationships/hyperlink" Target="https://www.realtor.com/realestateandhomes-detail/1722-W-79th-St_Los-Angeles_CA_90047_M15529-96969" TargetMode="External"/><Relationship Id="rId328" Type="http://schemas.openxmlformats.org/officeDocument/2006/relationships/hyperlink" Target="https://www.realtor.com/realestateandhomes-detail/2206-Micheltorena-St_Los-Angeles_CA_90039_M23795-24055" TargetMode="External"/><Relationship Id="rId535" Type="http://schemas.openxmlformats.org/officeDocument/2006/relationships/hyperlink" Target="https://www.realtor.com/realestateandhomes-detail/2121-Valhalla-Dr_North-Tustin_CA_92705_M25206-36728" TargetMode="External"/><Relationship Id="rId742" Type="http://schemas.openxmlformats.org/officeDocument/2006/relationships/hyperlink" Target="https://www.realtor.com/realestateandhomes-detail/7826-Topanga-Canyon-Blvd-Apt-308_Canoga-Park_CA_91304_M93121-30894" TargetMode="External"/><Relationship Id="rId1165" Type="http://schemas.openxmlformats.org/officeDocument/2006/relationships/hyperlink" Target="https://www.realtor.com/realestateandhomes-detail/405-Blumont-St_Laguna-Beach_CA_92651_M26306-51813" TargetMode="External"/><Relationship Id="rId1372" Type="http://schemas.openxmlformats.org/officeDocument/2006/relationships/hyperlink" Target="https://www.realtor.com/realestateandhomes-detail/7941-Wentworth-St_Sunland_CA_91040_M27297-70232" TargetMode="External"/><Relationship Id="rId2009" Type="http://schemas.openxmlformats.org/officeDocument/2006/relationships/hyperlink" Target="https://www.realtor.com/realestateandhomes-detail/5413-W-Slauson-Ave_Los-Angeles_CA_90056_M24134-29093" TargetMode="External"/><Relationship Id="rId2216" Type="http://schemas.openxmlformats.org/officeDocument/2006/relationships/hyperlink" Target="https://www.realtor.com/realestateandhomes-detail/9222-S-San-Pedro-St_Los-Angeles_CA_90003_M21265-19825" TargetMode="External"/><Relationship Id="rId2423" Type="http://schemas.openxmlformats.org/officeDocument/2006/relationships/hyperlink" Target="https://www.realtor.com/realestateandhomes-detail/3592-Windspun-Dr_Huntington-Beach_CA_92649_M24458-09864" TargetMode="External"/><Relationship Id="rId602" Type="http://schemas.openxmlformats.org/officeDocument/2006/relationships/hyperlink" Target="https://www.realtor.com/realestateandhomes-detail/11749-Goshen-Ave-Apt-102_Los-Angeles_CA_90049_M15119-26294" TargetMode="External"/><Relationship Id="rId1025" Type="http://schemas.openxmlformats.org/officeDocument/2006/relationships/hyperlink" Target="https://www.realtor.com/realestateandhomes-detail/1-Spinnaker-St-Apt-2_Marina-Del-Rey_CA_90292_M15961-64229" TargetMode="External"/><Relationship Id="rId1232" Type="http://schemas.openxmlformats.org/officeDocument/2006/relationships/hyperlink" Target="https://www.realtor.com/realestateandhomes-detail/1251-Edris-Dr_Los-Angeles_CA_90035_M10417-60573" TargetMode="External"/><Relationship Id="rId185" Type="http://schemas.openxmlformats.org/officeDocument/2006/relationships/hyperlink" Target="https://www.realtor.com/realestateandhomes-detail/3947-Sumac-Dr_Sherman-Oaks_CA_91403_M26340-68143" TargetMode="External"/><Relationship Id="rId1909" Type="http://schemas.openxmlformats.org/officeDocument/2006/relationships/hyperlink" Target="https://www.realtor.com/realestateandhomes-detail/1041-W-48th-St_Los-Angeles_CA_90037_M13119-99159" TargetMode="External"/><Relationship Id="rId392" Type="http://schemas.openxmlformats.org/officeDocument/2006/relationships/hyperlink" Target="https://www.realtor.com/realestateandhomes-detail/76-Bianco_Irvine_CA_92618_M22174-21392" TargetMode="External"/><Relationship Id="rId2073" Type="http://schemas.openxmlformats.org/officeDocument/2006/relationships/hyperlink" Target="https://www.realtor.com/realestateandhomes-detail/1266-E-50th-St_Los-Angeles_CA_90011_M23391-60424" TargetMode="External"/><Relationship Id="rId2280" Type="http://schemas.openxmlformats.org/officeDocument/2006/relationships/hyperlink" Target="https://www.realtor.com/realestateandhomes-detail/501-Palisades-Dr-Apt-106_Pacific-Palisades_CA_90272_M29312-79778" TargetMode="External"/><Relationship Id="rId252" Type="http://schemas.openxmlformats.org/officeDocument/2006/relationships/hyperlink" Target="https://www.realtor.com/realestateandhomes-detail/8632-S-Fir-Ave_Los-Angeles_CA_90002_M24962-49147" TargetMode="External"/><Relationship Id="rId2140" Type="http://schemas.openxmlformats.org/officeDocument/2006/relationships/hyperlink" Target="https://www.realtor.com/realestateandhomes-detail/4437-Balboa-Ave_Encino_CA_91316_M10660-92240" TargetMode="External"/><Relationship Id="rId112" Type="http://schemas.openxmlformats.org/officeDocument/2006/relationships/hyperlink" Target="https://www.realtor.com/realestateandhomes-detail/1168-W-36th-Pl_Los-Angeles_CA_90007_M15737-30007" TargetMode="External"/><Relationship Id="rId1699" Type="http://schemas.openxmlformats.org/officeDocument/2006/relationships/hyperlink" Target="https://www.realtor.com/realestateandhomes-detail/1823-N-Fuller-Ave-Unit-2_Los-Angeles_CA_90046_M12996-95557" TargetMode="External"/><Relationship Id="rId2000" Type="http://schemas.openxmlformats.org/officeDocument/2006/relationships/hyperlink" Target="https://www.realtor.com/realestateandhomes-detail/3920-Longridge-Ave_Sherman-Oaks_CA_91423_M14316-22498" TargetMode="External"/><Relationship Id="rId929" Type="http://schemas.openxmlformats.org/officeDocument/2006/relationships/hyperlink" Target="https://www.realtor.com/realestateandhomes-detail/3301-Coldwater-Canyon-Ave_Studio-City_CA_91604_M18433-31096" TargetMode="External"/><Relationship Id="rId1559" Type="http://schemas.openxmlformats.org/officeDocument/2006/relationships/hyperlink" Target="https://www.realtor.com/realestateandhomes-detail/17-High-Water_Newport-Coast_CA_92657_M28889-95007" TargetMode="External"/><Relationship Id="rId1766" Type="http://schemas.openxmlformats.org/officeDocument/2006/relationships/hyperlink" Target="https://www.realtor.com/realestateandhomes-detail/12846-Short-Ave_Los-Angeles_CA_90066_M12495-65070" TargetMode="External"/><Relationship Id="rId1973" Type="http://schemas.openxmlformats.org/officeDocument/2006/relationships/hyperlink" Target="https://www.realtor.com/realestateandhomes-detail/764-W-12th-St_San-Pedro_CA_90731_M29255-25599" TargetMode="External"/><Relationship Id="rId58" Type="http://schemas.openxmlformats.org/officeDocument/2006/relationships/hyperlink" Target="https://www.realtor.com/realestateandhomes-detail/8200-Bolsa-Ave-Spc-42_Midway-City_CA_92655_M15608-08784" TargetMode="External"/><Relationship Id="rId1419" Type="http://schemas.openxmlformats.org/officeDocument/2006/relationships/hyperlink" Target="https://www.realtor.com/realestateandhomes-detail/15455-Glenoaks-Blvd-Spc-502_Sylmar_CA_91342_M91234-30137" TargetMode="External"/><Relationship Id="rId1626" Type="http://schemas.openxmlformats.org/officeDocument/2006/relationships/hyperlink" Target="https://www.realtor.com/realestateandhomes-detail/702-S-Serrano-Ave-Apt-501_Los-Angeles_CA_90005_M22026-94926" TargetMode="External"/><Relationship Id="rId1833" Type="http://schemas.openxmlformats.org/officeDocument/2006/relationships/hyperlink" Target="https://www.realtor.com/realestateandhomes-detail/12386-Ridge-Cir_Los-Angeles_CA_90049_M16775-30303" TargetMode="External"/><Relationship Id="rId1900" Type="http://schemas.openxmlformats.org/officeDocument/2006/relationships/hyperlink" Target="https://www.realtor.com/realestateandhomes-detail/8118-Wakefield-Ave_Panorama-City_CA_91402_M24882-57882" TargetMode="External"/><Relationship Id="rId579" Type="http://schemas.openxmlformats.org/officeDocument/2006/relationships/hyperlink" Target="https://www.realtor.com/realestateandhomes-detail/400-S-Broadway-Apt-2010_Los-Angeles_CA_90013_M99246-88950" TargetMode="External"/><Relationship Id="rId786" Type="http://schemas.openxmlformats.org/officeDocument/2006/relationships/hyperlink" Target="https://www.realtor.com/realestateandhomes-detail/10219-Sunrise-Ln_North-Tustin_CA_92705_M29181-76504" TargetMode="External"/><Relationship Id="rId993" Type="http://schemas.openxmlformats.org/officeDocument/2006/relationships/hyperlink" Target="https://www.realtor.com/realestateandhomes-detail/533-Via-De-La-Paz_Pacific-Palisades_CA_90272_M28057-30818" TargetMode="External"/><Relationship Id="rId2467" Type="http://schemas.openxmlformats.org/officeDocument/2006/relationships/hyperlink" Target="https://www.realtor.com/realestateandhomes-detail/17732-Amaganset-Way_Tustin_CA_92780_M17894-39745" TargetMode="External"/><Relationship Id="rId439" Type="http://schemas.openxmlformats.org/officeDocument/2006/relationships/hyperlink" Target="https://www.realtor.com/realestateandhomes-detail/695-S-Norton-Ave_Los-Angeles_CA_90005_M91927-93009" TargetMode="External"/><Relationship Id="rId646" Type="http://schemas.openxmlformats.org/officeDocument/2006/relationships/hyperlink" Target="https://www.realtor.com/realestateandhomes-detail/8346-Manitoba-St-Apt-11_Playa-Del-Rey_CA_90293_M21087-12390" TargetMode="External"/><Relationship Id="rId1069" Type="http://schemas.openxmlformats.org/officeDocument/2006/relationships/hyperlink" Target="https://www.realtor.com/realestateandhomes-detail/2385-Roscomare-Rd-Unit-E17_Los-Angeles_CA_90077_M23629-75624" TargetMode="External"/><Relationship Id="rId1276" Type="http://schemas.openxmlformats.org/officeDocument/2006/relationships/hyperlink" Target="https://www.realtor.com/realestateandhomes-detail/1519-Victoria-Dr_Fullerton_CA_92831_M18419-34863" TargetMode="External"/><Relationship Id="rId1483" Type="http://schemas.openxmlformats.org/officeDocument/2006/relationships/hyperlink" Target="https://www.realtor.com/realestateandhomes-detail/21-Elliot-Ln_Trabuco-Canyon_CA_92679_M25886-55816" TargetMode="External"/><Relationship Id="rId2327" Type="http://schemas.openxmlformats.org/officeDocument/2006/relationships/hyperlink" Target="https://www.realtor.com/realestateandhomes-detail/18842-Tuba-St_Northridge_CA_91324_M22755-87447" TargetMode="External"/><Relationship Id="rId506" Type="http://schemas.openxmlformats.org/officeDocument/2006/relationships/hyperlink" Target="https://www.realtor.com/realestateandhomes-detail/746-S-Los-Angeles-St-Apt-607_Los-Angeles_CA_90014_M13751-65665" TargetMode="External"/><Relationship Id="rId853" Type="http://schemas.openxmlformats.org/officeDocument/2006/relationships/hyperlink" Target="https://www.realtor.com/realestateandhomes-detail/16762-Otsego-St_Encino_CA_91436_M21272-14060" TargetMode="External"/><Relationship Id="rId1136" Type="http://schemas.openxmlformats.org/officeDocument/2006/relationships/hyperlink" Target="https://www.realtor.com/realestateandhomes-detail/6146-Strickland-Ave_Los-Angeles_CA_90042_M15979-47920" TargetMode="External"/><Relationship Id="rId1690" Type="http://schemas.openxmlformats.org/officeDocument/2006/relationships/hyperlink" Target="https://www.realtor.com/realestateandhomes-detail/810-Gramercy-Dr_Los-Angeles_CA_90005_M22743-33000" TargetMode="External"/><Relationship Id="rId2534" Type="http://schemas.openxmlformats.org/officeDocument/2006/relationships/hyperlink" Target="https://www.realtor.com/realestateandhomes-detail/3311-Bounty-Cir_Huntington-Beach_CA_92649_M24028-42233" TargetMode="External"/><Relationship Id="rId713" Type="http://schemas.openxmlformats.org/officeDocument/2006/relationships/hyperlink" Target="https://www.realtor.com/realestateandhomes-detail/2981-Passmore-Dr_Los-Angeles_CA_90068_M24786-08477" TargetMode="External"/><Relationship Id="rId920" Type="http://schemas.openxmlformats.org/officeDocument/2006/relationships/hyperlink" Target="https://www.realtor.com/realestateandhomes-detail/13231-Fiji-Way-Unit-H_Marina-Del-Rey_CA_90292_M28061-53584" TargetMode="External"/><Relationship Id="rId1343" Type="http://schemas.openxmlformats.org/officeDocument/2006/relationships/hyperlink" Target="https://www.realtor.com/realestateandhomes-detail/8657-Valley-Circle-Blvd_West-Hills_CA_91304_M90543-88624" TargetMode="External"/><Relationship Id="rId1550" Type="http://schemas.openxmlformats.org/officeDocument/2006/relationships/hyperlink" Target="https://www.realtor.com/realestateandhomes-detail/831-E-109th-St_Los-Angeles_CA_90059_M25217-62410" TargetMode="External"/><Relationship Id="rId1203" Type="http://schemas.openxmlformats.org/officeDocument/2006/relationships/hyperlink" Target="https://www.realtor.com/realestateandhomes-detail/267-S-San-Pedro-St_Los-Angeles_CA_90012_M96631-49761" TargetMode="External"/><Relationship Id="rId1410" Type="http://schemas.openxmlformats.org/officeDocument/2006/relationships/hyperlink" Target="https://www.realtor.com/realestateandhomes-detail/4184-Lanai-Rd_Encino_CA_91436_M28877-37414" TargetMode="External"/><Relationship Id="rId296" Type="http://schemas.openxmlformats.org/officeDocument/2006/relationships/hyperlink" Target="https://www.realtor.com/realestateandhomes-detail/4408-W-59th-St_Los-Angeles_CA_90043_M25526-88771" TargetMode="External"/><Relationship Id="rId2184" Type="http://schemas.openxmlformats.org/officeDocument/2006/relationships/hyperlink" Target="https://www.realtor.com/realestateandhomes-detail/535-W-15th-St_San-Pedro_CA_90731_M10380-23127" TargetMode="External"/><Relationship Id="rId2391" Type="http://schemas.openxmlformats.org/officeDocument/2006/relationships/hyperlink" Target="https://www.realtor.com/realestateandhomes-detail/22125-Caminito-Vino_Laguna-Hills_CA_92653_M12712-37218" TargetMode="External"/><Relationship Id="rId156" Type="http://schemas.openxmlformats.org/officeDocument/2006/relationships/hyperlink" Target="https://www.realtor.com/realestateandhomes-detail/5810-Via-Romero_Yorba-Linda_CA_92887_M98004-62544" TargetMode="External"/><Relationship Id="rId363" Type="http://schemas.openxmlformats.org/officeDocument/2006/relationships/hyperlink" Target="https://www.realtor.com/realestateandhomes-detail/5500-Blanco-Ave_Woodland-Hills_CA_91367_M19894-38721" TargetMode="External"/><Relationship Id="rId570" Type="http://schemas.openxmlformats.org/officeDocument/2006/relationships/hyperlink" Target="https://www.realtor.com/realestateandhomes-detail/421-N-Rose-St_Anaheim_CA_92805_M28646-98654" TargetMode="External"/><Relationship Id="rId2044" Type="http://schemas.openxmlformats.org/officeDocument/2006/relationships/hyperlink" Target="https://www.realtor.com/realestateandhomes-detail/4669-W-Olympic-Blvd_Los-Angeles_CA_90019_M21731-18700" TargetMode="External"/><Relationship Id="rId2251" Type="http://schemas.openxmlformats.org/officeDocument/2006/relationships/hyperlink" Target="https://www.realtor.com/realestateandhomes-detail/750-S-Spaulding-Ave-Apt-129_Los-Angeles_CA_90036_M21810-56346" TargetMode="External"/><Relationship Id="rId223" Type="http://schemas.openxmlformats.org/officeDocument/2006/relationships/hyperlink" Target="https://www.realtor.com/realestateandhomes-detail/865-Comstock-Ave-Apt-10D_Los-Angeles_CA_90024_M13507-56625" TargetMode="External"/><Relationship Id="rId430" Type="http://schemas.openxmlformats.org/officeDocument/2006/relationships/hyperlink" Target="https://www.realtor.com/realestateandhomes-detail/1017-N-Croft-Ave-Apt-201_Los-Angeles_CA_90069_M97982-02332" TargetMode="External"/><Relationship Id="rId1060" Type="http://schemas.openxmlformats.org/officeDocument/2006/relationships/hyperlink" Target="https://www.realtor.com/realestateandhomes-detail/1320-W-Cannon-Dr_Los-Angeles_CA_90026_M90893-42868" TargetMode="External"/><Relationship Id="rId2111" Type="http://schemas.openxmlformats.org/officeDocument/2006/relationships/hyperlink" Target="https://www.realtor.com/realestateandhomes-detail/2477-Walnut-Ave_Venice_CA_90291_M17182-96095" TargetMode="External"/><Relationship Id="rId1877" Type="http://schemas.openxmlformats.org/officeDocument/2006/relationships/hyperlink" Target="https://www.realtor.com/realestateandhomes-detail/2151-S-West-View-St_Los-Angeles_CA_90016_M13487-54259" TargetMode="External"/><Relationship Id="rId1737" Type="http://schemas.openxmlformats.org/officeDocument/2006/relationships/hyperlink" Target="https://www.realtor.com/realestateandhomes-detail/5346-Franklin-Ave_Los-Angeles_CA_90027_M26926-72246" TargetMode="External"/><Relationship Id="rId1944" Type="http://schemas.openxmlformats.org/officeDocument/2006/relationships/hyperlink" Target="https://www.realtor.com/realestateandhomes-detail/1013-E-28th-St_Los-Angeles_CA_90011_M27718-70598" TargetMode="External"/><Relationship Id="rId29" Type="http://schemas.openxmlformats.org/officeDocument/2006/relationships/hyperlink" Target="https://www.realtor.com/realestateandhomes-detail/20234-Roscoe-Blvd_Winnetka_CA_91306_M12659-46341" TargetMode="External"/><Relationship Id="rId1804" Type="http://schemas.openxmlformats.org/officeDocument/2006/relationships/hyperlink" Target="https://www.realtor.com/realestateandhomes-detail/303-Venice-Way_Venice_CA_90291_M93018-64518" TargetMode="External"/><Relationship Id="rId897" Type="http://schemas.openxmlformats.org/officeDocument/2006/relationships/hyperlink" Target="https://www.realtor.com/realestateandhomes-detail/125-Toretta_Irvine_CA_92602_M95381-54682" TargetMode="External"/><Relationship Id="rId757" Type="http://schemas.openxmlformats.org/officeDocument/2006/relationships/hyperlink" Target="https://www.realtor.com/realestateandhomes-detail/8142-E-Naples-Ln_Anaheim_CA_92808_M28444-35153" TargetMode="External"/><Relationship Id="rId964" Type="http://schemas.openxmlformats.org/officeDocument/2006/relationships/hyperlink" Target="https://www.realtor.com/realestateandhomes-detail/2026-Louella-Ave_Venice_CA_90291_M18902-41154" TargetMode="External"/><Relationship Id="rId1387" Type="http://schemas.openxmlformats.org/officeDocument/2006/relationships/hyperlink" Target="https://www.realtor.com/realestateandhomes-detail/17848-Tuscan-Dr_Granada-Hills_CA_91344_M13922-09652" TargetMode="External"/><Relationship Id="rId1594" Type="http://schemas.openxmlformats.org/officeDocument/2006/relationships/hyperlink" Target="https://www.realtor.com/realestateandhomes-detail/532-W-Vernon-Ave_Los-Angeles_CA_90037_M22875-73782" TargetMode="External"/><Relationship Id="rId2438" Type="http://schemas.openxmlformats.org/officeDocument/2006/relationships/hyperlink" Target="https://www.realtor.com/realestateandhomes-detail/185-Streamwood_Irvine_CA_92620_M14957-15884" TargetMode="External"/><Relationship Id="rId93" Type="http://schemas.openxmlformats.org/officeDocument/2006/relationships/hyperlink" Target="https://www.realtor.com/realestateandhomes-detail/2303-Hillhurst-Ave_Los-Angeles_CA_90027_M14675-05749" TargetMode="External"/><Relationship Id="rId617" Type="http://schemas.openxmlformats.org/officeDocument/2006/relationships/hyperlink" Target="https://www.realtor.com/realestateandhomes-detail/4540-Wawona-St_Los-Angeles_CA_90065_M12242-96835" TargetMode="External"/><Relationship Id="rId824" Type="http://schemas.openxmlformats.org/officeDocument/2006/relationships/hyperlink" Target="https://www.realtor.com/realestateandhomes-detail/Drysdale-Dr_Los-Angeles_CA_90032_M93275-06155" TargetMode="External"/><Relationship Id="rId1247" Type="http://schemas.openxmlformats.org/officeDocument/2006/relationships/hyperlink" Target="https://www.realtor.com/realestateandhomes-detail/641-Maria-Ave_Placentia_CA_92870_M29151-54814" TargetMode="External"/><Relationship Id="rId1454" Type="http://schemas.openxmlformats.org/officeDocument/2006/relationships/hyperlink" Target="https://www.realtor.com/realestateandhomes-detail/1222-W-Sharon-Rd_Santa-Ana_CA_92706_M26323-30981" TargetMode="External"/><Relationship Id="rId1661" Type="http://schemas.openxmlformats.org/officeDocument/2006/relationships/hyperlink" Target="https://www.realtor.com/realestateandhomes-detail/112-N-Beverly-Glen-Blvd_Los-Angeles_CA_90077_M13274-65411" TargetMode="External"/><Relationship Id="rId2505" Type="http://schemas.openxmlformats.org/officeDocument/2006/relationships/hyperlink" Target="https://www.realtor.com/realestateandhomes-detail/365-N-Magnolia-St_Orange_CA_92866_M25784-15447" TargetMode="External"/><Relationship Id="rId1107" Type="http://schemas.openxmlformats.org/officeDocument/2006/relationships/hyperlink" Target="https://www.realtor.com/realestateandhomes-detail/3320-Griffith-Park-Blvd-Apt-4_Los-Angeles_CA_90027_M27154-90375" TargetMode="External"/><Relationship Id="rId1314" Type="http://schemas.openxmlformats.org/officeDocument/2006/relationships/hyperlink" Target="https://www.realtor.com/realestateandhomes-detail/945-N-Summer-St_Anaheim_CA_92805_M14137-70002" TargetMode="External"/><Relationship Id="rId1521" Type="http://schemas.openxmlformats.org/officeDocument/2006/relationships/hyperlink" Target="https://www.realtor.com/realestateandhomes-detail/730-N-Adele-St_Orange_CA_92867_M10921-19428" TargetMode="External"/><Relationship Id="rId20" Type="http://schemas.openxmlformats.org/officeDocument/2006/relationships/hyperlink" Target="https://www.realtor.com/realestateandhomes-detail/4543-Densmore-Ave_Encino_CA_91436_M29001-09707" TargetMode="External"/><Relationship Id="rId2088" Type="http://schemas.openxmlformats.org/officeDocument/2006/relationships/hyperlink" Target="https://www.realtor.com/realestateandhomes-detail/17136-Nanette-St_Granada-Hills_CA_91344_M14713-62514" TargetMode="External"/><Relationship Id="rId2295" Type="http://schemas.openxmlformats.org/officeDocument/2006/relationships/hyperlink" Target="https://www.realtor.com/realestateandhomes-detail/79-Pelican-Ln_Irvine_CA_92618_M16860-77316" TargetMode="External"/><Relationship Id="rId267" Type="http://schemas.openxmlformats.org/officeDocument/2006/relationships/hyperlink" Target="https://www.realtor.com/realestateandhomes-detail/13424-Contour-Dr_Sherman-Oaks_CA_91423_M12419-38850" TargetMode="External"/><Relationship Id="rId474" Type="http://schemas.openxmlformats.org/officeDocument/2006/relationships/hyperlink" Target="https://www.realtor.com/realestateandhomes-detail/22020-Tulsa-St_Chatsworth_CA_91311_M90048-23083" TargetMode="External"/><Relationship Id="rId2155" Type="http://schemas.openxmlformats.org/officeDocument/2006/relationships/hyperlink" Target="https://www.realtor.com/realestateandhomes-detail/1950-E-97th-St_Los-Angeles_CA_90002_M10588-62522" TargetMode="External"/><Relationship Id="rId127" Type="http://schemas.openxmlformats.org/officeDocument/2006/relationships/hyperlink" Target="https://www.realtor.com/realestateandhomes-detail/9771-Acacia-Ave-Unit-8_Garden-Grove_CA_92841_M18397-58549" TargetMode="External"/><Relationship Id="rId681" Type="http://schemas.openxmlformats.org/officeDocument/2006/relationships/hyperlink" Target="https://www.realtor.com/realestateandhomes-detail/11202-Canton-Dr_Studio-City_CA_91604_M12944-09297" TargetMode="External"/><Relationship Id="rId2362" Type="http://schemas.openxmlformats.org/officeDocument/2006/relationships/hyperlink" Target="https://www.realtor.com/realestateandhomes-detail/9051-Cedros-Ave-Apt-8_Panorama-City_CA_91402_M25816-74918" TargetMode="External"/><Relationship Id="rId334" Type="http://schemas.openxmlformats.org/officeDocument/2006/relationships/hyperlink" Target="https://www.realtor.com/realestateandhomes-detail/7933-Alverstone-Ave_Los-Angeles_CA_90045_M13748-38648" TargetMode="External"/><Relationship Id="rId541" Type="http://schemas.openxmlformats.org/officeDocument/2006/relationships/hyperlink" Target="https://www.realtor.com/realestateandhomes-detail/25191-Via-Piedra-Blanca_Laguna-Niguel_CA_92677_M11227-55182" TargetMode="External"/><Relationship Id="rId1171" Type="http://schemas.openxmlformats.org/officeDocument/2006/relationships/hyperlink" Target="https://www.realtor.com/realestateandhomes-detail/1274-W-Court-St_Los-Angeles_CA_90026_M10673-52281" TargetMode="External"/><Relationship Id="rId2015" Type="http://schemas.openxmlformats.org/officeDocument/2006/relationships/hyperlink" Target="https://www.realtor.com/realestateandhomes-detail/6300-Holmes-Ave_Los-Angeles_CA_90001_M27839-02422" TargetMode="External"/><Relationship Id="rId2222" Type="http://schemas.openxmlformats.org/officeDocument/2006/relationships/hyperlink" Target="https://www.realtor.com/realestateandhomes-detail/847-E-25th-St_Los-Angeles_CA_90011_M28073-47775" TargetMode="External"/><Relationship Id="rId401" Type="http://schemas.openxmlformats.org/officeDocument/2006/relationships/hyperlink" Target="https://www.realtor.com/realestateandhomes-detail/Holgate_Los-Angeles_CA_90031_M91080-42916" TargetMode="External"/><Relationship Id="rId1031" Type="http://schemas.openxmlformats.org/officeDocument/2006/relationships/hyperlink" Target="https://www.realtor.com/realestateandhomes-detail/1163-N-Ditman-Ave_Los-Angeles_CA_90063_M18918-10940" TargetMode="External"/><Relationship Id="rId1988" Type="http://schemas.openxmlformats.org/officeDocument/2006/relationships/hyperlink" Target="https://www.realtor.com/realestateandhomes-detail/4506-Dockweiler-St-Unit-301_Los-Angeles_CA_90019_M94685-02199" TargetMode="External"/><Relationship Id="rId1848" Type="http://schemas.openxmlformats.org/officeDocument/2006/relationships/hyperlink" Target="https://www.realtor.com/realestateandhomes-detail/303-Venice-Way_Venice_CA_90291_M93018-64518" TargetMode="External"/><Relationship Id="rId191" Type="http://schemas.openxmlformats.org/officeDocument/2006/relationships/hyperlink" Target="https://www.realtor.com/realestateandhomes-detail/6601-Springpark-Ave-Apt-14_Los-Angeles_CA_90056_M16495-24929" TargetMode="External"/><Relationship Id="rId1708" Type="http://schemas.openxmlformats.org/officeDocument/2006/relationships/hyperlink" Target="https://www.realtor.com/realestateandhomes-detail/3311-Adina-Dr_Los-Angeles_CA_90068_M21475-01254" TargetMode="External"/><Relationship Id="rId1915" Type="http://schemas.openxmlformats.org/officeDocument/2006/relationships/hyperlink" Target="https://www.realtor.com/realestateandhomes-detail/2563-Nichols-Canyon-Rd_Los-Angeles_CA_90046_M11732-53866" TargetMode="External"/><Relationship Id="rId868" Type="http://schemas.openxmlformats.org/officeDocument/2006/relationships/hyperlink" Target="https://www.realtor.com/realestateandhomes-detail/18751-Via-San-Marco_Irvine_CA_92603_M22316-26046" TargetMode="External"/><Relationship Id="rId1498" Type="http://schemas.openxmlformats.org/officeDocument/2006/relationships/hyperlink" Target="https://www.realtor.com/realestateandhomes-detail/192-Juniper-Dr_Ladera-Ranch_CA_92694_M98174-49296" TargetMode="External"/><Relationship Id="rId2549" Type="http://schemas.openxmlformats.org/officeDocument/2006/relationships/hyperlink" Target="https://www.realtor.com/realestateandhomes-detail/2550-W-Rowland-Ave_Anaheim_CA_92804_M14918-24482" TargetMode="External"/><Relationship Id="rId728" Type="http://schemas.openxmlformats.org/officeDocument/2006/relationships/hyperlink" Target="https://www.realtor.com/realestateandhomes-detail/262-Sora_Irvine_CA_92618_M98769-97571" TargetMode="External"/><Relationship Id="rId935" Type="http://schemas.openxmlformats.org/officeDocument/2006/relationships/hyperlink" Target="https://www.realtor.com/realestateandhomes-detail/400-S-Broadway-Apt-502_Los-Angeles_CA_90013_M92490-88237" TargetMode="External"/><Relationship Id="rId1358" Type="http://schemas.openxmlformats.org/officeDocument/2006/relationships/hyperlink" Target="https://www.realtor.com/realestateandhomes-detail/1432-Kellam-Ave_Los-Angeles_CA_90026_M22785-09934" TargetMode="External"/><Relationship Id="rId1565" Type="http://schemas.openxmlformats.org/officeDocument/2006/relationships/hyperlink" Target="https://www.realtor.com/realestateandhomes-detail/125-16th-St_Huntington-Beach_CA_92648_M17936-20775" TargetMode="External"/><Relationship Id="rId1772" Type="http://schemas.openxmlformats.org/officeDocument/2006/relationships/hyperlink" Target="https://www.realtor.com/realestateandhomes-detail/1628-Laraine-Cir_San-Pedro_CA_90732_M16887-58021" TargetMode="External"/><Relationship Id="rId2409" Type="http://schemas.openxmlformats.org/officeDocument/2006/relationships/hyperlink" Target="https://www.realtor.com/realestateandhomes-detail/40-Three-Vines-Ct_Ladera-Ranch_CA_92694_M15419-94803" TargetMode="External"/><Relationship Id="rId64" Type="http://schemas.openxmlformats.org/officeDocument/2006/relationships/hyperlink" Target="https://www.realtor.com/realestateandhomes-detail/1101-Bel-Air-Pl_Los-Angeles_CA_90077_M18177-08361" TargetMode="External"/><Relationship Id="rId1218" Type="http://schemas.openxmlformats.org/officeDocument/2006/relationships/hyperlink" Target="https://www.realtor.com/realestateandhomes-detail/2248-Gatewood-St_Los-Angeles_CA_90031_M29102-04925" TargetMode="External"/><Relationship Id="rId1425" Type="http://schemas.openxmlformats.org/officeDocument/2006/relationships/hyperlink" Target="https://www.realtor.com/realestateandhomes-detail/7133-Coldwater-Canyon-Ave-Apt-14_North-Hollywood_CA_91605_M92459-11965" TargetMode="External"/><Relationship Id="rId1632" Type="http://schemas.openxmlformats.org/officeDocument/2006/relationships/hyperlink" Target="https://www.realtor.com/realestateandhomes-detail/4544-Talofa-Ave_Toluca-Lake_CA_91602_M19612-83339" TargetMode="External"/><Relationship Id="rId2199" Type="http://schemas.openxmlformats.org/officeDocument/2006/relationships/hyperlink" Target="https://www.realtor.com/realestateandhomes-detail/247-E-97th-St_Los-Angeles_CA_90003_M20544-10226" TargetMode="External"/><Relationship Id="rId378" Type="http://schemas.openxmlformats.org/officeDocument/2006/relationships/hyperlink" Target="https://www.realtor.com/realestateandhomes-detail/19-Rosana-Way_Coto-De-Caza_CA_92679_M22752-28299" TargetMode="External"/><Relationship Id="rId585" Type="http://schemas.openxmlformats.org/officeDocument/2006/relationships/hyperlink" Target="https://www.realtor.com/realestateandhomes-detail/851-Crenshaw-Blvd_Los-Angeles_CA_90005_M22526-06955" TargetMode="External"/><Relationship Id="rId792" Type="http://schemas.openxmlformats.org/officeDocument/2006/relationships/hyperlink" Target="https://www.realtor.com/realestateandhomes-detail/10947-Carrillo-Ct_Cypress_CA_90720_M93660-95500" TargetMode="External"/><Relationship Id="rId2059" Type="http://schemas.openxmlformats.org/officeDocument/2006/relationships/hyperlink" Target="https://www.realtor.com/realestateandhomes-detail/4812-Saturn-St_Los-Angeles_CA_90019_M23598-72859" TargetMode="External"/><Relationship Id="rId2266" Type="http://schemas.openxmlformats.org/officeDocument/2006/relationships/hyperlink" Target="https://www.realtor.com/realestateandhomes-detail/400-S-Broadway-Apt-924_Los-Angeles_CA_90013_M93956-04384" TargetMode="External"/><Relationship Id="rId2473" Type="http://schemas.openxmlformats.org/officeDocument/2006/relationships/hyperlink" Target="https://www.realtor.com/realestateandhomes-detail/847-S-Canyon-Mist-Ln_Anaheim_CA_92808_M18752-37317" TargetMode="External"/><Relationship Id="rId238" Type="http://schemas.openxmlformats.org/officeDocument/2006/relationships/hyperlink" Target="https://www.realtor.com/realestateandhomes-detail/2375-W-12th-St_Los-Angeles_CA_90006_M19064-06349" TargetMode="External"/><Relationship Id="rId445" Type="http://schemas.openxmlformats.org/officeDocument/2006/relationships/hyperlink" Target="https://www.realtor.com/realestateandhomes-detail/705-Broadway-St_Venice_CA_90291_M18053-49337" TargetMode="External"/><Relationship Id="rId652" Type="http://schemas.openxmlformats.org/officeDocument/2006/relationships/hyperlink" Target="https://www.realtor.com/realestateandhomes-detail/7-Latimer-Rd_Santa-Monica_CA_90402_M27508-75351" TargetMode="External"/><Relationship Id="rId1075" Type="http://schemas.openxmlformats.org/officeDocument/2006/relationships/hyperlink" Target="https://www.realtor.com/realestateandhomes-detail/533-Via-De-La-Paz_Pacific-Palisades_CA_90272_M28057-30818" TargetMode="External"/><Relationship Id="rId1282" Type="http://schemas.openxmlformats.org/officeDocument/2006/relationships/hyperlink" Target="https://www.realtor.com/realestateandhomes-detail/1676-W-24th-St_Los-Angeles_CA_90007_M13062-01079" TargetMode="External"/><Relationship Id="rId2126" Type="http://schemas.openxmlformats.org/officeDocument/2006/relationships/hyperlink" Target="https://www.realtor.com/realestateandhomes-detail/8435-Rincon-Ave_Sun-Valley_CA_91352_M23719-68547" TargetMode="External"/><Relationship Id="rId2333" Type="http://schemas.openxmlformats.org/officeDocument/2006/relationships/hyperlink" Target="https://www.realtor.com/realestateandhomes-detail/759-E-83rd-St_Los-Angeles_CA_90001_M13766-54529" TargetMode="External"/><Relationship Id="rId2540" Type="http://schemas.openxmlformats.org/officeDocument/2006/relationships/hyperlink" Target="https://www.realtor.com/realestateandhomes-detail/11082-Meads_Orange_CA_92869_M16322-53925" TargetMode="External"/><Relationship Id="rId305" Type="http://schemas.openxmlformats.org/officeDocument/2006/relationships/hyperlink" Target="https://www.realtor.com/realestateandhomes-detail/1-Senderos-Cyn_Bel-Air_CA_90077_M91539-43579" TargetMode="External"/><Relationship Id="rId512" Type="http://schemas.openxmlformats.org/officeDocument/2006/relationships/hyperlink" Target="https://www.realtor.com/realestateandhomes-detail/2453-Creston-Way_Los-Angeles_CA_90068_M13614-84142" TargetMode="External"/><Relationship Id="rId1142" Type="http://schemas.openxmlformats.org/officeDocument/2006/relationships/hyperlink" Target="https://www.realtor.com/realestateandhomes-detail/6140-Monterey-Rd-Apt-312_Los-Angeles_CA_90042_M20738-94016" TargetMode="External"/><Relationship Id="rId2400" Type="http://schemas.openxmlformats.org/officeDocument/2006/relationships/hyperlink" Target="https://www.realtor.com/realestateandhomes-detail/715-E-87th-Pl_Los-Angeles_CA_90002_M24912-22252" TargetMode="External"/><Relationship Id="rId1002" Type="http://schemas.openxmlformats.org/officeDocument/2006/relationships/hyperlink" Target="https://www.realtor.com/realestateandhomes-detail/5328-W-62nd-St_Los-Angeles_CA_90056_M11477-77260" TargetMode="External"/><Relationship Id="rId1959" Type="http://schemas.openxmlformats.org/officeDocument/2006/relationships/hyperlink" Target="https://www.realtor.com/realestateandhomes-detail/5335-Fountain-Ave_Los-Angeles_CA_90029_M26634-55747" TargetMode="External"/><Relationship Id="rId1819" Type="http://schemas.openxmlformats.org/officeDocument/2006/relationships/hyperlink" Target="https://www.realtor.com/realestateandhomes-detail/12632-W-Sunset-Blvd_Los-Angeles_CA_90049_M26656-48140" TargetMode="External"/><Relationship Id="rId2190" Type="http://schemas.openxmlformats.org/officeDocument/2006/relationships/hyperlink" Target="https://www.realtor.com/realestateandhomes-detail/1612-E-92nd-St_Los-Angeles_CA_90002_M25344-13480" TargetMode="External"/><Relationship Id="rId162" Type="http://schemas.openxmlformats.org/officeDocument/2006/relationships/hyperlink" Target="https://www.realtor.com/realestateandhomes-detail/923-S-Alma-Ave_Los-Angeles_CA_90023_M21454-55998" TargetMode="External"/><Relationship Id="rId2050" Type="http://schemas.openxmlformats.org/officeDocument/2006/relationships/hyperlink" Target="https://www.realtor.com/realestateandhomes-detail/3320-Stoner-Ave_Los-Angeles_CA_90066_M22208-64596" TargetMode="External"/><Relationship Id="rId979" Type="http://schemas.openxmlformats.org/officeDocument/2006/relationships/hyperlink" Target="https://www.realtor.com/realestateandhomes-detail/7229-Senalda-Rd_Los-Angeles_CA_90068_M11711-66974" TargetMode="External"/><Relationship Id="rId839" Type="http://schemas.openxmlformats.org/officeDocument/2006/relationships/hyperlink" Target="https://www.realtor.com/realestateandhomes-detail/6520-Shirley-Ave-Unit-14_Reseda_CA_91335_M25785-27367" TargetMode="External"/><Relationship Id="rId1469" Type="http://schemas.openxmlformats.org/officeDocument/2006/relationships/hyperlink" Target="https://www.realtor.com/realestateandhomes-detail/14-Ritz-Cove-Dr_Dana-Point_CA_92629_M25856-67021" TargetMode="External"/><Relationship Id="rId1676" Type="http://schemas.openxmlformats.org/officeDocument/2006/relationships/hyperlink" Target="https://www.realtor.com/realestateandhomes-detail/8800-Comanche-Ave_Winnetka_CA_91306_M28610-72669" TargetMode="External"/><Relationship Id="rId1883" Type="http://schemas.openxmlformats.org/officeDocument/2006/relationships/hyperlink" Target="https://www.realtor.com/realestateandhomes-detail/13224-Admiral-Ave-Unit-D_Marina-Del-Rey_CA_90292_M23499-47521" TargetMode="External"/><Relationship Id="rId906" Type="http://schemas.openxmlformats.org/officeDocument/2006/relationships/hyperlink" Target="https://www.realtor.com/realestateandhomes-detail/23267-Cherry-Hl_Mission-Viejo_CA_92692_M98773-85317" TargetMode="External"/><Relationship Id="rId1329" Type="http://schemas.openxmlformats.org/officeDocument/2006/relationships/hyperlink" Target="https://www.realtor.com/realestateandhomes-detail/4790-Montefino-Dr_Cypress_CA_90630_M23179-27672" TargetMode="External"/><Relationship Id="rId1536" Type="http://schemas.openxmlformats.org/officeDocument/2006/relationships/hyperlink" Target="https://www.realtor.com/realestateandhomes-detail/25461-Fallen-Oak_Laguna-Niguel_CA_92677_M11290-90392" TargetMode="External"/><Relationship Id="rId1743" Type="http://schemas.openxmlformats.org/officeDocument/2006/relationships/hyperlink" Target="https://www.realtor.com/realestateandhomes-detail/32-Galleon-St_Marina-Del-Rey_CA_90292_M13312-52016" TargetMode="External"/><Relationship Id="rId1950" Type="http://schemas.openxmlformats.org/officeDocument/2006/relationships/hyperlink" Target="https://www.realtor.com/realestateandhomes-detail/832-S-Plymouth-Blvd_Los-Angeles_CA_90005_M22141-48503" TargetMode="External"/><Relationship Id="rId35" Type="http://schemas.openxmlformats.org/officeDocument/2006/relationships/hyperlink" Target="https://www.realtor.com/realestateandhomes-detail/4881-Vista-Dr_Huntington-Beach_CA_92649_M22473-68721" TargetMode="External"/><Relationship Id="rId1603" Type="http://schemas.openxmlformats.org/officeDocument/2006/relationships/hyperlink" Target="https://www.realtor.com/realestateandhomes-detail/Flora-Morgan-Trl_Tujunga_CA_91042_M94010-71723" TargetMode="External"/><Relationship Id="rId1810" Type="http://schemas.openxmlformats.org/officeDocument/2006/relationships/hyperlink" Target="https://www.realtor.com/realestateandhomes-detail/620-W-42nd-Pl_Los-Angeles_CA_90037_M23119-82974" TargetMode="External"/><Relationship Id="rId489" Type="http://schemas.openxmlformats.org/officeDocument/2006/relationships/hyperlink" Target="https://www.realtor.com/realestateandhomes-detail/6301-Warner-Ave-Spc-88_Huntington-Beach_CA_92647_M11315-23592" TargetMode="External"/><Relationship Id="rId696" Type="http://schemas.openxmlformats.org/officeDocument/2006/relationships/hyperlink" Target="https://www.realtor.com/realestateandhomes-detail/2605-Forest-Park-Dr_Los-Angeles_CA_90032_M94779-68798" TargetMode="External"/><Relationship Id="rId2377" Type="http://schemas.openxmlformats.org/officeDocument/2006/relationships/hyperlink" Target="https://www.realtor.com/realestateandhomes-detail/2061-Pueblo_Tustin_CA_92782_M25723-11292" TargetMode="External"/><Relationship Id="rId349" Type="http://schemas.openxmlformats.org/officeDocument/2006/relationships/hyperlink" Target="https://www.realtor.com/realestateandhomes-detail/539-Tustin-Ave_Newport-Beach_CA_92663_M16732-95100" TargetMode="External"/><Relationship Id="rId556" Type="http://schemas.openxmlformats.org/officeDocument/2006/relationships/hyperlink" Target="https://www.realtor.com/realestateandhomes-detail/25713-Sycamore-Pointe_Lake-Forest_CA_92630_M98504-39863" TargetMode="External"/><Relationship Id="rId763" Type="http://schemas.openxmlformats.org/officeDocument/2006/relationships/hyperlink" Target="https://www.realtor.com/realestateandhomes-detail/13741-Annadale-Dr-M118_Seal-Beach_CA_90740_M93925-03244" TargetMode="External"/><Relationship Id="rId1186" Type="http://schemas.openxmlformats.org/officeDocument/2006/relationships/hyperlink" Target="https://www.realtor.com/realestateandhomes-detail/21081-Paseo-Verdura_Lake-Forest_CA_92630_M15728-64608" TargetMode="External"/><Relationship Id="rId1393" Type="http://schemas.openxmlformats.org/officeDocument/2006/relationships/hyperlink" Target="https://www.realtor.com/realestateandhomes-detail/3398-Floyd-Ter_Los-Angeles_CA_90068_M12475-99422" TargetMode="External"/><Relationship Id="rId2237" Type="http://schemas.openxmlformats.org/officeDocument/2006/relationships/hyperlink" Target="https://www.realtor.com/realestateandhomes-detail/13600-Marina-Pointe-Dr-Unit-1904_Marina-Del-Rey_CA_90292_M19242-58998" TargetMode="External"/><Relationship Id="rId2444" Type="http://schemas.openxmlformats.org/officeDocument/2006/relationships/hyperlink" Target="https://www.realtor.com/realestateandhomes-detail/7901-Rhine-Dr_Huntington-Beach_CA_92647_M29177-31239" TargetMode="External"/><Relationship Id="rId209" Type="http://schemas.openxmlformats.org/officeDocument/2006/relationships/hyperlink" Target="https://www.realtor.com/realestateandhomes-detail/267-Avenida-Lobeiro-Apt-E_San-Clemente_CA_92672_M29888-24508" TargetMode="External"/><Relationship Id="rId416" Type="http://schemas.openxmlformats.org/officeDocument/2006/relationships/hyperlink" Target="https://www.realtor.com/realestateandhomes-detail/5435-W-64th-St_Los-Angeles_CA_90056_M11355-91297" TargetMode="External"/><Relationship Id="rId970" Type="http://schemas.openxmlformats.org/officeDocument/2006/relationships/hyperlink" Target="https://www.realtor.com/realestateandhomes-detail/1212-S-Weymouth-Ave_San-Pedro_CA_90732_M29923-06168" TargetMode="External"/><Relationship Id="rId1046" Type="http://schemas.openxmlformats.org/officeDocument/2006/relationships/hyperlink" Target="https://www.realtor.com/realestateandhomes-detail/16822-Escalon-Dr_Encino_CA_91436_M10288-26298" TargetMode="External"/><Relationship Id="rId1253" Type="http://schemas.openxmlformats.org/officeDocument/2006/relationships/hyperlink" Target="https://www.realtor.com/realestateandhomes-detail/700-W-LA-Veta-Ave-Unit-T4_Orange_CA_92868_M19003-49487" TargetMode="External"/><Relationship Id="rId623" Type="http://schemas.openxmlformats.org/officeDocument/2006/relationships/hyperlink" Target="https://www.realtor.com/realestateandhomes-detail/4333-Vantage-Ave_Studio-City_CA_91604_M10787-14022" TargetMode="External"/><Relationship Id="rId830" Type="http://schemas.openxmlformats.org/officeDocument/2006/relationships/hyperlink" Target="https://www.realtor.com/realestateandhomes-detail/13130-Albers-St_Sherman-Oaks_CA_91401_M24637-51413" TargetMode="External"/><Relationship Id="rId1460" Type="http://schemas.openxmlformats.org/officeDocument/2006/relationships/hyperlink" Target="https://www.realtor.com/realestateandhomes-detail/64-Emerald-Bay_Laguna-Beach_CA_92651_M20512-46289" TargetMode="External"/><Relationship Id="rId2304" Type="http://schemas.openxmlformats.org/officeDocument/2006/relationships/hyperlink" Target="https://www.realtor.com/realestateandhomes-detail/19421-Sierra-Lago-Rd_Irvine_CA_92603_M22630-03970" TargetMode="External"/><Relationship Id="rId2511" Type="http://schemas.openxmlformats.org/officeDocument/2006/relationships/hyperlink" Target="https://www.realtor.com/realestateandhomes-detail/6-Cavaillon_Newport-Coast_CA_92657_M21582-73067" TargetMode="External"/><Relationship Id="rId1113" Type="http://schemas.openxmlformats.org/officeDocument/2006/relationships/hyperlink" Target="https://www.realtor.com/realestateandhomes-detail/2634-N-Beachwood-Dr_Los-Angeles_CA_90068_M15373-00395" TargetMode="External"/><Relationship Id="rId1320" Type="http://schemas.openxmlformats.org/officeDocument/2006/relationships/hyperlink" Target="https://www.realtor.com/realestateandhomes-detail/1631-Interlachen-Rd-M11-264G_Seal-Beach_CA_90740_M94754-02958" TargetMode="External"/><Relationship Id="rId2094" Type="http://schemas.openxmlformats.org/officeDocument/2006/relationships/hyperlink" Target="https://www.realtor.com/realestateandhomes-detail/3135-Minnesota-St_Los-Angeles_CA_90031_M14915-13239" TargetMode="External"/><Relationship Id="rId273" Type="http://schemas.openxmlformats.org/officeDocument/2006/relationships/hyperlink" Target="https://www.realtor.com/realestateandhomes-detail/221-S-Valencia-St-Apt-4_La-Habra_CA_90631_M18237-96741" TargetMode="External"/><Relationship Id="rId480" Type="http://schemas.openxmlformats.org/officeDocument/2006/relationships/hyperlink" Target="https://www.realtor.com/realestateandhomes-detail/6600-Warner-Ave-Unit-162_Huntington-Beach_CA_92647_M20029-79893" TargetMode="External"/><Relationship Id="rId2161" Type="http://schemas.openxmlformats.org/officeDocument/2006/relationships/hyperlink" Target="https://www.realtor.com/realestateandhomes-detail/4388-Fir-Ave_Seal-Beach_CA_90740_M13658-31479" TargetMode="External"/><Relationship Id="rId133" Type="http://schemas.openxmlformats.org/officeDocument/2006/relationships/hyperlink" Target="https://www.realtor.com/realestateandhomes-detail/5433-Shirley-Ave_Tarzana_CA_91356_M16305-44950" TargetMode="External"/><Relationship Id="rId340" Type="http://schemas.openxmlformats.org/officeDocument/2006/relationships/hyperlink" Target="https://www.realtor.com/realestateandhomes-detail/19350-Ward-St-Spc-3_Huntington-Beach_CA_92646_M94552-18089" TargetMode="External"/><Relationship Id="rId2021" Type="http://schemas.openxmlformats.org/officeDocument/2006/relationships/hyperlink" Target="https://www.realtor.com/realestateandhomes-detail/7919-Naomi-Ave_Los-Angeles_CA_90001_M13794-12209" TargetMode="External"/><Relationship Id="rId200" Type="http://schemas.openxmlformats.org/officeDocument/2006/relationships/hyperlink" Target="https://www.realtor.com/realestateandhomes-detail/5572-Saint-Ann-Ave_Cypress_CA_90630_M15936-55855" TargetMode="External"/><Relationship Id="rId1787" Type="http://schemas.openxmlformats.org/officeDocument/2006/relationships/hyperlink" Target="https://www.realtor.com/realestateandhomes-detail/8405-McKinley-Ave_Los-Angeles_CA_90001_M13817-59964" TargetMode="External"/><Relationship Id="rId1994" Type="http://schemas.openxmlformats.org/officeDocument/2006/relationships/hyperlink" Target="https://www.realtor.com/realestateandhomes-detail/1438-E-20th-St_Los-Angeles_CA_90011_M27066-55198" TargetMode="External"/><Relationship Id="rId79" Type="http://schemas.openxmlformats.org/officeDocument/2006/relationships/hyperlink" Target="https://www.realtor.com/realestateandhomes-detail/2104-Lacy-Crossing-Dr_Santa-Ana_CA_92701_M97400-40522" TargetMode="External"/><Relationship Id="rId1647" Type="http://schemas.openxmlformats.org/officeDocument/2006/relationships/hyperlink" Target="https://www.realtor.com/realestateandhomes-detail/417-S-Westmoreland-Ave-Unit-404_Los-Angeles_CA_90020_M16715-37150" TargetMode="External"/><Relationship Id="rId1854" Type="http://schemas.openxmlformats.org/officeDocument/2006/relationships/hyperlink" Target="https://www.realtor.com/realestateandhomes-detail/310-S-Bonnie-Brae-St_Los-Angeles_CA_90057_M29707-96199" TargetMode="External"/><Relationship Id="rId1507" Type="http://schemas.openxmlformats.org/officeDocument/2006/relationships/hyperlink" Target="https://www.realtor.com/realestateandhomes-detail/6-Calle-Rienda_Rancho-Santa-Margarita_CA_92688_M27811-52783" TargetMode="External"/><Relationship Id="rId1714" Type="http://schemas.openxmlformats.org/officeDocument/2006/relationships/hyperlink" Target="https://www.realtor.com/realestateandhomes-detail/1314-Cabrillo-Ave_Venice_CA_90291_M17415-50043" TargetMode="External"/><Relationship Id="rId1921" Type="http://schemas.openxmlformats.org/officeDocument/2006/relationships/hyperlink" Target="https://www.realtor.com/realestateandhomes-detail/3321-W-74th-St_Los-Angeles_CA_90043_M99728-91313" TargetMode="External"/><Relationship Id="rId2488" Type="http://schemas.openxmlformats.org/officeDocument/2006/relationships/hyperlink" Target="https://www.realtor.com/realestateandhomes-detail/18945-Fowler-Ave_Santa-Ana_CA_92705_M93301-28576" TargetMode="External"/><Relationship Id="rId1297" Type="http://schemas.openxmlformats.org/officeDocument/2006/relationships/hyperlink" Target="https://www.realtor.com/realestateandhomes-detail/14851-Jeffrey-Rd-Spc-199_Irvine_CA_92618_M18193-16758" TargetMode="External"/><Relationship Id="rId667" Type="http://schemas.openxmlformats.org/officeDocument/2006/relationships/hyperlink" Target="https://www.realtor.com/realestateandhomes-detail/60-Rotunda_Irvine_CA_92620_M93251-25723" TargetMode="External"/><Relationship Id="rId874" Type="http://schemas.openxmlformats.org/officeDocument/2006/relationships/hyperlink" Target="https://www.realtor.com/realestateandhomes-detail/30802-Coast-Hwy-Spc-M11_Laguna-Beach_CA_92651_M13595-09413" TargetMode="External"/><Relationship Id="rId2348" Type="http://schemas.openxmlformats.org/officeDocument/2006/relationships/hyperlink" Target="https://www.realtor.com/realestateandhomes-detail/1120-W-110th-St_Los-Angeles_CA_90044_M26482-80285" TargetMode="External"/><Relationship Id="rId527" Type="http://schemas.openxmlformats.org/officeDocument/2006/relationships/hyperlink" Target="https://www.realtor.com/realestateandhomes-detail/9506-Hunt-Club-Ln_Chatsworth_CA_91311_M21725-09850" TargetMode="External"/><Relationship Id="rId734" Type="http://schemas.openxmlformats.org/officeDocument/2006/relationships/hyperlink" Target="https://www.realtor.com/realestateandhomes-detail/1614-Viewmont-Dr_Los-Angeles_CA_90069_M29253-98057" TargetMode="External"/><Relationship Id="rId941" Type="http://schemas.openxmlformats.org/officeDocument/2006/relationships/hyperlink" Target="https://www.realtor.com/realestateandhomes-detail/4683-Glenalbyn-Dr_Los-Angeles_CA_90065_M92301-30003" TargetMode="External"/><Relationship Id="rId1157" Type="http://schemas.openxmlformats.org/officeDocument/2006/relationships/hyperlink" Target="https://www.realtor.com/realestateandhomes-detail/1610-Viewmont-Dr_Los-Angeles_CA_90069_M29350-12670" TargetMode="External"/><Relationship Id="rId1364" Type="http://schemas.openxmlformats.org/officeDocument/2006/relationships/hyperlink" Target="https://www.realtor.com/realestateandhomes-detail/7137-Coldwater-Canyon-Ave-Apt-10_North-Hollywood_CA_91605_M15215-34271" TargetMode="External"/><Relationship Id="rId1571" Type="http://schemas.openxmlformats.org/officeDocument/2006/relationships/hyperlink" Target="https://www.realtor.com/realestateandhomes-detail/8720-Wyngate-St_Sunland_CA_91040_M21950-43148" TargetMode="External"/><Relationship Id="rId2208" Type="http://schemas.openxmlformats.org/officeDocument/2006/relationships/hyperlink" Target="https://www.realtor.com/realestateandhomes-detail/3812-E-1st-St_Los-Angeles_CA_90063_M19896-47093" TargetMode="External"/><Relationship Id="rId2415" Type="http://schemas.openxmlformats.org/officeDocument/2006/relationships/hyperlink" Target="https://www.realtor.com/realestateandhomes-detail/2482-Tequestra_Tustin_CA_92782_M14011-88360" TargetMode="External"/><Relationship Id="rId70" Type="http://schemas.openxmlformats.org/officeDocument/2006/relationships/hyperlink" Target="https://www.realtor.com/realestateandhomes-detail/19071-Main-St-Unit-105_Huntington-Beach_CA_92648_M99803-22121" TargetMode="External"/><Relationship Id="rId801" Type="http://schemas.openxmlformats.org/officeDocument/2006/relationships/hyperlink" Target="https://www.realtor.com/realestateandhomes-detail/1314-Palms-Blvd_Venice_CA_90291_M18615-83644" TargetMode="External"/><Relationship Id="rId1017" Type="http://schemas.openxmlformats.org/officeDocument/2006/relationships/hyperlink" Target="https://www.realtor.com/realestateandhomes-detail/2209-Banyan-Dr_Los-Angeles_CA_90049_M16874-80310" TargetMode="External"/><Relationship Id="rId1224" Type="http://schemas.openxmlformats.org/officeDocument/2006/relationships/hyperlink" Target="https://www.realtor.com/realestateandhomes-detail/8744-Burnet-Ave-Unit-14_North-Hills_CA_91343_M10231-90917" TargetMode="External"/><Relationship Id="rId1431" Type="http://schemas.openxmlformats.org/officeDocument/2006/relationships/hyperlink" Target="https://www.realtor.com/realestateandhomes-detail/20800-Campania-Ln_Porter-Ranch_CA_91326_M27266-82080" TargetMode="External"/><Relationship Id="rId177" Type="http://schemas.openxmlformats.org/officeDocument/2006/relationships/hyperlink" Target="https://www.realtor.com/realestateandhomes-detail/4543-Densmore-Ave_Encino_CA_91436_M29001-09707" TargetMode="External"/><Relationship Id="rId384" Type="http://schemas.openxmlformats.org/officeDocument/2006/relationships/hyperlink" Target="https://www.realtor.com/realestateandhomes-detail/12-Pickney-Close_Laguna-Niguel_CA_92677_M91575-28158" TargetMode="External"/><Relationship Id="rId591" Type="http://schemas.openxmlformats.org/officeDocument/2006/relationships/hyperlink" Target="https://www.realtor.com/realestateandhomes-detail/11749-Goshen-Ave-Apt-102_Los-Angeles_CA_90049_M15119-26294" TargetMode="External"/><Relationship Id="rId2065" Type="http://schemas.openxmlformats.org/officeDocument/2006/relationships/hyperlink" Target="https://www.realtor.com/realestateandhomes-detail/8008-Aura-Ave_Reseda_CA_91335_M11490-05813" TargetMode="External"/><Relationship Id="rId2272" Type="http://schemas.openxmlformats.org/officeDocument/2006/relationships/hyperlink" Target="https://www.realtor.com/realestateandhomes-detail/1550-El-Paso-Dr_Los-Angeles_CA_90065_M23925-42494" TargetMode="External"/><Relationship Id="rId244" Type="http://schemas.openxmlformats.org/officeDocument/2006/relationships/hyperlink" Target="https://www.realtor.com/realestateandhomes-detail/1641-Monterey-Rd-Apt-18E_Seal-Beach_CA_90740_M91284-74379" TargetMode="External"/><Relationship Id="rId1081" Type="http://schemas.openxmlformats.org/officeDocument/2006/relationships/hyperlink" Target="https://www.realtor.com/realestateandhomes-detail/6477-Deep-Dell-Pl_Los-Angeles_CA_90068_M22976-67319" TargetMode="External"/><Relationship Id="rId451" Type="http://schemas.openxmlformats.org/officeDocument/2006/relationships/hyperlink" Target="https://www.realtor.com/realestateandhomes-detail/6001-Manton-Ave_Woodland-Hills_CA_91367_M17122-91907" TargetMode="External"/><Relationship Id="rId2132" Type="http://schemas.openxmlformats.org/officeDocument/2006/relationships/hyperlink" Target="https://www.realtor.com/realestateandhomes-detail/13824-Fresh-Meadow-Ln-M3-13G_Seal-Beach_CA_90740_M95795-61846" TargetMode="External"/><Relationship Id="rId104" Type="http://schemas.openxmlformats.org/officeDocument/2006/relationships/hyperlink" Target="https://www.realtor.com/realestateandhomes-detail/11814-Hesby-St_Valley-Village_CA_91607_M27455-19205" TargetMode="External"/><Relationship Id="rId311" Type="http://schemas.openxmlformats.org/officeDocument/2006/relationships/hyperlink" Target="https://www.realtor.com/realestateandhomes-detail/2340-Jupiter-Dr_Los-Angeles_CA_90046_M11548-44491" TargetMode="External"/><Relationship Id="rId1898" Type="http://schemas.openxmlformats.org/officeDocument/2006/relationships/hyperlink" Target="https://www.realtor.com/realestateandhomes-detail/541-Paseo-Miramar_Pacific-Palisades_CA_90272_M28999-39121" TargetMode="External"/><Relationship Id="rId1758" Type="http://schemas.openxmlformats.org/officeDocument/2006/relationships/hyperlink" Target="https://www.realtor.com/realestateandhomes-detail/2385-Roscomare-Rd-Unit-D3_Los-Angeles_CA_90077_M20192-33102" TargetMode="External"/><Relationship Id="rId1965" Type="http://schemas.openxmlformats.org/officeDocument/2006/relationships/hyperlink" Target="https://www.realtor.com/realestateandhomes-detail/914-N-Sacramento-St_Orange_CA_92867_M29106-71529" TargetMode="External"/><Relationship Id="rId1618" Type="http://schemas.openxmlformats.org/officeDocument/2006/relationships/hyperlink" Target="https://www.realtor.com/realestateandhomes-detail/8326-Kirkwood-Dr_Los-Angeles_CA_90046_M29312-86076" TargetMode="External"/><Relationship Id="rId1825" Type="http://schemas.openxmlformats.org/officeDocument/2006/relationships/hyperlink" Target="https://www.realtor.com/realestateandhomes-detail/11968-Brentridge-Dr_Los-Angeles_CA_90049_M11809-17963" TargetMode="External"/><Relationship Id="rId778" Type="http://schemas.openxmlformats.org/officeDocument/2006/relationships/hyperlink" Target="https://www.realtor.com/realestateandhomes-detail/736-Knoll-Lake-Dr-266_Brea_CA_92821_M94131-54380" TargetMode="External"/><Relationship Id="rId985" Type="http://schemas.openxmlformats.org/officeDocument/2006/relationships/hyperlink" Target="https://www.realtor.com/realestateandhomes-detail/14104-W-Chapparel-Ln_Van-Nuys_CA_91405_M12585-97825" TargetMode="External"/><Relationship Id="rId2459" Type="http://schemas.openxmlformats.org/officeDocument/2006/relationships/hyperlink" Target="https://www.realtor.com/realestateandhomes-detail/5612-S-Rimpau-Blvd_Los-Angeles_CA_90043_M19295-59872" TargetMode="External"/><Relationship Id="rId638" Type="http://schemas.openxmlformats.org/officeDocument/2006/relationships/hyperlink" Target="https://www.realtor.com/realestateandhomes-detail/11542-Encino-Ave_Granada-Hills_CA_91344_M16181-53061" TargetMode="External"/><Relationship Id="rId845" Type="http://schemas.openxmlformats.org/officeDocument/2006/relationships/hyperlink" Target="https://www.realtor.com/realestateandhomes-detail/525-S-Ardmore-Ave-Apt-257_Los-Angeles_CA_90020_M22390-27599" TargetMode="External"/><Relationship Id="rId1268" Type="http://schemas.openxmlformats.org/officeDocument/2006/relationships/hyperlink" Target="https://www.realtor.com/realestateandhomes-detail/5215-Emporia-Ave_Los-Angeles_CA_90230_M11768-96482" TargetMode="External"/><Relationship Id="rId1475" Type="http://schemas.openxmlformats.org/officeDocument/2006/relationships/hyperlink" Target="https://www.realtor.com/realestateandhomes-detail/431-S-Susan-St_Santa-Ana_CA_92704_M11427-11078" TargetMode="External"/><Relationship Id="rId1682" Type="http://schemas.openxmlformats.org/officeDocument/2006/relationships/hyperlink" Target="https://www.realtor.com/realestateandhomes-detail/3854-Vineland-Ave_Studio-City_CA_91604_M18805-53477" TargetMode="External"/><Relationship Id="rId2319" Type="http://schemas.openxmlformats.org/officeDocument/2006/relationships/hyperlink" Target="https://www.realtor.com/realestateandhomes-detail/3968-Arlington-Ave_Los-Angeles_CA_90008_M26764-43891" TargetMode="External"/><Relationship Id="rId2526" Type="http://schemas.openxmlformats.org/officeDocument/2006/relationships/hyperlink" Target="https://www.realtor.com/realestateandhomes-detail/1201-Hyde-Park-Dr_Santa-Ana_CA_92705_M28538-55488" TargetMode="External"/><Relationship Id="rId705" Type="http://schemas.openxmlformats.org/officeDocument/2006/relationships/hyperlink" Target="https://www.realtor.com/realestateandhomes-detail/415-E-Vernon-Ave_Los-Angeles_CA_90011_M25145-11999" TargetMode="External"/><Relationship Id="rId1128" Type="http://schemas.openxmlformats.org/officeDocument/2006/relationships/hyperlink" Target="https://www.realtor.com/realestateandhomes-detail/5240-Barker-Dr_Los-Angeles_CA_90042_M97020-79608" TargetMode="External"/><Relationship Id="rId1335" Type="http://schemas.openxmlformats.org/officeDocument/2006/relationships/hyperlink" Target="https://www.realtor.com/realestateandhomes-detail/22736-Schoolcraft-St_West-Hills_CA_91307_M23045-39477" TargetMode="External"/><Relationship Id="rId1542" Type="http://schemas.openxmlformats.org/officeDocument/2006/relationships/hyperlink" Target="https://www.realtor.com/realestateandhomes-detail/663-Longhorn-Way_Rancho-Mission-Viejo_CA_92694_M93859-70692" TargetMode="External"/><Relationship Id="rId912" Type="http://schemas.openxmlformats.org/officeDocument/2006/relationships/hyperlink" Target="https://www.realtor.com/realestateandhomes-detail/21642-Montbury-Dr_Lake-Forest_CA_92630_M17877-40033" TargetMode="External"/><Relationship Id="rId41" Type="http://schemas.openxmlformats.org/officeDocument/2006/relationships/hyperlink" Target="https://www.realtor.com/realestateandhomes-detail/11275-Huston-St_North-Hollywood_CA_91601_M17031-06201" TargetMode="External"/><Relationship Id="rId1402" Type="http://schemas.openxmlformats.org/officeDocument/2006/relationships/hyperlink" Target="https://www.realtor.com/realestateandhomes-detail/5318-Irvington-Pl_Los-Angeles_CA_90042_M12987-02401" TargetMode="External"/><Relationship Id="rId288" Type="http://schemas.openxmlformats.org/officeDocument/2006/relationships/hyperlink" Target="https://www.realtor.com/realestateandhomes-detail/1508-W-Florence-Ave_Los-Angeles_CA_90047_M14918-03693" TargetMode="External"/><Relationship Id="rId495" Type="http://schemas.openxmlformats.org/officeDocument/2006/relationships/hyperlink" Target="https://www.realtor.com/realestateandhomes-detail/66-Eider-Run_Irvine_CA_92618_M97017-15688" TargetMode="External"/><Relationship Id="rId2176" Type="http://schemas.openxmlformats.org/officeDocument/2006/relationships/hyperlink" Target="https://www.realtor.com/realestateandhomes-detail/2525-Ocean-Blvd-Apt-1C_Corona-Del-Mar_CA_92625_M11601-47444" TargetMode="External"/><Relationship Id="rId2383" Type="http://schemas.openxmlformats.org/officeDocument/2006/relationships/hyperlink" Target="https://www.realtor.com/realestateandhomes-detail/12700-Josephine-St_Garden-Grove_CA_92841_M90769-12844" TargetMode="External"/><Relationship Id="rId148" Type="http://schemas.openxmlformats.org/officeDocument/2006/relationships/hyperlink" Target="https://www.realtor.com/realestateandhomes-detail/1568-S-Hayworth-Ave_Los-Angeles_CA_90035_M26653-58144" TargetMode="External"/><Relationship Id="rId355" Type="http://schemas.openxmlformats.org/officeDocument/2006/relationships/hyperlink" Target="https://www.realtor.com/realestateandhomes-detail/1224-S-Wilton-Pl_Los-Angeles_CA_90019_M19646-53018" TargetMode="External"/><Relationship Id="rId562" Type="http://schemas.openxmlformats.org/officeDocument/2006/relationships/hyperlink" Target="https://www.realtor.com/realestateandhomes-detail/21466-Cypresswood_Lake-Forest_CA_92630_M16462-96185" TargetMode="External"/><Relationship Id="rId1192" Type="http://schemas.openxmlformats.org/officeDocument/2006/relationships/hyperlink" Target="https://www.realtor.com/realestateandhomes-detail/2286-Silver-Ridge-Ave_Los-Angeles_CA_90039_M11871-43851" TargetMode="External"/><Relationship Id="rId2036" Type="http://schemas.openxmlformats.org/officeDocument/2006/relationships/hyperlink" Target="https://www.realtor.com/realestateandhomes-detail/2032-W-77th-St_Los-Angeles_CA_90047_M11304-38447" TargetMode="External"/><Relationship Id="rId2243" Type="http://schemas.openxmlformats.org/officeDocument/2006/relationships/hyperlink" Target="https://www.realtor.com/realestateandhomes-detail/7740-Lindley-Ave_Reseda_CA_91335_M19684-46623" TargetMode="External"/><Relationship Id="rId2450" Type="http://schemas.openxmlformats.org/officeDocument/2006/relationships/hyperlink" Target="https://www.realtor.com/realestateandhomes-detail/1774-E-Belmont-Ave_Anaheim_CA_92805_M25713-99239" TargetMode="External"/><Relationship Id="rId215" Type="http://schemas.openxmlformats.org/officeDocument/2006/relationships/hyperlink" Target="https://www.realtor.com/realestateandhomes-detail/8-Evening-Breeze_Irvine_CA_92603_M91844-34168" TargetMode="External"/><Relationship Id="rId422" Type="http://schemas.openxmlformats.org/officeDocument/2006/relationships/hyperlink" Target="https://www.realtor.com/realestateandhomes-detail/1742-Preuss-Rd_Los-Angeles_CA_90035_M18139-46397" TargetMode="External"/><Relationship Id="rId867" Type="http://schemas.openxmlformats.org/officeDocument/2006/relationships/hyperlink" Target="https://www.realtor.com/realestateandhomes-detail/3019-Via-Buena-Vis-Unit-B_Laguna-Woods_CA_92637_M19007-33519" TargetMode="External"/><Relationship Id="rId1052" Type="http://schemas.openxmlformats.org/officeDocument/2006/relationships/hyperlink" Target="https://www.realtor.com/realestateandhomes-detail/11723-Goshen-Ave-Apt-302_Los-Angeles_CA_90049_M26586-64888" TargetMode="External"/><Relationship Id="rId1497" Type="http://schemas.openxmlformats.org/officeDocument/2006/relationships/hyperlink" Target="https://www.realtor.com/realestateandhomes-detail/14-Lawnridge_Trabuco-Canyon_CA_92679_M23452-53054" TargetMode="External"/><Relationship Id="rId2103" Type="http://schemas.openxmlformats.org/officeDocument/2006/relationships/hyperlink" Target="https://www.realtor.com/realestateandhomes-detail/8832-Horner-St_Los-Angeles_CA_90035_M18503-55223" TargetMode="External"/><Relationship Id="rId2310" Type="http://schemas.openxmlformats.org/officeDocument/2006/relationships/hyperlink" Target="https://www.realtor.com/realestateandhomes-detail/16625-Marquez-Ter_Pacific-Palisades_CA_90272_M29553-53577" TargetMode="External"/><Relationship Id="rId2548" Type="http://schemas.openxmlformats.org/officeDocument/2006/relationships/hyperlink" Target="https://www.realtor.com/realestateandhomes-detail/347-Memory-Ln_Santa-Ana_CA_92705_M11365-80173" TargetMode="External"/><Relationship Id="rId727" Type="http://schemas.openxmlformats.org/officeDocument/2006/relationships/hyperlink" Target="https://www.realtor.com/realestateandhomes-detail/2253-Martin-Apt-107_Irvine_CA_92612_M23421-90674" TargetMode="External"/><Relationship Id="rId934" Type="http://schemas.openxmlformats.org/officeDocument/2006/relationships/hyperlink" Target="https://www.realtor.com/realestateandhomes-detail/6250-Hollywood-Blvd-Unit-12F_Los-Angeles_CA_90028_M12981-67654" TargetMode="External"/><Relationship Id="rId1357" Type="http://schemas.openxmlformats.org/officeDocument/2006/relationships/hyperlink" Target="https://www.realtor.com/realestateandhomes-detail/20652-Lassen-St-Spc-114_Chatsworth_CA_91311_M99504-54790" TargetMode="External"/><Relationship Id="rId1564" Type="http://schemas.openxmlformats.org/officeDocument/2006/relationships/hyperlink" Target="https://www.realtor.com/realestateandhomes-detail/100-Draw_Irvine_CA_92618_M96938-24674" TargetMode="External"/><Relationship Id="rId1771" Type="http://schemas.openxmlformats.org/officeDocument/2006/relationships/hyperlink" Target="https://www.realtor.com/realestateandhomes-detail/1415-Anaheim-St_Harbor-City_CA_90710_M16263-31514" TargetMode="External"/><Relationship Id="rId2408" Type="http://schemas.openxmlformats.org/officeDocument/2006/relationships/hyperlink" Target="https://www.realtor.com/realestateandhomes-detail/8181-Holland-Dr_Huntington-Beach_CA_92647_M17067-88959" TargetMode="External"/><Relationship Id="rId63" Type="http://schemas.openxmlformats.org/officeDocument/2006/relationships/hyperlink" Target="https://www.realtor.com/realestateandhomes-detail/620-S-Gramercy-Pl-Apt-229_Los-Angeles_CA_90005_M18215-16305" TargetMode="External"/><Relationship Id="rId1217" Type="http://schemas.openxmlformats.org/officeDocument/2006/relationships/hyperlink" Target="https://www.realtor.com/realestateandhomes-detail/414-Main-St-Unit-300_Huntington-Beach_CA_92648_M91224-23042" TargetMode="External"/><Relationship Id="rId1424" Type="http://schemas.openxmlformats.org/officeDocument/2006/relationships/hyperlink" Target="https://www.realtor.com/realestateandhomes-detail/448-W-Central-Ave_Brea_CA_92821_M97756-37229" TargetMode="External"/><Relationship Id="rId1631" Type="http://schemas.openxmlformats.org/officeDocument/2006/relationships/hyperlink" Target="https://www.realtor.com/realestateandhomes-detail/6741-Lincoln-Ave-Spc-107_Buena-Park_CA_90620_M13010-75407" TargetMode="External"/><Relationship Id="rId1869" Type="http://schemas.openxmlformats.org/officeDocument/2006/relationships/hyperlink" Target="https://www.realtor.com/realestateandhomes-detail/757-Via-De-La-Paz_Pacific-Palisades_CA_90272_M28012-58905" TargetMode="External"/><Relationship Id="rId1729" Type="http://schemas.openxmlformats.org/officeDocument/2006/relationships/hyperlink" Target="https://www.realtor.com/realestateandhomes-detail/750-Via-Santa-Ynez_Pacific-Palisades_CA_90272_M98286-47244" TargetMode="External"/><Relationship Id="rId1936" Type="http://schemas.openxmlformats.org/officeDocument/2006/relationships/hyperlink" Target="https://www.realtor.com/realestateandhomes-detail/717-E-24th-St_Los-Angeles_CA_90011_M28051-49084" TargetMode="External"/><Relationship Id="rId2198" Type="http://schemas.openxmlformats.org/officeDocument/2006/relationships/hyperlink" Target="https://www.realtor.com/realestateandhomes-detail/1200-Canoe-Brook-Dr-Apt-19D_Seal-Beach_CA_90740_M25909-33653" TargetMode="External"/><Relationship Id="rId377" Type="http://schemas.openxmlformats.org/officeDocument/2006/relationships/hyperlink" Target="https://www.realtor.com/realestateandhomes-detail/1585-S-Coast-Hwy-Apt-47_Laguna-Beach_CA_92651_M11641-34899" TargetMode="External"/><Relationship Id="rId584" Type="http://schemas.openxmlformats.org/officeDocument/2006/relationships/hyperlink" Target="https://www.realtor.com/realestateandhomes-detail/861-S-Windsor-Blvd-Apt-103_Los-Angeles_CA_90005_M22358-37281" TargetMode="External"/><Relationship Id="rId2058" Type="http://schemas.openxmlformats.org/officeDocument/2006/relationships/hyperlink" Target="https://www.realtor.com/realestateandhomes-detail/1237-N-Evergreen-Ave_Los-Angeles_CA_90033_M11068-16914" TargetMode="External"/><Relationship Id="rId2265" Type="http://schemas.openxmlformats.org/officeDocument/2006/relationships/hyperlink" Target="https://www.realtor.com/realestateandhomes-detail/1437-Greenfield-Ave_Los-Angeles_CA_90025_M23489-36268" TargetMode="External"/><Relationship Id="rId5" Type="http://schemas.openxmlformats.org/officeDocument/2006/relationships/hyperlink" Target="https://www.realtor.com/realestateandhomes-detail/4626-Berryman-Ave_Culver-City_CA_90230_M11217-05622" TargetMode="External"/><Relationship Id="rId237" Type="http://schemas.openxmlformats.org/officeDocument/2006/relationships/hyperlink" Target="https://www.realtor.com/realestateandhomes-detail/22241-Wyandotte-St_Canoga-Park_CA_91303_M13307-25921" TargetMode="External"/><Relationship Id="rId791" Type="http://schemas.openxmlformats.org/officeDocument/2006/relationships/hyperlink" Target="https://www.realtor.com/realestateandhomes-detail/300-N-Rampart-St-Trlr-79_Orange_CA_92868_M14079-98213" TargetMode="External"/><Relationship Id="rId889" Type="http://schemas.openxmlformats.org/officeDocument/2006/relationships/hyperlink" Target="https://www.realtor.com/realestateandhomes-detail/162-Juniper-Dr_Ladera-Ranch_CA_92694_M96419-54138" TargetMode="External"/><Relationship Id="rId1074" Type="http://schemas.openxmlformats.org/officeDocument/2006/relationships/hyperlink" Target="https://www.realtor.com/realestateandhomes-detail/3-Bode-Dr_Los-Angeles_CA_90069_M93412-29177" TargetMode="External"/><Relationship Id="rId2472" Type="http://schemas.openxmlformats.org/officeDocument/2006/relationships/hyperlink" Target="https://www.realtor.com/realestateandhomes-detail/10972-Furlong-Dr_North-Tustin_CA_92705_M28810-59626" TargetMode="External"/><Relationship Id="rId444" Type="http://schemas.openxmlformats.org/officeDocument/2006/relationships/hyperlink" Target="https://www.realtor.com/realestateandhomes-detail/9921-Tower-Ln_Beverly-Hills_CA_90210_M92472-76570" TargetMode="External"/><Relationship Id="rId651" Type="http://schemas.openxmlformats.org/officeDocument/2006/relationships/hyperlink" Target="https://www.realtor.com/realestateandhomes-detail/10517-Cushdon-Ave_Los-Angeles_CA_90064_M21951-39723" TargetMode="External"/><Relationship Id="rId749" Type="http://schemas.openxmlformats.org/officeDocument/2006/relationships/hyperlink" Target="https://www.realtor.com/realestateandhomes-detail/1420-N-Sacramento-St_Orange_CA_92867_M28890-94548" TargetMode="External"/><Relationship Id="rId1281" Type="http://schemas.openxmlformats.org/officeDocument/2006/relationships/hyperlink" Target="https://www.realtor.com/realestateandhomes-detail/612-Begonia-Ave_Corona-Del-Mar_CA_92625_M21173-31401" TargetMode="External"/><Relationship Id="rId1379" Type="http://schemas.openxmlformats.org/officeDocument/2006/relationships/hyperlink" Target="https://www.realtor.com/realestateandhomes-detail/3124-Goodview-Trl_Los-Angeles_CA_90068_M21483-58370" TargetMode="External"/><Relationship Id="rId1586" Type="http://schemas.openxmlformats.org/officeDocument/2006/relationships/hyperlink" Target="https://www.realtor.com/realestateandhomes-detail/13914-S-Main-St_Los-Angeles_CA_90061_M14304-17912" TargetMode="External"/><Relationship Id="rId2125" Type="http://schemas.openxmlformats.org/officeDocument/2006/relationships/hyperlink" Target="https://www.realtor.com/realestateandhomes-detail/81-Island-Coral_Irvine_CA_92620_M19076-19370" TargetMode="External"/><Relationship Id="rId2332" Type="http://schemas.openxmlformats.org/officeDocument/2006/relationships/hyperlink" Target="https://www.realtor.com/realestateandhomes-detail/443-S-State-St_Los-Angeles_CA_90033_M17064-87408" TargetMode="External"/><Relationship Id="rId304" Type="http://schemas.openxmlformats.org/officeDocument/2006/relationships/hyperlink" Target="https://www.realtor.com/realestateandhomes-detail/1149-Linda-Flora-Dr_Los-Angeles_CA_90049_M17980-59733" TargetMode="External"/><Relationship Id="rId511" Type="http://schemas.openxmlformats.org/officeDocument/2006/relationships/hyperlink" Target="https://www.realtor.com/realestateandhomes-detail/10501-Forbes-Ave_Granada-Hills_CA_91344_M15908-63019" TargetMode="External"/><Relationship Id="rId609" Type="http://schemas.openxmlformats.org/officeDocument/2006/relationships/hyperlink" Target="https://www.realtor.com/realestateandhomes-detail/8790-Appian-Way_Los-Angeles_CA_90046_M93983-50703" TargetMode="External"/><Relationship Id="rId956" Type="http://schemas.openxmlformats.org/officeDocument/2006/relationships/hyperlink" Target="https://www.realtor.com/realestateandhomes-detail/5000-S-Centinela-Ave-Apt-101_Los-Angeles_CA_90066_M12497-88666" TargetMode="External"/><Relationship Id="rId1141" Type="http://schemas.openxmlformats.org/officeDocument/2006/relationships/hyperlink" Target="https://www.realtor.com/realestateandhomes-detail/3924-W-Sunset-Blvd_Los-Angeles_CA_90029_M94644-37704" TargetMode="External"/><Relationship Id="rId1239" Type="http://schemas.openxmlformats.org/officeDocument/2006/relationships/hyperlink" Target="https://www.realtor.com/realestateandhomes-detail/3428-Gardenside-Ln_Los-Angeles_CA_90039_M27481-72607" TargetMode="External"/><Relationship Id="rId1793" Type="http://schemas.openxmlformats.org/officeDocument/2006/relationships/hyperlink" Target="https://www.realtor.com/realestateandhomes-detail/4645-Petit-Ave_Encino_CA_91436_M10402-66942" TargetMode="External"/><Relationship Id="rId85" Type="http://schemas.openxmlformats.org/officeDocument/2006/relationships/hyperlink" Target="https://www.realtor.com/realestateandhomes-detail/3-Via-Burrone_Newport-Coast_CA_92657_M29107-08520" TargetMode="External"/><Relationship Id="rId816" Type="http://schemas.openxmlformats.org/officeDocument/2006/relationships/hyperlink" Target="https://www.realtor.com/realestateandhomes-detail/16654-Kelsloan-St_Van-Nuys_CA_91406_M10217-94407" TargetMode="External"/><Relationship Id="rId1001" Type="http://schemas.openxmlformats.org/officeDocument/2006/relationships/hyperlink" Target="https://www.realtor.com/realestateandhomes-detail/1311-W-Capitol-Dr-Unit-184_San-Pedro_CA_90732_M26529-25229" TargetMode="External"/><Relationship Id="rId1446" Type="http://schemas.openxmlformats.org/officeDocument/2006/relationships/hyperlink" Target="https://www.realtor.com/realestateandhomes-detail/334-S-Walnut-Ave_Brea_CA_92821_M91644-05992" TargetMode="External"/><Relationship Id="rId1653" Type="http://schemas.openxmlformats.org/officeDocument/2006/relationships/hyperlink" Target="https://www.realtor.com/realestateandhomes-detail/6436-Haas-Ave_Los-Angeles_CA_90047_M10041-81434" TargetMode="External"/><Relationship Id="rId1860" Type="http://schemas.openxmlformats.org/officeDocument/2006/relationships/hyperlink" Target="https://www.realtor.com/realestateandhomes-detail/2565-Patricia-Ave_Los-Angeles_CA_90064_M21352-90620" TargetMode="External"/><Relationship Id="rId1306" Type="http://schemas.openxmlformats.org/officeDocument/2006/relationships/hyperlink" Target="https://www.realtor.com/realestateandhomes-detail/11-Silver-Spruce-Ct_Lake-Forest_CA_92630_M26394-78734" TargetMode="External"/><Relationship Id="rId1513" Type="http://schemas.openxmlformats.org/officeDocument/2006/relationships/hyperlink" Target="https://www.realtor.com/realestateandhomes-detail/32-Golden-Eagle_Irvine_CA_92603_M22899-47123" TargetMode="External"/><Relationship Id="rId1720" Type="http://schemas.openxmlformats.org/officeDocument/2006/relationships/hyperlink" Target="https://www.realtor.com/realestateandhomes-detail/1321-Via-Sebastian-Unit-12_San-Pedro_CA_90732_M26942-15894" TargetMode="External"/><Relationship Id="rId1958" Type="http://schemas.openxmlformats.org/officeDocument/2006/relationships/hyperlink" Target="https://www.realtor.com/realestateandhomes-detail/2387-Earls-Ct_Los-Angeles_CA_90077_M20312-32736" TargetMode="External"/><Relationship Id="rId12" Type="http://schemas.openxmlformats.org/officeDocument/2006/relationships/hyperlink" Target="https://www.realtor.com/realestateandhomes-detail/330-E-101st-St_Los-Angeles_CA_90003_M23595-43763" TargetMode="External"/><Relationship Id="rId1818" Type="http://schemas.openxmlformats.org/officeDocument/2006/relationships/hyperlink" Target="https://www.realtor.com/realestateandhomes-detail/8808-Thrasher-Ave_Los-Angeles_CA_90069_M29761-91537" TargetMode="External"/><Relationship Id="rId161" Type="http://schemas.openxmlformats.org/officeDocument/2006/relationships/hyperlink" Target="https://www.realtor.com/realestateandhomes-detail/3305-Primera-Ave_Los-Angeles_CA_90068_M12570-61027" TargetMode="External"/><Relationship Id="rId399" Type="http://schemas.openxmlformats.org/officeDocument/2006/relationships/hyperlink" Target="https://www.realtor.com/realestateandhomes-detail/2741-Inez-Pl_Fullerton_CA_92835_M93318-15925" TargetMode="External"/><Relationship Id="rId2287" Type="http://schemas.openxmlformats.org/officeDocument/2006/relationships/hyperlink" Target="https://www.realtor.com/realestateandhomes-detail/10795-Wilshire-Blvd-Apt-402_Los-Angeles_CA_90024_M18952-08407" TargetMode="External"/><Relationship Id="rId2494" Type="http://schemas.openxmlformats.org/officeDocument/2006/relationships/hyperlink" Target="https://www.realtor.com/realestateandhomes-detail/141-E-Coronado-Ln_Tustin_CA_92780_M14030-30470" TargetMode="External"/><Relationship Id="rId259" Type="http://schemas.openxmlformats.org/officeDocument/2006/relationships/hyperlink" Target="https://www.realtor.com/realestateandhomes-detail/14659-Valley-Vista-Blvd_Sherman-Oaks_CA_91403_M27049-85231" TargetMode="External"/><Relationship Id="rId466" Type="http://schemas.openxmlformats.org/officeDocument/2006/relationships/hyperlink" Target="https://www.realtor.com/realestateandhomes-detail/1000-S-Citrus-Ave_Los-Angeles_CA_90019_M20365-76287" TargetMode="External"/><Relationship Id="rId673" Type="http://schemas.openxmlformats.org/officeDocument/2006/relationships/hyperlink" Target="https://www.realtor.com/realestateandhomes-detail/11813-Woodbine-St_Los-Angeles_CA_90066_M99739-45666" TargetMode="External"/><Relationship Id="rId880" Type="http://schemas.openxmlformats.org/officeDocument/2006/relationships/hyperlink" Target="https://www.realtor.com/realestateandhomes-detail/327-62nd-St_Newport-Beach_CA_92663_M15161-81887" TargetMode="External"/><Relationship Id="rId1096" Type="http://schemas.openxmlformats.org/officeDocument/2006/relationships/hyperlink" Target="https://www.realtor.com/realestateandhomes-detail/4469-Stern-Ave_Sherman-Oaks_CA_91423_M25311-02344" TargetMode="External"/><Relationship Id="rId2147" Type="http://schemas.openxmlformats.org/officeDocument/2006/relationships/hyperlink" Target="https://www.realtor.com/realestateandhomes-detail/2607-Pennsylvania-Ave_Los-Angeles_CA_90033_M29591-52166" TargetMode="External"/><Relationship Id="rId2354" Type="http://schemas.openxmlformats.org/officeDocument/2006/relationships/hyperlink" Target="https://www.realtor.com/realestateandhomes-detail/17735-Kinzie-St_Northridge_CA_91325_M93323-97296" TargetMode="External"/><Relationship Id="rId119" Type="http://schemas.openxmlformats.org/officeDocument/2006/relationships/hyperlink" Target="https://www.realtor.com/realestateandhomes-detail/5519-Shenandoah-Ave_Los-Angeles_CA_90056_M25061-84023" TargetMode="External"/><Relationship Id="rId326" Type="http://schemas.openxmlformats.org/officeDocument/2006/relationships/hyperlink" Target="https://www.realtor.com/realestateandhomes-detail/3305-Hillock-Dr_Los-Angeles_CA_90068_M12743-56368" TargetMode="External"/><Relationship Id="rId533" Type="http://schemas.openxmlformats.org/officeDocument/2006/relationships/hyperlink" Target="https://www.realtor.com/realestateandhomes-detail/11-Shoreview_Newport-Coast_CA_92657_M15114-51802" TargetMode="External"/><Relationship Id="rId978" Type="http://schemas.openxmlformats.org/officeDocument/2006/relationships/hyperlink" Target="https://www.realtor.com/realestateandhomes-detail/1606-S-Orange-Grove-Ave_Los-Angeles_CA_90019_M16708-48327" TargetMode="External"/><Relationship Id="rId1163" Type="http://schemas.openxmlformats.org/officeDocument/2006/relationships/hyperlink" Target="https://www.realtor.com/realestateandhomes-detail/5163-Loleta-Ave_Los-Angeles_CA_90041_M29843-41406" TargetMode="External"/><Relationship Id="rId1370" Type="http://schemas.openxmlformats.org/officeDocument/2006/relationships/hyperlink" Target="https://www.realtor.com/realestateandhomes-detail/5016-Bakman-Ave-Unit-104_North-Hollywood_CA_91601_M18844-93057" TargetMode="External"/><Relationship Id="rId2007" Type="http://schemas.openxmlformats.org/officeDocument/2006/relationships/hyperlink" Target="https://www.realtor.com/realestateandhomes-detail/2237-12-W-Avenue-33_Glassell-Park_CA_90065_M93514-35788" TargetMode="External"/><Relationship Id="rId2214" Type="http://schemas.openxmlformats.org/officeDocument/2006/relationships/hyperlink" Target="https://www.realtor.com/realestateandhomes-detail/129-N-Cabrillo-Ave_San-Pedro_CA_90731_M28452-54759" TargetMode="External"/><Relationship Id="rId740" Type="http://schemas.openxmlformats.org/officeDocument/2006/relationships/hyperlink" Target="https://www.realtor.com/realestateandhomes-detail/3223-Rowena-Ave_Los-Angeles_CA_90027_M90311-94628" TargetMode="External"/><Relationship Id="rId838" Type="http://schemas.openxmlformats.org/officeDocument/2006/relationships/hyperlink" Target="https://www.realtor.com/realestateandhomes-detail/1811-Effie-St_Los-Angeles_CA_90026_M23890-77986" TargetMode="External"/><Relationship Id="rId1023" Type="http://schemas.openxmlformats.org/officeDocument/2006/relationships/hyperlink" Target="https://www.realtor.com/realestateandhomes-detail/9315-Beverly-Crest-Dr_Beverly-Hills_CA_90210_M13232-91626" TargetMode="External"/><Relationship Id="rId1468" Type="http://schemas.openxmlformats.org/officeDocument/2006/relationships/hyperlink" Target="https://www.realtor.com/realestateandhomes-detail/2144-Ronda-Granada-Unit-D_Laguna-Woods_CA_92637_M22462-77492" TargetMode="External"/><Relationship Id="rId1675" Type="http://schemas.openxmlformats.org/officeDocument/2006/relationships/hyperlink" Target="https://www.realtor.com/realestateandhomes-detail/716-S-Boyle-Ave_Los-Angeles_CA_90023_M96006-10967" TargetMode="External"/><Relationship Id="rId1882" Type="http://schemas.openxmlformats.org/officeDocument/2006/relationships/hyperlink" Target="https://www.realtor.com/realestateandhomes-detail/16320-Akron-St_Pacific-Palisades_CA_90272_M29904-20829" TargetMode="External"/><Relationship Id="rId2421" Type="http://schemas.openxmlformats.org/officeDocument/2006/relationships/hyperlink" Target="https://www.realtor.com/realestateandhomes-detail/24001-Muirlands-Blvd-Spc-168_Lake-Forest_CA_92630_M18515-89064" TargetMode="External"/><Relationship Id="rId2519" Type="http://schemas.openxmlformats.org/officeDocument/2006/relationships/hyperlink" Target="https://www.realtor.com/realestateandhomes-detail/3640-S-Bear-St_Santa-Ana_CA_92704_M97554-49140" TargetMode="External"/><Relationship Id="rId600" Type="http://schemas.openxmlformats.org/officeDocument/2006/relationships/hyperlink" Target="https://www.realtor.com/realestateandhomes-detail/1058-Vista-Grande-Dr_Pacific-Palisades_CA_90272_M10374-13208" TargetMode="External"/><Relationship Id="rId1230" Type="http://schemas.openxmlformats.org/officeDocument/2006/relationships/hyperlink" Target="https://www.realtor.com/realestateandhomes-detail/1243-W-98th-St_Los-Angeles_CA_90044_M21763-44390" TargetMode="External"/><Relationship Id="rId1328" Type="http://schemas.openxmlformats.org/officeDocument/2006/relationships/hyperlink" Target="https://www.realtor.com/realestateandhomes-detail/8415-Benjamin-Dr_Huntington-Beach_CA_92647_M14232-60922" TargetMode="External"/><Relationship Id="rId1535" Type="http://schemas.openxmlformats.org/officeDocument/2006/relationships/hyperlink" Target="https://www.realtor.com/realestateandhomes-detail/271-Haverfield_Newport-Beach_CA_92660_M97283-01636" TargetMode="External"/><Relationship Id="rId905" Type="http://schemas.openxmlformats.org/officeDocument/2006/relationships/hyperlink" Target="https://www.realtor.com/realestateandhomes-detail/20-Harbor-Is_Newport-Beach_CA_92660_M18724-44297" TargetMode="External"/><Relationship Id="rId1742" Type="http://schemas.openxmlformats.org/officeDocument/2006/relationships/hyperlink" Target="https://www.realtor.com/realestateandhomes-detail/637-W-11th-St_San-Pedro_CA_90731_M29674-12518" TargetMode="External"/><Relationship Id="rId34" Type="http://schemas.openxmlformats.org/officeDocument/2006/relationships/hyperlink" Target="https://www.realtor.com/realestateandhomes-detail/9595-Lime-Orchard-Rd_Beverly-Hills_CA_90210_M24863-24425" TargetMode="External"/><Relationship Id="rId1602" Type="http://schemas.openxmlformats.org/officeDocument/2006/relationships/hyperlink" Target="https://www.realtor.com/realestateandhomes-detail/3765-Arbolada-Rd_Los-Angeles_CA_90027_M24988-35877" TargetMode="External"/><Relationship Id="rId183" Type="http://schemas.openxmlformats.org/officeDocument/2006/relationships/hyperlink" Target="https://www.realtor.com/realestateandhomes-detail/4107-Punta-Alta-Dr_Los-Angeles_CA_90008_M25596-15161" TargetMode="External"/><Relationship Id="rId390" Type="http://schemas.openxmlformats.org/officeDocument/2006/relationships/hyperlink" Target="https://www.realtor.com/realestateandhomes-detail/6-Midsummer_Newport-Coast_CA_92657_M14444-77442" TargetMode="External"/><Relationship Id="rId1907" Type="http://schemas.openxmlformats.org/officeDocument/2006/relationships/hyperlink" Target="https://www.realtor.com/realestateandhomes-detail/5253-Buffalo-Ave_Sherman-Oaks_CA_91401_M24551-42980" TargetMode="External"/><Relationship Id="rId2071" Type="http://schemas.openxmlformats.org/officeDocument/2006/relationships/hyperlink" Target="https://www.realtor.com/realestateandhomes-detail/8410-Hollywood-Blvd_Los-Angeles_CA_90069_M29005-41673" TargetMode="External"/><Relationship Id="rId250" Type="http://schemas.openxmlformats.org/officeDocument/2006/relationships/hyperlink" Target="https://www.realtor.com/realestateandhomes-detail/1501-LA-Loma-Dr_Santa-Ana_CA_92705_M26886-92830" TargetMode="External"/><Relationship Id="rId488" Type="http://schemas.openxmlformats.org/officeDocument/2006/relationships/hyperlink" Target="https://www.realtor.com/realestateandhomes-detail/13523-Cobblestone-Ln_Westminster_CA_92683_M29003-06522" TargetMode="External"/><Relationship Id="rId695" Type="http://schemas.openxmlformats.org/officeDocument/2006/relationships/hyperlink" Target="https://www.realtor.com/realestateandhomes-detail/4417-Gentry-Ave_Valley-Village_CA_91607_M10114-11730" TargetMode="External"/><Relationship Id="rId2169" Type="http://schemas.openxmlformats.org/officeDocument/2006/relationships/hyperlink" Target="https://www.realtor.com/realestateandhomes-detail/3342-Bradbury-Rd-Unit-20_Los-Alamitos_CA_90720_M12428-62092" TargetMode="External"/><Relationship Id="rId2376" Type="http://schemas.openxmlformats.org/officeDocument/2006/relationships/hyperlink" Target="https://www.realtor.com/realestateandhomes-detail/1725-W-3rd-St-1_Santa-Ana_CA_92703_M22510-00910" TargetMode="External"/><Relationship Id="rId110" Type="http://schemas.openxmlformats.org/officeDocument/2006/relationships/hyperlink" Target="https://www.realtor.com/realestateandhomes-detail/4080-Glencoe-Ave-Unit-311_Marina-Del-Rey_CA_90292_M23080-31774" TargetMode="External"/><Relationship Id="rId348" Type="http://schemas.openxmlformats.org/officeDocument/2006/relationships/hyperlink" Target="https://www.realtor.com/realestateandhomes-detail/1345-Cabrillo-Park-Dr_Santa-Ana_CA_92701_M90962-93814" TargetMode="External"/><Relationship Id="rId555" Type="http://schemas.openxmlformats.org/officeDocument/2006/relationships/hyperlink" Target="https://www.realtor.com/realestateandhomes-detail/2-Agostino_Newport-Coast_CA_92657_M22284-20564" TargetMode="External"/><Relationship Id="rId762" Type="http://schemas.openxmlformats.org/officeDocument/2006/relationships/hyperlink" Target="https://www.realtor.com/realestateandhomes-detail/1215-S-Athena-Way_Anaheim_CA_92806_M21159-35654" TargetMode="External"/><Relationship Id="rId1185" Type="http://schemas.openxmlformats.org/officeDocument/2006/relationships/hyperlink" Target="https://www.realtor.com/realestateandhomes-detail/20-Sidra-Cv_Newport-Coast_CA_92657_M16828-11427" TargetMode="External"/><Relationship Id="rId1392" Type="http://schemas.openxmlformats.org/officeDocument/2006/relationships/hyperlink" Target="https://www.realtor.com/realestateandhomes-detail/19519-Rinaldi-St-Unit-55_Porter-Ranch_CA_91326_M18358-49325" TargetMode="External"/><Relationship Id="rId2029" Type="http://schemas.openxmlformats.org/officeDocument/2006/relationships/hyperlink" Target="https://www.realtor.com/realestateandhomes-detail/4603-Ellenwood-Dr_Los-Angeles_CA_90041_M13641-78662" TargetMode="External"/><Relationship Id="rId2236" Type="http://schemas.openxmlformats.org/officeDocument/2006/relationships/hyperlink" Target="https://www.realtor.com/realestateandhomes-detail/10535-Wilshire-Blvd-Apt-411_Los-Angeles_CA_90024_M14596-84975" TargetMode="External"/><Relationship Id="rId2443" Type="http://schemas.openxmlformats.org/officeDocument/2006/relationships/hyperlink" Target="https://www.realtor.com/realestateandhomes-detail/4900-E-Chapman-Ave-Unit-51_Orange_CA_92869_M14079-48291" TargetMode="External"/><Relationship Id="rId208" Type="http://schemas.openxmlformats.org/officeDocument/2006/relationships/hyperlink" Target="https://www.realtor.com/realestateandhomes-detail/245-Crescent-Bay-Dr_Laguna-Beach_CA_92651_M22739-28913" TargetMode="External"/><Relationship Id="rId415" Type="http://schemas.openxmlformats.org/officeDocument/2006/relationships/hyperlink" Target="https://www.realtor.com/realestateandhomes-detail/2375-W-12th-St_Los-Angeles_CA_90006_M19064-06349" TargetMode="External"/><Relationship Id="rId622" Type="http://schemas.openxmlformats.org/officeDocument/2006/relationships/hyperlink" Target="https://www.realtor.com/realestateandhomes-detail/4333-Vantage-Ave_Studio-City_CA_91604_M10787-14022" TargetMode="External"/><Relationship Id="rId1045" Type="http://schemas.openxmlformats.org/officeDocument/2006/relationships/hyperlink" Target="https://www.realtor.com/realestateandhomes-detail/2331-Outpost-Dr_Los-Angeles_CA_90068_M11784-71098" TargetMode="External"/><Relationship Id="rId1252" Type="http://schemas.openxmlformats.org/officeDocument/2006/relationships/hyperlink" Target="https://www.realtor.com/realestateandhomes-detail/3964-Sumac-Dr_Sherman-Oaks_CA_91403_M26358-56908" TargetMode="External"/><Relationship Id="rId1697" Type="http://schemas.openxmlformats.org/officeDocument/2006/relationships/hyperlink" Target="https://www.realtor.com/realestateandhomes-detail/545-W-36th-St_San-Pedro_CA_90731_M12172-06157" TargetMode="External"/><Relationship Id="rId2303" Type="http://schemas.openxmlformats.org/officeDocument/2006/relationships/hyperlink" Target="https://www.realtor.com/realestateandhomes-detail/20538-W-Deer-Grass-Ct_Porter-Ranch_CA_91326_M99237-67443" TargetMode="External"/><Relationship Id="rId2510" Type="http://schemas.openxmlformats.org/officeDocument/2006/relationships/hyperlink" Target="https://www.realtor.com/realestateandhomes-detail/2018-N-Lake-Mead-Cir_Orange_CA_92867_M24149-59962" TargetMode="External"/><Relationship Id="rId927" Type="http://schemas.openxmlformats.org/officeDocument/2006/relationships/hyperlink" Target="https://www.realtor.com/realestateandhomes-detail/3714-W-Pico-Blvd_Los-Angeles_CA_90019_M26385-09086" TargetMode="External"/><Relationship Id="rId1112" Type="http://schemas.openxmlformats.org/officeDocument/2006/relationships/hyperlink" Target="https://www.realtor.com/realestateandhomes-detail/9969-Westwanda-Dr_Beverly-Hills_CA_90210_M24185-74942" TargetMode="External"/><Relationship Id="rId1557" Type="http://schemas.openxmlformats.org/officeDocument/2006/relationships/hyperlink" Target="https://www.realtor.com/realestateandhomes-detail/28187-LA-Gallina_Laguna-Niguel_CA_92677_M11769-96450" TargetMode="External"/><Relationship Id="rId1764" Type="http://schemas.openxmlformats.org/officeDocument/2006/relationships/hyperlink" Target="https://www.realtor.com/realestateandhomes-detail/3719-Woolwine-Dr_Los-Angeles_CA_90063_M96013-61262" TargetMode="External"/><Relationship Id="rId1971" Type="http://schemas.openxmlformats.org/officeDocument/2006/relationships/hyperlink" Target="https://www.realtor.com/realestateandhomes-detail/735-S-Arizona-Ave_Los-Angeles_CA_90022_M23615-98465" TargetMode="External"/><Relationship Id="rId56" Type="http://schemas.openxmlformats.org/officeDocument/2006/relationships/hyperlink" Target="https://www.realtor.com/realestateandhomes-detail/3900-Pacific-Ave_Marina-Del-Rey_CA_90292_M99397-71771" TargetMode="External"/><Relationship Id="rId1417" Type="http://schemas.openxmlformats.org/officeDocument/2006/relationships/hyperlink" Target="https://www.realtor.com/realestateandhomes-detail/3635-Potosi-Ave_Studio-City_CA_91604_M14850-61859" TargetMode="External"/><Relationship Id="rId1624" Type="http://schemas.openxmlformats.org/officeDocument/2006/relationships/hyperlink" Target="https://www.realtor.com/realestateandhomes-detail/5630-S-Broadway_Los-Angeles_CA_90037_M21989-37485" TargetMode="External"/><Relationship Id="rId1831" Type="http://schemas.openxmlformats.org/officeDocument/2006/relationships/hyperlink" Target="https://www.realtor.com/realestateandhomes-detail/6441-Satsuma-Ave_North-Hollywood_CA_91606_M18352-49921" TargetMode="External"/><Relationship Id="rId1929" Type="http://schemas.openxmlformats.org/officeDocument/2006/relationships/hyperlink" Target="https://www.realtor.com/realestateandhomes-detail/5945-Hesperia-Ave_Encino_CA_91316_M14018-81127" TargetMode="External"/><Relationship Id="rId2093" Type="http://schemas.openxmlformats.org/officeDocument/2006/relationships/hyperlink" Target="https://www.realtor.com/realestateandhomes-detail/24562-Via-Tonada_Lake-Forest_CA_92630_M19742-93341" TargetMode="External"/><Relationship Id="rId2398" Type="http://schemas.openxmlformats.org/officeDocument/2006/relationships/hyperlink" Target="https://www.realtor.com/realestateandhomes-detail/7425-Bradley-Dr_Buena-Park_CA_90620_M25479-21696" TargetMode="External"/><Relationship Id="rId272" Type="http://schemas.openxmlformats.org/officeDocument/2006/relationships/hyperlink" Target="https://www.realtor.com/realestateandhomes-detail/64-Toulon-Ave_Foothill-Ranch_CA_92610_M14583-83633" TargetMode="External"/><Relationship Id="rId577" Type="http://schemas.openxmlformats.org/officeDocument/2006/relationships/hyperlink" Target="https://www.realtor.com/realestateandhomes-detail/4412-Lockwood-Ave_Los-Angeles_CA_90029_M23777-93833" TargetMode="External"/><Relationship Id="rId2160" Type="http://schemas.openxmlformats.org/officeDocument/2006/relationships/hyperlink" Target="https://www.realtor.com/realestateandhomes-detail/1018-N-Wright-St_Santa-Ana_CA_92701_M17790-42547" TargetMode="External"/><Relationship Id="rId2258" Type="http://schemas.openxmlformats.org/officeDocument/2006/relationships/hyperlink" Target="https://www.realtor.com/realestateandhomes-detail/939-White-Knoll-Dr_Los-Angeles_CA_90012_M23019-87478" TargetMode="External"/><Relationship Id="rId132" Type="http://schemas.openxmlformats.org/officeDocument/2006/relationships/hyperlink" Target="https://www.realtor.com/realestateandhomes-detail/15656-Crownridge-Pl_Sherman-Oaks_CA_91403_M15433-71229" TargetMode="External"/><Relationship Id="rId784" Type="http://schemas.openxmlformats.org/officeDocument/2006/relationships/hyperlink" Target="https://www.realtor.com/realestateandhomes-detail/5441-Stardust-Dr_Huntington-Beach_CA_92647_M27204-36841" TargetMode="External"/><Relationship Id="rId991" Type="http://schemas.openxmlformats.org/officeDocument/2006/relationships/hyperlink" Target="https://www.realtor.com/realestateandhomes-detail/10216-Cielo-Dr_Beverly-Hills_CA_90210_M18874-46973" TargetMode="External"/><Relationship Id="rId1067" Type="http://schemas.openxmlformats.org/officeDocument/2006/relationships/hyperlink" Target="https://www.realtor.com/realestateandhomes-detail/1732-S-New-England-St_Los-Angeles_CA_90006_M13280-38922" TargetMode="External"/><Relationship Id="rId2020" Type="http://schemas.openxmlformats.org/officeDocument/2006/relationships/hyperlink" Target="https://www.realtor.com/realestateandhomes-detail/401-E-46th-St_Los-Angeles_CA_90011_M24376-32359" TargetMode="External"/><Relationship Id="rId2465" Type="http://schemas.openxmlformats.org/officeDocument/2006/relationships/hyperlink" Target="https://www.realtor.com/realestateandhomes-detail/9151-Carl-Ln_Garden-Grove_CA_92844_M19299-71540" TargetMode="External"/><Relationship Id="rId437" Type="http://schemas.openxmlformats.org/officeDocument/2006/relationships/hyperlink" Target="https://www.realtor.com/realestateandhomes-detail/2980-Hollyridge-Dr_Los-Angeles_CA_90068_M13439-69149" TargetMode="External"/><Relationship Id="rId644" Type="http://schemas.openxmlformats.org/officeDocument/2006/relationships/hyperlink" Target="https://www.realtor.com/realestateandhomes-detail/11709-Wetherby-Ln_Los-Angeles_CA_90077_M19590-85871" TargetMode="External"/><Relationship Id="rId851" Type="http://schemas.openxmlformats.org/officeDocument/2006/relationships/hyperlink" Target="https://www.realtor.com/realestateandhomes-detail/16037-Gault-St_Van-Nuys_CA_91406_M92119-17229" TargetMode="External"/><Relationship Id="rId1274" Type="http://schemas.openxmlformats.org/officeDocument/2006/relationships/hyperlink" Target="https://www.realtor.com/realestateandhomes-detail/11-Patina-Ln_Ladera-Ranch_CA_92694_M21204-87359" TargetMode="External"/><Relationship Id="rId1481" Type="http://schemas.openxmlformats.org/officeDocument/2006/relationships/hyperlink" Target="https://www.realtor.com/realestateandhomes-detail/249-Chorus_Irvine_CA_92618_M96885-99619" TargetMode="External"/><Relationship Id="rId1579" Type="http://schemas.openxmlformats.org/officeDocument/2006/relationships/hyperlink" Target="https://www.realtor.com/realestateandhomes-detail/338-S-Miraleste-Dr-Unit-265_San-Pedro_CA_90732_M17694-76052" TargetMode="External"/><Relationship Id="rId2118" Type="http://schemas.openxmlformats.org/officeDocument/2006/relationships/hyperlink" Target="https://www.realtor.com/realestateandhomes-detail/9128-Menlo-Ave_Los-Angeles_CA_90044_M24625-27476" TargetMode="External"/><Relationship Id="rId2325" Type="http://schemas.openxmlformats.org/officeDocument/2006/relationships/hyperlink" Target="https://www.realtor.com/realestateandhomes-detail/3517-Ellsworth-St_Los-Angeles_CA_90026_M22087-10824" TargetMode="External"/><Relationship Id="rId2532" Type="http://schemas.openxmlformats.org/officeDocument/2006/relationships/hyperlink" Target="https://www.realtor.com/realestateandhomes-detail/701-N-Fickett-St_Los-Angeles_CA_90033_M19217-73214" TargetMode="External"/><Relationship Id="rId504" Type="http://schemas.openxmlformats.org/officeDocument/2006/relationships/hyperlink" Target="https://www.realtor.com/realestateandhomes-detail/19582-Crestknoll-Dr_Yorba-Linda_CA_92886_M29998-60302" TargetMode="External"/><Relationship Id="rId711" Type="http://schemas.openxmlformats.org/officeDocument/2006/relationships/hyperlink" Target="https://www.realtor.com/realestateandhomes-detail/1441-Homewood-Rd-M5-96D_Seal-Beach_CA_90740_M97210-09510" TargetMode="External"/><Relationship Id="rId949" Type="http://schemas.openxmlformats.org/officeDocument/2006/relationships/hyperlink" Target="https://www.realtor.com/realestateandhomes-detail/5272-Veronica-St_Los-Angeles_CA_90008_M26119-36545" TargetMode="External"/><Relationship Id="rId1134" Type="http://schemas.openxmlformats.org/officeDocument/2006/relationships/hyperlink" Target="https://www.realtor.com/realestateandhomes-detail/1462-E-57th-St_Los-Angeles_CA_90011_M23337-72178" TargetMode="External"/><Relationship Id="rId1341" Type="http://schemas.openxmlformats.org/officeDocument/2006/relationships/hyperlink" Target="https://www.realtor.com/realestateandhomes-detail/11734-Manchester-Way_Porter-Ranch_CA_91326_M96004-68123" TargetMode="External"/><Relationship Id="rId1786" Type="http://schemas.openxmlformats.org/officeDocument/2006/relationships/hyperlink" Target="https://www.realtor.com/realestateandhomes-detail/2163-San-Ysidro-Dr_Beverly-Hills_CA_90210_M24103-76435" TargetMode="External"/><Relationship Id="rId1993" Type="http://schemas.openxmlformats.org/officeDocument/2006/relationships/hyperlink" Target="https://www.realtor.com/realestateandhomes-detail/15155-Sherman-Way-Unit-26_Van-Nuys_CA_91405_M28397-12986" TargetMode="External"/><Relationship Id="rId78" Type="http://schemas.openxmlformats.org/officeDocument/2006/relationships/hyperlink" Target="https://www.realtor.com/realestateandhomes-detail/8116-Laurel-View-Dr_Los-Angeles_CA_90069_M29428-38518" TargetMode="External"/><Relationship Id="rId809" Type="http://schemas.openxmlformats.org/officeDocument/2006/relationships/hyperlink" Target="https://www.realtor.com/realestateandhomes-detail/6904-Radford-Ave-Unit-1_North-Hollywood_CA_91605_M17375-49992" TargetMode="External"/><Relationship Id="rId1201" Type="http://schemas.openxmlformats.org/officeDocument/2006/relationships/hyperlink" Target="https://www.realtor.com/realestateandhomes-detail/4317-Winchester-Ave_Los-Angeles_CA_90032_M20018-96215" TargetMode="External"/><Relationship Id="rId1439" Type="http://schemas.openxmlformats.org/officeDocument/2006/relationships/hyperlink" Target="https://www.realtor.com/realestateandhomes-detail/8222-Pershing-Dr-24_Playa-Del-Rey_CA_90293_M98253-08268" TargetMode="External"/><Relationship Id="rId1646" Type="http://schemas.openxmlformats.org/officeDocument/2006/relationships/hyperlink" Target="https://www.realtor.com/realestateandhomes-detail/5014-Rosewood-Ave_Los-Angeles_CA_90004_M98908-58939" TargetMode="External"/><Relationship Id="rId1853" Type="http://schemas.openxmlformats.org/officeDocument/2006/relationships/hyperlink" Target="https://www.realtor.com/realestateandhomes-detail/637-W-11th-St_San-Pedro_CA_90731_M29674-12518" TargetMode="External"/><Relationship Id="rId1506" Type="http://schemas.openxmlformats.org/officeDocument/2006/relationships/hyperlink" Target="https://www.realtor.com/realestateandhomes-detail/1344-Nolita_Irvine_CA_92612_M91369-18211" TargetMode="External"/><Relationship Id="rId1713" Type="http://schemas.openxmlformats.org/officeDocument/2006/relationships/hyperlink" Target="https://www.realtor.com/realestateandhomes-detail/2745-LA-Cuesta-Dr_Los-Angeles_CA_90046_M11465-71452" TargetMode="External"/><Relationship Id="rId1920" Type="http://schemas.openxmlformats.org/officeDocument/2006/relationships/hyperlink" Target="https://www.realtor.com/realestateandhomes-detail/2301-Nichols-Canyon-Rd_Los-Angeles_CA_90046_M13535-81528" TargetMode="External"/><Relationship Id="rId294" Type="http://schemas.openxmlformats.org/officeDocument/2006/relationships/hyperlink" Target="https://www.realtor.com/realestateandhomes-detail/16864-Calle-Bellevista_Pacific-Palisades_CA_90272_M12360-03416" TargetMode="External"/><Relationship Id="rId2182" Type="http://schemas.openxmlformats.org/officeDocument/2006/relationships/hyperlink" Target="https://www.realtor.com/realestateandhomes-detail/12111-Reagan-St_Los-Alamitos_CA_90720_M19004-82807" TargetMode="External"/><Relationship Id="rId154" Type="http://schemas.openxmlformats.org/officeDocument/2006/relationships/hyperlink" Target="https://www.realtor.com/realestateandhomes-detail/921-N-Benton-Way_Los-Angeles_CA_90026_M22046-11570" TargetMode="External"/><Relationship Id="rId361" Type="http://schemas.openxmlformats.org/officeDocument/2006/relationships/hyperlink" Target="https://www.realtor.com/realestateandhomes-detail/6056-Craner-Ave_North-Hollywood_CA_91606_M18055-11699" TargetMode="External"/><Relationship Id="rId599" Type="http://schemas.openxmlformats.org/officeDocument/2006/relationships/hyperlink" Target="https://www.realtor.com/realestateandhomes-detail/2510-3rd-Ave_Los-Angeles_CA_90018_M14122-97218" TargetMode="External"/><Relationship Id="rId2042" Type="http://schemas.openxmlformats.org/officeDocument/2006/relationships/hyperlink" Target="https://www.realtor.com/realestateandhomes-detail/361-N-Mansfield-Ave_Los-Angeles_CA_90036_M22448-47416" TargetMode="External"/><Relationship Id="rId2487" Type="http://schemas.openxmlformats.org/officeDocument/2006/relationships/hyperlink" Target="https://www.realtor.com/realestateandhomes-detail/18945-Fowler-Ave_Santa-Ana_CA_92705_M93301-28576" TargetMode="External"/><Relationship Id="rId459" Type="http://schemas.openxmlformats.org/officeDocument/2006/relationships/hyperlink" Target="https://www.realtor.com/realestateandhomes-detail/16015-Jeanne-Ln_Encino_CA_91436_M11800-88758" TargetMode="External"/><Relationship Id="rId666" Type="http://schemas.openxmlformats.org/officeDocument/2006/relationships/hyperlink" Target="https://www.realtor.com/realestateandhomes-detail/900-S-Longwood-Ave_Los-Angeles_CA_90019_M21617-89854" TargetMode="External"/><Relationship Id="rId873" Type="http://schemas.openxmlformats.org/officeDocument/2006/relationships/hyperlink" Target="https://www.realtor.com/realestateandhomes-detail/240-Moss-St-Apt-2_Laguna-Beach_CA_92651_M11956-24621" TargetMode="External"/><Relationship Id="rId1089" Type="http://schemas.openxmlformats.org/officeDocument/2006/relationships/hyperlink" Target="https://www.realtor.com/realestateandhomes-detail/8400-Mulholland-Dr_Los-Angeles_CA_90046_M10873-55869" TargetMode="External"/><Relationship Id="rId1296" Type="http://schemas.openxmlformats.org/officeDocument/2006/relationships/hyperlink" Target="https://www.realtor.com/realestateandhomes-detail/3815-Paloma-St_Los-Angeles_CA_90011_M25300-14631" TargetMode="External"/><Relationship Id="rId2347" Type="http://schemas.openxmlformats.org/officeDocument/2006/relationships/hyperlink" Target="https://www.realtor.com/realestateandhomes-detail/10345-Oso-Ave_Chatsworth_CA_91311_M19769-75449" TargetMode="External"/><Relationship Id="rId221" Type="http://schemas.openxmlformats.org/officeDocument/2006/relationships/hyperlink" Target="https://www.realtor.com/realestateandhomes-detail/706-W-50th-St_Los-Angeles_CA_90037_M23272-24745" TargetMode="External"/><Relationship Id="rId319" Type="http://schemas.openxmlformats.org/officeDocument/2006/relationships/hyperlink" Target="https://www.realtor.com/realestateandhomes-detail/8261-Rees-St_Playa-Del-Rey_CA_90293_M17639-32354" TargetMode="External"/><Relationship Id="rId526" Type="http://schemas.openxmlformats.org/officeDocument/2006/relationships/hyperlink" Target="https://www.realtor.com/realestateandhomes-detail/2608-Carman-Crest-Dr_Los-Angeles_CA_90068_M11697-50868" TargetMode="External"/><Relationship Id="rId1156" Type="http://schemas.openxmlformats.org/officeDocument/2006/relationships/hyperlink" Target="https://www.realtor.com/realestateandhomes-detail/137-Smallwheel_Irvine_CA_92618_M14017-65872" TargetMode="External"/><Relationship Id="rId1363" Type="http://schemas.openxmlformats.org/officeDocument/2006/relationships/hyperlink" Target="https://www.realtor.com/realestateandhomes-detail/22232-Alizondo-Dr_Woodland-Hills_CA_91364_M19035-17979" TargetMode="External"/><Relationship Id="rId2207" Type="http://schemas.openxmlformats.org/officeDocument/2006/relationships/hyperlink" Target="https://www.realtor.com/realestateandhomes-detail/149-W-Colden-Ave_Los-Angeles_CA_90003_M21356-87247" TargetMode="External"/><Relationship Id="rId733" Type="http://schemas.openxmlformats.org/officeDocument/2006/relationships/hyperlink" Target="https://www.realtor.com/realestateandhomes-detail/13744-Bessemer-St_Valley-Glen_CA_91401_M15075-93233" TargetMode="External"/><Relationship Id="rId940" Type="http://schemas.openxmlformats.org/officeDocument/2006/relationships/hyperlink" Target="https://www.realtor.com/realestateandhomes-detail/6429-Colgate-Ave_Los-Angeles_CA_90048_M19260-74544" TargetMode="External"/><Relationship Id="rId1016" Type="http://schemas.openxmlformats.org/officeDocument/2006/relationships/hyperlink" Target="https://www.realtor.com/realestateandhomes-detail/10570-Lindbrook-Dr_Los-Angeles_CA_90024_M14211-51991" TargetMode="External"/><Relationship Id="rId1570" Type="http://schemas.openxmlformats.org/officeDocument/2006/relationships/hyperlink" Target="https://www.realtor.com/realestateandhomes-detail/3205-Via-Buena-Vis-Unit-D_Laguna-Woods_CA_92637_M21481-36118" TargetMode="External"/><Relationship Id="rId1668" Type="http://schemas.openxmlformats.org/officeDocument/2006/relationships/hyperlink" Target="https://www.realtor.com/realestateandhomes-detail/2166-Beachwood-Ter_Los-Angeles_CA_90068_M13713-59617" TargetMode="External"/><Relationship Id="rId1875" Type="http://schemas.openxmlformats.org/officeDocument/2006/relationships/hyperlink" Target="https://www.realtor.com/realestateandhomes-detail/2204-W-26th-Pl_Los-Angeles_CA_90018_M11654-41225" TargetMode="External"/><Relationship Id="rId2414" Type="http://schemas.openxmlformats.org/officeDocument/2006/relationships/hyperlink" Target="https://www.realtor.com/realestateandhomes-detail/26982-Safiro_Mission-Viejo_CA_92691_M10301-63836" TargetMode="External"/><Relationship Id="rId800" Type="http://schemas.openxmlformats.org/officeDocument/2006/relationships/hyperlink" Target="https://www.realtor.com/realestateandhomes-detail/4034-San-Rafael-Ave_Los-Angeles_CA_90065_M11952-53090" TargetMode="External"/><Relationship Id="rId1223" Type="http://schemas.openxmlformats.org/officeDocument/2006/relationships/hyperlink" Target="https://www.realtor.com/realestateandhomes-detail/1550-El-Paso-Dr_Los-Angeles_CA_90065_M23925-42494" TargetMode="External"/><Relationship Id="rId1430" Type="http://schemas.openxmlformats.org/officeDocument/2006/relationships/hyperlink" Target="https://www.realtor.com/realestateandhomes-detail/5525-Carpenter-Ave_Valley-Village_CA_91607_M26375-97035" TargetMode="External"/><Relationship Id="rId1528" Type="http://schemas.openxmlformats.org/officeDocument/2006/relationships/hyperlink" Target="https://www.realtor.com/realestateandhomes-detail/10-Old-Ranch-Rd_Laguna-Niguel_CA_92677_M27591-02717" TargetMode="External"/><Relationship Id="rId1735" Type="http://schemas.openxmlformats.org/officeDocument/2006/relationships/hyperlink" Target="https://www.realtor.com/realestateandhomes-detail/6110-De-Longpre-Ave_Los-Angeles_CA_90028_M26918-52395" TargetMode="External"/><Relationship Id="rId1942" Type="http://schemas.openxmlformats.org/officeDocument/2006/relationships/hyperlink" Target="https://www.realtor.com/realestateandhomes-detail/1600-Viewmont-Dr_Los-Angeles_CA_90069_M29594-96395" TargetMode="External"/><Relationship Id="rId27" Type="http://schemas.openxmlformats.org/officeDocument/2006/relationships/hyperlink" Target="https://www.realtor.com/realestateandhomes-detail/12635-Main-St-Apt-201_Garden-Grove_CA_92840_M14263-75337" TargetMode="External"/><Relationship Id="rId1802" Type="http://schemas.openxmlformats.org/officeDocument/2006/relationships/hyperlink" Target="https://www.realtor.com/realestateandhomes-detail/1661-Arlington-Ave_Los-Angeles_CA_90019_M18158-87375" TargetMode="External"/><Relationship Id="rId176" Type="http://schemas.openxmlformats.org/officeDocument/2006/relationships/hyperlink" Target="https://www.realtor.com/realestateandhomes-detail/904-S-New-Hampshire-Ave-Apt-507_Los-Angeles_CA_90006_M99960-37507" TargetMode="External"/><Relationship Id="rId383" Type="http://schemas.openxmlformats.org/officeDocument/2006/relationships/hyperlink" Target="https://www.realtor.com/realestateandhomes-detail/22-Ridge-Vly_Irvine_CA_92618_M28239-82569" TargetMode="External"/><Relationship Id="rId590" Type="http://schemas.openxmlformats.org/officeDocument/2006/relationships/hyperlink" Target="https://www.realtor.com/realestateandhomes-detail/3451-E-14th-St_Los-Angeles_CA_90023_M95236-60036" TargetMode="External"/><Relationship Id="rId2064" Type="http://schemas.openxmlformats.org/officeDocument/2006/relationships/hyperlink" Target="https://www.realtor.com/realestateandhomes-detail/3878-E-1st-St_Los-Angeles_CA_90063_M20390-24467" TargetMode="External"/><Relationship Id="rId2271" Type="http://schemas.openxmlformats.org/officeDocument/2006/relationships/hyperlink" Target="https://www.realtor.com/realestateandhomes-detail/9715-9717-Wilmington-Ave_Los-Angeles_CA_90002_M91045-62231" TargetMode="External"/><Relationship Id="rId243" Type="http://schemas.openxmlformats.org/officeDocument/2006/relationships/hyperlink" Target="https://www.realtor.com/realestateandhomes-detail/12000-Crest-Ct_Beverly-Hills_CA_90210_M14066-91582" TargetMode="External"/><Relationship Id="rId450" Type="http://schemas.openxmlformats.org/officeDocument/2006/relationships/hyperlink" Target="https://www.realtor.com/realestateandhomes-detail/1531-Camden-Ave-Apt-106_Los-Angeles_CA_90025_M23690-22611" TargetMode="External"/><Relationship Id="rId688" Type="http://schemas.openxmlformats.org/officeDocument/2006/relationships/hyperlink" Target="https://www.realtor.com/realestateandhomes-detail/12047-Summit-Cir_Beverly-Hills_CA_90210_M13954-00002" TargetMode="External"/><Relationship Id="rId895" Type="http://schemas.openxmlformats.org/officeDocument/2006/relationships/hyperlink" Target="https://www.realtor.com/realestateandhomes-detail/1-Baycrest-Pl_Dana-Point_CA_92629_M11725-34258" TargetMode="External"/><Relationship Id="rId1080" Type="http://schemas.openxmlformats.org/officeDocument/2006/relationships/hyperlink" Target="https://www.realtor.com/realestateandhomes-detail/6361-Orange-St_Los-Angeles_CA_90048_M18794-92115" TargetMode="External"/><Relationship Id="rId2131" Type="http://schemas.openxmlformats.org/officeDocument/2006/relationships/hyperlink" Target="https://www.realtor.com/realestateandhomes-detail/629-Traction-Ave-Apt-103_Los-Angeles_CA_90013_M15709-41635" TargetMode="External"/><Relationship Id="rId2369" Type="http://schemas.openxmlformats.org/officeDocument/2006/relationships/hyperlink" Target="https://www.realtor.com/realestateandhomes-detail/5400-Newcastle-Ave-Apt-12_Encino_CA_91316_M15456-90399" TargetMode="External"/><Relationship Id="rId103" Type="http://schemas.openxmlformats.org/officeDocument/2006/relationships/hyperlink" Target="https://www.realtor.com/realestateandhomes-detail/16560-Park-Lane-Cir_Los-Angeles_CA_90049_M16854-30683" TargetMode="External"/><Relationship Id="rId310" Type="http://schemas.openxmlformats.org/officeDocument/2006/relationships/hyperlink" Target="https://www.realtor.com/realestateandhomes-detail/7464-Hillside-Ave_Los-Angeles_CA_90046_M11818-25033" TargetMode="External"/><Relationship Id="rId548" Type="http://schemas.openxmlformats.org/officeDocument/2006/relationships/hyperlink" Target="https://www.realtor.com/realestateandhomes-detail/Bonnie-Beach-Pl_Los-Angeles_CA_90063_M99438-60275" TargetMode="External"/><Relationship Id="rId755" Type="http://schemas.openxmlformats.org/officeDocument/2006/relationships/hyperlink" Target="https://www.realtor.com/realestateandhomes-detail/308-Grand-Canal_Newport-Beach_CA_92662_M19698-03299" TargetMode="External"/><Relationship Id="rId962" Type="http://schemas.openxmlformats.org/officeDocument/2006/relationships/hyperlink" Target="https://www.realtor.com/realestateandhomes-detail/9577-Lime-Orchard-Rd_Beverly-Hills_CA_90210_M24912-80795" TargetMode="External"/><Relationship Id="rId1178" Type="http://schemas.openxmlformats.org/officeDocument/2006/relationships/hyperlink" Target="https://www.realtor.com/realestateandhomes-detail/1921-Saint-John-Rd-Apt-35A_Seal-Beach_CA_90740_M98608-17438" TargetMode="External"/><Relationship Id="rId1385" Type="http://schemas.openxmlformats.org/officeDocument/2006/relationships/hyperlink" Target="https://www.realtor.com/realestateandhomes-detail/9054-Willis-Ave-Unit-28_Panorama-City_CA_91402_M29570-81109" TargetMode="External"/><Relationship Id="rId1592" Type="http://schemas.openxmlformats.org/officeDocument/2006/relationships/hyperlink" Target="https://www.realtor.com/realestateandhomes-detail/12925-El-Dorado-Ave_Sylmar_CA_91342_M91223-80878" TargetMode="External"/><Relationship Id="rId2229" Type="http://schemas.openxmlformats.org/officeDocument/2006/relationships/hyperlink" Target="https://www.realtor.com/realestateandhomes-detail/12555-Euclid-St-Apt-34_Garden-Grove_CA_92840_M14340-52121" TargetMode="External"/><Relationship Id="rId2436" Type="http://schemas.openxmlformats.org/officeDocument/2006/relationships/hyperlink" Target="https://www.realtor.com/realestateandhomes-detail/1053-S-Oxford-Ave_Los-Angeles_CA_90006_M19301-07489" TargetMode="External"/><Relationship Id="rId91" Type="http://schemas.openxmlformats.org/officeDocument/2006/relationships/hyperlink" Target="https://www.realtor.com/realestateandhomes-detail/8741-St-Ives-Dr_Los-Angeles_CA_90069_M10196-80917" TargetMode="External"/><Relationship Id="rId408" Type="http://schemas.openxmlformats.org/officeDocument/2006/relationships/hyperlink" Target="https://www.realtor.com/realestateandhomes-detail/5667-Aladdin-St_Los-Angeles_CA_90008_M25978-50018" TargetMode="External"/><Relationship Id="rId615" Type="http://schemas.openxmlformats.org/officeDocument/2006/relationships/hyperlink" Target="https://www.realtor.com/realestateandhomes-detail/1868-N-Doheny-Dr_Los-Angeles_CA_90069_M94107-08586" TargetMode="External"/><Relationship Id="rId822" Type="http://schemas.openxmlformats.org/officeDocument/2006/relationships/hyperlink" Target="https://www.realtor.com/realestateandhomes-detail/15926-Morrison-St_Encino_CA_91436_M22327-88475" TargetMode="External"/><Relationship Id="rId1038" Type="http://schemas.openxmlformats.org/officeDocument/2006/relationships/hyperlink" Target="https://www.realtor.com/realestateandhomes-detail/324-S-Medio-Dr_Los-Angeles_CA_90049_M26691-51139" TargetMode="External"/><Relationship Id="rId1245" Type="http://schemas.openxmlformats.org/officeDocument/2006/relationships/hyperlink" Target="https://www.realtor.com/realestateandhomes-detail/3552-Ivy-Way_Ladera-Ranch_CA_92694_M99567-22209" TargetMode="External"/><Relationship Id="rId1452" Type="http://schemas.openxmlformats.org/officeDocument/2006/relationships/hyperlink" Target="https://www.realtor.com/realestateandhomes-detail/1822-Bridge-St_Los-Angeles_CA_90033_M10217-38768" TargetMode="External"/><Relationship Id="rId1897" Type="http://schemas.openxmlformats.org/officeDocument/2006/relationships/hyperlink" Target="https://www.realtor.com/realestateandhomes-detail/1765-E-113th-St_Los-Angeles_CA_90059_M25925-30435" TargetMode="External"/><Relationship Id="rId2503" Type="http://schemas.openxmlformats.org/officeDocument/2006/relationships/hyperlink" Target="https://www.realtor.com/realestateandhomes-detail/17215-Buttonwood-St_Fountain-Valley_CA_92708_M14674-67076" TargetMode="External"/><Relationship Id="rId1105" Type="http://schemas.openxmlformats.org/officeDocument/2006/relationships/hyperlink" Target="https://www.realtor.com/realestateandhomes-detail/6617-S-Normandie-Ave_Los-Angeles_CA_90044_M90330-26803" TargetMode="External"/><Relationship Id="rId1312" Type="http://schemas.openxmlformats.org/officeDocument/2006/relationships/hyperlink" Target="https://www.realtor.com/realestateandhomes-detail/182-S-Virgil-Ave_Los-Angeles_CA_90004_M17350-64452" TargetMode="External"/><Relationship Id="rId1757" Type="http://schemas.openxmlformats.org/officeDocument/2006/relationships/hyperlink" Target="https://www.realtor.com/realestateandhomes-detail/1072-Amalfi-Dr_Pacific-Palisades_CA_90272_M10861-94327" TargetMode="External"/><Relationship Id="rId1964" Type="http://schemas.openxmlformats.org/officeDocument/2006/relationships/hyperlink" Target="https://www.realtor.com/realestateandhomes-detail/101-Ocean-Ave-Unit-F402_Santa-Monica_CA_90402_M24979-15601" TargetMode="External"/><Relationship Id="rId49" Type="http://schemas.openxmlformats.org/officeDocument/2006/relationships/hyperlink" Target="https://www.realtor.com/realestateandhomes-detail/3-Island-Vis_Newport-Coast_CA_92657_M29796-53478" TargetMode="External"/><Relationship Id="rId1617" Type="http://schemas.openxmlformats.org/officeDocument/2006/relationships/hyperlink" Target="https://www.realtor.com/realestateandhomes-detail/2215-Norwalk-Ave_Los-Angeles_CA_90041_M13114-24609" TargetMode="External"/><Relationship Id="rId1824" Type="http://schemas.openxmlformats.org/officeDocument/2006/relationships/hyperlink" Target="https://www.realtor.com/realestateandhomes-detail/1643-265th-St_Harbor-City_CA_90710_M17475-11891" TargetMode="External"/><Relationship Id="rId198" Type="http://schemas.openxmlformats.org/officeDocument/2006/relationships/hyperlink" Target="https://www.realtor.com/realestateandhomes-detail/645-S-Trident-St_Anaheim_CA_92804_M16284-78693" TargetMode="External"/><Relationship Id="rId2086" Type="http://schemas.openxmlformats.org/officeDocument/2006/relationships/hyperlink" Target="https://www.realtor.com/realestateandhomes-detail/1555-W-Vernon-Ave_Los-Angeles_CA_90062_M24216-56643" TargetMode="External"/><Relationship Id="rId2293" Type="http://schemas.openxmlformats.org/officeDocument/2006/relationships/hyperlink" Target="https://www.realtor.com/realestateandhomes-detail/218-Keeper_Irvine_CA_92618_M90068-38809" TargetMode="External"/><Relationship Id="rId265" Type="http://schemas.openxmlformats.org/officeDocument/2006/relationships/hyperlink" Target="https://www.realtor.com/realestateandhomes-detail/947-W-81st-St_Los-Angeles_CA_90044_M14488-75926" TargetMode="External"/><Relationship Id="rId472" Type="http://schemas.openxmlformats.org/officeDocument/2006/relationships/hyperlink" Target="https://www.realtor.com/realestateandhomes-detail/2234-Midvale-Ave_Los-Angeles_CA_90064_M23162-54036" TargetMode="External"/><Relationship Id="rId2153" Type="http://schemas.openxmlformats.org/officeDocument/2006/relationships/hyperlink" Target="https://www.realtor.com/realestateandhomes-detail/5142-Hamer-Ln_Placentia_CA_92870_M23145-02354" TargetMode="External"/><Relationship Id="rId2360" Type="http://schemas.openxmlformats.org/officeDocument/2006/relationships/hyperlink" Target="https://www.realtor.com/realestateandhomes-detail/11419-Acala-Ave_San-Fernando_CA_91340_M18228-54884" TargetMode="External"/><Relationship Id="rId125" Type="http://schemas.openxmlformats.org/officeDocument/2006/relationships/hyperlink" Target="https://www.realtor.com/realestateandhomes-detail/6641-E-Canyon-Hills-Rd_Anaheim_CA_92807_M18564-55282" TargetMode="External"/><Relationship Id="rId332" Type="http://schemas.openxmlformats.org/officeDocument/2006/relationships/hyperlink" Target="https://www.realtor.com/realestateandhomes-detail/14206-Calvert-St_Van-Nuys_CA_91401_M21100-03583" TargetMode="External"/><Relationship Id="rId777" Type="http://schemas.openxmlformats.org/officeDocument/2006/relationships/hyperlink" Target="https://www.realtor.com/realestateandhomes-detail/15300-Magnolia-St-Spc-82_Westminster_CA_92683_M23563-94681" TargetMode="External"/><Relationship Id="rId984" Type="http://schemas.openxmlformats.org/officeDocument/2006/relationships/hyperlink" Target="https://www.realtor.com/realestateandhomes-detail/15-Reef-St_Marina-Del-Rey_CA_90292_M16156-91583" TargetMode="External"/><Relationship Id="rId2013" Type="http://schemas.openxmlformats.org/officeDocument/2006/relationships/hyperlink" Target="https://www.realtor.com/realestateandhomes-detail/4616-Hammel-St_Los-Angeles_CA_90022_M20978-30124" TargetMode="External"/><Relationship Id="rId2220" Type="http://schemas.openxmlformats.org/officeDocument/2006/relationships/hyperlink" Target="https://www.realtor.com/realestateandhomes-detail/2500-Fairmount-St_Los-Angeles_CA_90033_M11147-91826" TargetMode="External"/><Relationship Id="rId2458" Type="http://schemas.openxmlformats.org/officeDocument/2006/relationships/hyperlink" Target="https://www.realtor.com/realestateandhomes-detail/23964-Old-Pomegranate-Rd_Yorba-Linda_CA_92887_M16238-04003" TargetMode="External"/><Relationship Id="rId637" Type="http://schemas.openxmlformats.org/officeDocument/2006/relationships/hyperlink" Target="https://www.realtor.com/realestateandhomes-detail/10550-Western-Ave-Spc-86_Stanton_CA_90680_M22613-42287" TargetMode="External"/><Relationship Id="rId844" Type="http://schemas.openxmlformats.org/officeDocument/2006/relationships/hyperlink" Target="https://www.realtor.com/realestateandhomes-detail/5460-White-Oak-Ave-Unit-F303_Encino_CA_91316_M20350-92650" TargetMode="External"/><Relationship Id="rId1267" Type="http://schemas.openxmlformats.org/officeDocument/2006/relationships/hyperlink" Target="https://www.realtor.com/realestateandhomes-detail/11-Thunder-Trl-Unit-6_Irvine_CA_92614_M23514-27581" TargetMode="External"/><Relationship Id="rId1474" Type="http://schemas.openxmlformats.org/officeDocument/2006/relationships/hyperlink" Target="https://www.realtor.com/realestateandhomes-detail/188-Merit_Irvine_CA_92618_M90566-36152" TargetMode="External"/><Relationship Id="rId1681" Type="http://schemas.openxmlformats.org/officeDocument/2006/relationships/hyperlink" Target="https://www.realtor.com/realestateandhomes-detail/716-New-Depot-St-Apt-C_Los-Angeles_CA_90012_M24052-98362" TargetMode="External"/><Relationship Id="rId2318" Type="http://schemas.openxmlformats.org/officeDocument/2006/relationships/hyperlink" Target="https://www.realtor.com/realestateandhomes-detail/4760-Templeton-St-Apt-3226_Los-Angeles_CA_90032_M15385-80124" TargetMode="External"/><Relationship Id="rId2525" Type="http://schemas.openxmlformats.org/officeDocument/2006/relationships/hyperlink" Target="https://www.realtor.com/realestateandhomes-detail/213-Appalachian-Cir_Placentia_CA_92870_M18481-19083" TargetMode="External"/><Relationship Id="rId704" Type="http://schemas.openxmlformats.org/officeDocument/2006/relationships/hyperlink" Target="https://www.realtor.com/realestateandhomes-detail/1213-W-Brook-St_Santa-Ana_CA_92703_M28138-35961" TargetMode="External"/><Relationship Id="rId911" Type="http://schemas.openxmlformats.org/officeDocument/2006/relationships/hyperlink" Target="https://www.realtor.com/realestateandhomes-detail/31678-Seacliff-Dr_Laguna-Beach_CA_92651_M21575-55874" TargetMode="External"/><Relationship Id="rId1127" Type="http://schemas.openxmlformats.org/officeDocument/2006/relationships/hyperlink" Target="https://www.realtor.com/realestateandhomes-detail/5732-Lexington-Ave-Apt-3_Los-Angeles_CA_90038_M17020-90299" TargetMode="External"/><Relationship Id="rId1334" Type="http://schemas.openxmlformats.org/officeDocument/2006/relationships/hyperlink" Target="https://www.realtor.com/realestateandhomes-detail/1018-Manzanita-St_Los-Angeles_CA_90029_M24811-24863" TargetMode="External"/><Relationship Id="rId1541" Type="http://schemas.openxmlformats.org/officeDocument/2006/relationships/hyperlink" Target="https://www.realtor.com/realestateandhomes-detail/34128-Selva-Rd-Unit-267_Dana-Point_CA_92629_M12099-49264" TargetMode="External"/><Relationship Id="rId1779" Type="http://schemas.openxmlformats.org/officeDocument/2006/relationships/hyperlink" Target="https://www.realtor.com/realestateandhomes-detail/2334-Vestal-Ave_Los-Angeles_CA_90026_M28739-45163" TargetMode="External"/><Relationship Id="rId1986" Type="http://schemas.openxmlformats.org/officeDocument/2006/relationships/hyperlink" Target="https://www.realtor.com/realestateandhomes-detail/12007-Rose-Ave_Los-Angeles_CA_90066_M20688-56817" TargetMode="External"/><Relationship Id="rId40" Type="http://schemas.openxmlformats.org/officeDocument/2006/relationships/hyperlink" Target="https://www.realtor.com/realestateandhomes-detail/1419-N-Richman-Knls_Fullerton_CA_92835_M12971-90761" TargetMode="External"/><Relationship Id="rId1401" Type="http://schemas.openxmlformats.org/officeDocument/2006/relationships/hyperlink" Target="https://www.realtor.com/realestateandhomes-detail/12917-El-Dorado-Ave_Sylmar_CA_91342_M90848-46994" TargetMode="External"/><Relationship Id="rId1639" Type="http://schemas.openxmlformats.org/officeDocument/2006/relationships/hyperlink" Target="https://www.realtor.com/realestateandhomes-detail/6050-Burwood-Ave_Los-Angeles_CA_90042_M91385-83460" TargetMode="External"/><Relationship Id="rId1846" Type="http://schemas.openxmlformats.org/officeDocument/2006/relationships/hyperlink" Target="https://www.realtor.com/realestateandhomes-detail/1632-Stradella-Rd_Los-Angeles_CA_90077_M21453-03786" TargetMode="External"/><Relationship Id="rId1706" Type="http://schemas.openxmlformats.org/officeDocument/2006/relationships/hyperlink" Target="https://www.realtor.com/realestateandhomes-detail/6735-Yucca-St-Unit-404_Hollywood_CA_90028_M24132-66180" TargetMode="External"/><Relationship Id="rId1913" Type="http://schemas.openxmlformats.org/officeDocument/2006/relationships/hyperlink" Target="https://www.realtor.com/realestateandhomes-detail/1339-E-M-St_Wilmington_CA_90744_M22346-15026" TargetMode="External"/><Relationship Id="rId287" Type="http://schemas.openxmlformats.org/officeDocument/2006/relationships/hyperlink" Target="https://www.realtor.com/realestateandhomes-detail/7117-Kester-Ave_Van-Nuys_CA_91405_M96275-81432" TargetMode="External"/><Relationship Id="rId494" Type="http://schemas.openxmlformats.org/officeDocument/2006/relationships/hyperlink" Target="https://www.realtor.com/realestateandhomes-detail/66-Eider-Run_Irvine_CA_92618_M97017-15688" TargetMode="External"/><Relationship Id="rId2175" Type="http://schemas.openxmlformats.org/officeDocument/2006/relationships/hyperlink" Target="https://www.realtor.com/realestateandhomes-detail/9080-Bloomfield-Ave-Spc-226_Cypress_CA_90630_M28630-99701" TargetMode="External"/><Relationship Id="rId2382" Type="http://schemas.openxmlformats.org/officeDocument/2006/relationships/hyperlink" Target="https://www.realtor.com/realestateandhomes-detail/513-N-Yale-Ave_Fullerton_CA_92831_M18370-53024" TargetMode="External"/><Relationship Id="rId147" Type="http://schemas.openxmlformats.org/officeDocument/2006/relationships/hyperlink" Target="https://www.realtor.com/realestateandhomes-detail/2669-Larmar-Rd_Los-Angeles_CA_90068_M12024-33099" TargetMode="External"/><Relationship Id="rId354" Type="http://schemas.openxmlformats.org/officeDocument/2006/relationships/hyperlink" Target="https://www.realtor.com/realestateandhomes-detail/3173-Weldon-Ave_Los-Angeles_CA_90065_M10939-63313" TargetMode="External"/><Relationship Id="rId799" Type="http://schemas.openxmlformats.org/officeDocument/2006/relationships/hyperlink" Target="https://www.realtor.com/realestateandhomes-detail/306-Alvarado-Pl_Newport-Beach_CA_92661_M25118-00572" TargetMode="External"/><Relationship Id="rId1191" Type="http://schemas.openxmlformats.org/officeDocument/2006/relationships/hyperlink" Target="https://www.realtor.com/realestateandhomes-detail/225-N-Coffman-St_Anaheim_CA_92805_M18255-84286" TargetMode="External"/><Relationship Id="rId2035" Type="http://schemas.openxmlformats.org/officeDocument/2006/relationships/hyperlink" Target="https://www.realtor.com/realestateandhomes-detail/5405-5411-Newtonia_Los-Angeles_CA_90032_M96239-59394" TargetMode="External"/><Relationship Id="rId561" Type="http://schemas.openxmlformats.org/officeDocument/2006/relationships/hyperlink" Target="https://www.realtor.com/realestateandhomes-detail/23502-White-Dove-Dr_Lake-Forest_CA_92630_M22470-80040" TargetMode="External"/><Relationship Id="rId659" Type="http://schemas.openxmlformats.org/officeDocument/2006/relationships/hyperlink" Target="https://www.realtor.com/realestateandhomes-detail/1054-W-23rd-St_San-Pedro_CA_90731_M11860-51829" TargetMode="External"/><Relationship Id="rId866" Type="http://schemas.openxmlformats.org/officeDocument/2006/relationships/hyperlink" Target="https://www.realtor.com/realestateandhomes-detail/29195-Mira-Vis_Laguna-Niguel_CA_92677_M12110-00934" TargetMode="External"/><Relationship Id="rId1289" Type="http://schemas.openxmlformats.org/officeDocument/2006/relationships/hyperlink" Target="https://www.realtor.com/realestateandhomes-detail/8960-Crescent-Dr_Los-Angeles_CA_90046_M10012-71542" TargetMode="External"/><Relationship Id="rId1496" Type="http://schemas.openxmlformats.org/officeDocument/2006/relationships/hyperlink" Target="https://www.realtor.com/realestateandhomes-detail/8-Baffin-Bay_Newport-Coast_CA_92657_M26909-39885" TargetMode="External"/><Relationship Id="rId2242" Type="http://schemas.openxmlformats.org/officeDocument/2006/relationships/hyperlink" Target="https://www.realtor.com/realestateandhomes-detail/3305-Rivington_Irvine_CA_92612_M97609-10909" TargetMode="External"/><Relationship Id="rId2547" Type="http://schemas.openxmlformats.org/officeDocument/2006/relationships/hyperlink" Target="https://www.realtor.com/realestateandhomes-detail/8121-Chase-Ave_Los-Angeles_CA_90045_M15490-56929" TargetMode="External"/><Relationship Id="rId214" Type="http://schemas.openxmlformats.org/officeDocument/2006/relationships/hyperlink" Target="https://www.realtor.com/realestateandhomes-detail/25901-Nellie-Gail-Rd_Laguna-Hills_CA_92653_M27756-22902" TargetMode="External"/><Relationship Id="rId421" Type="http://schemas.openxmlformats.org/officeDocument/2006/relationships/hyperlink" Target="https://www.realtor.com/realestateandhomes-detail/10636-Ayres-Ave_Los-Angeles_CA_90064_M24030-20523" TargetMode="External"/><Relationship Id="rId519" Type="http://schemas.openxmlformats.org/officeDocument/2006/relationships/hyperlink" Target="https://www.realtor.com/realestateandhomes-detail/16015-Jeanne-Ln_Encino_CA_91436_M11800-88758" TargetMode="External"/><Relationship Id="rId1051" Type="http://schemas.openxmlformats.org/officeDocument/2006/relationships/hyperlink" Target="https://www.realtor.com/realestateandhomes-detail/9120-S-Van-Ness-Ave_Los-Angeles_CA_90047_M16102-74723" TargetMode="External"/><Relationship Id="rId1149" Type="http://schemas.openxmlformats.org/officeDocument/2006/relationships/hyperlink" Target="https://www.realtor.com/realestateandhomes-detail/265-Shoveler_Irvine_CA_92618_M95259-64969" TargetMode="External"/><Relationship Id="rId1356" Type="http://schemas.openxmlformats.org/officeDocument/2006/relationships/hyperlink" Target="https://www.realtor.com/realestateandhomes-detail/14428-Rex-St_Sylmar_CA_91342_M13735-13521" TargetMode="External"/><Relationship Id="rId2102" Type="http://schemas.openxmlformats.org/officeDocument/2006/relationships/hyperlink" Target="https://www.realtor.com/realestateandhomes-detail/6754-W-86th-Pl_Los-Angeles_CA_90045_M90099-62623" TargetMode="External"/><Relationship Id="rId726" Type="http://schemas.openxmlformats.org/officeDocument/2006/relationships/hyperlink" Target="https://www.realtor.com/realestateandhomes-detail/4499-Via-Marisol-Apt-321_Los-Angeles_CA_90042_M18181-00587" TargetMode="External"/><Relationship Id="rId933" Type="http://schemas.openxmlformats.org/officeDocument/2006/relationships/hyperlink" Target="https://www.realtor.com/realestateandhomes-detail/420-E-51st-St_Los-Angeles_CA_90011_M15200-45898" TargetMode="External"/><Relationship Id="rId1009" Type="http://schemas.openxmlformats.org/officeDocument/2006/relationships/hyperlink" Target="https://www.realtor.com/realestateandhomes-detail/1114-S-Sherbourne-Dr_Los-Angeles_CA_90035_M93752-89626" TargetMode="External"/><Relationship Id="rId1563" Type="http://schemas.openxmlformats.org/officeDocument/2006/relationships/hyperlink" Target="https://www.realtor.com/realestateandhomes-detail/162-Placemark_Irvine_CA_92614_M95443-01155" TargetMode="External"/><Relationship Id="rId1770" Type="http://schemas.openxmlformats.org/officeDocument/2006/relationships/hyperlink" Target="https://www.realtor.com/realestateandhomes-detail/1613-Veridian-Ln_San-Pedro_CA_90732_M94323-62354" TargetMode="External"/><Relationship Id="rId1868" Type="http://schemas.openxmlformats.org/officeDocument/2006/relationships/hyperlink" Target="https://www.realtor.com/realestateandhomes-detail/1260-S-Beverly-Glen-Blvd-Apt-304_Los-Angeles_CA_90024_M25981-70891" TargetMode="External"/><Relationship Id="rId2407" Type="http://schemas.openxmlformats.org/officeDocument/2006/relationships/hyperlink" Target="https://www.realtor.com/realestateandhomes-detail/10200-Bolsa-Ave-Spc-126_Westminster_CA_92683_M23478-31893" TargetMode="External"/><Relationship Id="rId62" Type="http://schemas.openxmlformats.org/officeDocument/2006/relationships/hyperlink" Target="https://www.realtor.com/realestateandhomes-detail/15240-Nordhoff-St_North-Hills_CA_91343_M99094-55406" TargetMode="External"/><Relationship Id="rId1216" Type="http://schemas.openxmlformats.org/officeDocument/2006/relationships/hyperlink" Target="https://www.realtor.com/realestateandhomes-detail/235-Verbena-Ln_Brea_CA_92823_M29548-91681" TargetMode="External"/><Relationship Id="rId1423" Type="http://schemas.openxmlformats.org/officeDocument/2006/relationships/hyperlink" Target="https://www.realtor.com/realestateandhomes-detail/4522-Conchita-Way_Tarzana_CA_91356_M21279-70751" TargetMode="External"/><Relationship Id="rId1630" Type="http://schemas.openxmlformats.org/officeDocument/2006/relationships/hyperlink" Target="https://www.realtor.com/realestateandhomes-detail/932-Fedora-St_Los-Angeles_CA_90006_M20436-30830" TargetMode="External"/><Relationship Id="rId1728" Type="http://schemas.openxmlformats.org/officeDocument/2006/relationships/hyperlink" Target="https://www.realtor.com/realestateandhomes-detail/1115-N-Bundy-Dr_Los-Angeles_CA_90049_M17253-05241" TargetMode="External"/><Relationship Id="rId1935" Type="http://schemas.openxmlformats.org/officeDocument/2006/relationships/hyperlink" Target="https://www.realtor.com/realestateandhomes-detail/12215-San-Fernando-Rd_Sylmar_CA_91342_M15363-47408" TargetMode="External"/><Relationship Id="rId2197" Type="http://schemas.openxmlformats.org/officeDocument/2006/relationships/hyperlink" Target="https://www.realtor.com/realestateandhomes-detail/3713-Aguilar-St_Los-Angeles_CA_90065_M99835-69297" TargetMode="External"/><Relationship Id="rId169" Type="http://schemas.openxmlformats.org/officeDocument/2006/relationships/hyperlink" Target="https://www.realtor.com/realestateandhomes-detail/27703-Ortega-Hwy-Spc-127_San-Juan-Capistrano_CA_92675_M14065-55845" TargetMode="External"/><Relationship Id="rId376" Type="http://schemas.openxmlformats.org/officeDocument/2006/relationships/hyperlink" Target="https://www.realtor.com/realestateandhomes-detail/31062-Casa-Grande-Dr_San-Juan-Capistrano_CA_92675_M95438-40638" TargetMode="External"/><Relationship Id="rId583" Type="http://schemas.openxmlformats.org/officeDocument/2006/relationships/hyperlink" Target="https://www.realtor.com/realestateandhomes-detail/2010-Ridgeview-Ave_Los-Angeles_CA_90041_M13053-87526" TargetMode="External"/><Relationship Id="rId790" Type="http://schemas.openxmlformats.org/officeDocument/2006/relationships/hyperlink" Target="https://www.realtor.com/realestateandhomes-detail/1827-W-Gramercy-Ave_Anaheim_CA_92801_M28516-01861" TargetMode="External"/><Relationship Id="rId2057" Type="http://schemas.openxmlformats.org/officeDocument/2006/relationships/hyperlink" Target="https://www.realtor.com/realestateandhomes-detail/10633-Kinnard-Ave-Apt-14_Los-Angeles_CA_90024_M17689-56500" TargetMode="External"/><Relationship Id="rId2264" Type="http://schemas.openxmlformats.org/officeDocument/2006/relationships/hyperlink" Target="https://www.realtor.com/realestateandhomes-detail/10307-Foothill-Blvd_Sylmar_CA_91342_M21574-77154" TargetMode="External"/><Relationship Id="rId2471" Type="http://schemas.openxmlformats.org/officeDocument/2006/relationships/hyperlink" Target="https://www.realtor.com/realestateandhomes-detail/4809-E-Wasatch-Dr_Anaheim_CA_92807_M19443-28374" TargetMode="External"/><Relationship Id="rId4" Type="http://schemas.openxmlformats.org/officeDocument/2006/relationships/hyperlink" Target="https://www.realtor.com/realestateandhomes-detail/22-Pelican-Crest-Dr_Newport-Coast_CA_92657_M14338-64109" TargetMode="External"/><Relationship Id="rId236" Type="http://schemas.openxmlformats.org/officeDocument/2006/relationships/hyperlink" Target="https://www.realtor.com/realestateandhomes-detail/852-N-Oxford-Ave_Los-Angeles_CA_90029_M24795-17963" TargetMode="External"/><Relationship Id="rId443" Type="http://schemas.openxmlformats.org/officeDocument/2006/relationships/hyperlink" Target="https://www.realtor.com/realestateandhomes-detail/6440-Petit-Ave_Van-Nuys_CA_91406_M12816-49824" TargetMode="External"/><Relationship Id="rId650" Type="http://schemas.openxmlformats.org/officeDocument/2006/relationships/hyperlink" Target="https://www.realtor.com/realestateandhomes-detail/12963-Runway-Rd-Apt-121_Playa-Vista_CA_90094_M19877-85232" TargetMode="External"/><Relationship Id="rId888" Type="http://schemas.openxmlformats.org/officeDocument/2006/relationships/hyperlink" Target="https://www.realtor.com/realestateandhomes-detail/10362-Monitor-Dr_Huntington-Beach_CA_92646_M23713-63884" TargetMode="External"/><Relationship Id="rId1073" Type="http://schemas.openxmlformats.org/officeDocument/2006/relationships/hyperlink" Target="https://www.realtor.com/realestateandhomes-detail/3415-Bellevue-Ave_Los-Angeles_CA_90026_M21791-21666" TargetMode="External"/><Relationship Id="rId1280" Type="http://schemas.openxmlformats.org/officeDocument/2006/relationships/hyperlink" Target="https://www.realtor.com/realestateandhomes-detail/692-N-Adele-St-Spc-50_Orange_CA_92867_M14044-31686" TargetMode="External"/><Relationship Id="rId2124" Type="http://schemas.openxmlformats.org/officeDocument/2006/relationships/hyperlink" Target="https://www.realtor.com/realestateandhomes-detail/1535-Dolphin-Ter_Corona-Del-Mar_CA_92625_M18997-60233" TargetMode="External"/><Relationship Id="rId2331" Type="http://schemas.openxmlformats.org/officeDocument/2006/relationships/hyperlink" Target="https://www.realtor.com/realestateandhomes-detail/9706-Hensal-Rd_Beverly-Hills_CA_90210_M29614-67116" TargetMode="External"/><Relationship Id="rId303" Type="http://schemas.openxmlformats.org/officeDocument/2006/relationships/hyperlink" Target="https://www.realtor.com/realestateandhomes-detail/939-N-Beverly-Glen-Blvd_Los-Angeles_CA_90077_M18782-93308" TargetMode="External"/><Relationship Id="rId748" Type="http://schemas.openxmlformats.org/officeDocument/2006/relationships/hyperlink" Target="https://www.realtor.com/realestateandhomes-detail/17210-San-Mateo-St_Fountain-Valley_CA_92708_M98155-85446" TargetMode="External"/><Relationship Id="rId955" Type="http://schemas.openxmlformats.org/officeDocument/2006/relationships/hyperlink" Target="https://www.realtor.com/realestateandhomes-detail/3353-City-Terrace-Dr_Los-Angeles_CA_90063_M19479-09237" TargetMode="External"/><Relationship Id="rId1140" Type="http://schemas.openxmlformats.org/officeDocument/2006/relationships/hyperlink" Target="https://www.realtor.com/realestateandhomes-detail/1945-W-Vernon-Ave_Los-Angeles_CA_90062_M24362-64892" TargetMode="External"/><Relationship Id="rId1378" Type="http://schemas.openxmlformats.org/officeDocument/2006/relationships/hyperlink" Target="https://www.realtor.com/realestateandhomes-detail/6022-Pat-Ave_Woodland-Hills_CA_91367_M15207-44962" TargetMode="External"/><Relationship Id="rId1585" Type="http://schemas.openxmlformats.org/officeDocument/2006/relationships/hyperlink" Target="https://www.realtor.com/realestateandhomes-detail/943-N-Avenue-66_Los-Angeles_CA_90042_M91817-96527" TargetMode="External"/><Relationship Id="rId1792" Type="http://schemas.openxmlformats.org/officeDocument/2006/relationships/hyperlink" Target="https://www.realtor.com/realestateandhomes-detail/5441-Blackwelder-St_Los-Angeles_CA_90016_M29313-80204" TargetMode="External"/><Relationship Id="rId2429" Type="http://schemas.openxmlformats.org/officeDocument/2006/relationships/hyperlink" Target="https://www.realtor.com/realestateandhomes-detail/1246-Armacost-Ave-Apt-101_Los-Angeles_CA_90025_M13796-35651" TargetMode="External"/><Relationship Id="rId84" Type="http://schemas.openxmlformats.org/officeDocument/2006/relationships/hyperlink" Target="https://www.realtor.com/realestateandhomes-detail/1801-Beryl-Ln_Newport-Beach_CA_92660_M11955-60238" TargetMode="External"/><Relationship Id="rId510" Type="http://schemas.openxmlformats.org/officeDocument/2006/relationships/hyperlink" Target="https://www.realtor.com/realestateandhomes-detail/2723-Pirtle-St_Los-Angeles_CA_90039_M29174-34518" TargetMode="External"/><Relationship Id="rId608" Type="http://schemas.openxmlformats.org/officeDocument/2006/relationships/hyperlink" Target="https://www.realtor.com/realestateandhomes-detail/1545-Amalfi-Dr_Pacific-Palisades_CA_90272_M25729-31943" TargetMode="External"/><Relationship Id="rId815" Type="http://schemas.openxmlformats.org/officeDocument/2006/relationships/hyperlink" Target="https://www.realtor.com/realestateandhomes-detail/118-W-87th-Pl_Los-Angeles_CA_90003_M16978-86954" TargetMode="External"/><Relationship Id="rId1238" Type="http://schemas.openxmlformats.org/officeDocument/2006/relationships/hyperlink" Target="https://www.realtor.com/realestateandhomes-detail/5930-Tampa-Ave-Apt-204_Tarzana_CA_91356_M12111-91299" TargetMode="External"/><Relationship Id="rId1445" Type="http://schemas.openxmlformats.org/officeDocument/2006/relationships/hyperlink" Target="https://www.realtor.com/realestateandhomes-detail/7650-Balboa-Blvd-Spc-43_Van-Nuys_CA_91406_M96968-04164" TargetMode="External"/><Relationship Id="rId1652" Type="http://schemas.openxmlformats.org/officeDocument/2006/relationships/hyperlink" Target="https://www.realtor.com/realestateandhomes-detail/8472-Oakwood-Ave_Los-Angeles_CA_90048_M20476-73314" TargetMode="External"/><Relationship Id="rId1000" Type="http://schemas.openxmlformats.org/officeDocument/2006/relationships/hyperlink" Target="https://www.realtor.com/realestateandhomes-detail/4760-Corbin-Ave_Tarzana_CA_91356_M20891-39639" TargetMode="External"/><Relationship Id="rId1305" Type="http://schemas.openxmlformats.org/officeDocument/2006/relationships/hyperlink" Target="https://www.realtor.com/realestateandhomes-detail/16511-Newland-St_Huntington-Beach_CA_92647_M25889-45201" TargetMode="External"/><Relationship Id="rId1957" Type="http://schemas.openxmlformats.org/officeDocument/2006/relationships/hyperlink" Target="https://www.realtor.com/realestateandhomes-detail/6125-West-Blvd_Los-Angeles_CA_90043_M19433-90612" TargetMode="External"/><Relationship Id="rId1512" Type="http://schemas.openxmlformats.org/officeDocument/2006/relationships/hyperlink" Target="https://www.realtor.com/realestateandhomes-detail/783-Wonder-Ln_Costa-Mesa_CA_92627_M28235-93675" TargetMode="External"/><Relationship Id="rId1817" Type="http://schemas.openxmlformats.org/officeDocument/2006/relationships/hyperlink" Target="https://www.realtor.com/realestateandhomes-detail/2726-Council-St_Los-Angeles_CA_90026_M12046-39921" TargetMode="External"/><Relationship Id="rId11" Type="http://schemas.openxmlformats.org/officeDocument/2006/relationships/hyperlink" Target="http://homecoin.com/" TargetMode="External"/><Relationship Id="rId398" Type="http://schemas.openxmlformats.org/officeDocument/2006/relationships/hyperlink" Target="https://www.realtor.com/realestateandhomes-detail/11209-Sardis-Ave-Apt-102_Los-Angeles_CA_90064_M22444-91204" TargetMode="External"/><Relationship Id="rId2079" Type="http://schemas.openxmlformats.org/officeDocument/2006/relationships/hyperlink" Target="https://www.realtor.com/realestateandhomes-detail/14805-Chase-St-Unit-105_Panorama-City_CA_91402_M29348-70607" TargetMode="External"/><Relationship Id="rId160" Type="http://schemas.openxmlformats.org/officeDocument/2006/relationships/hyperlink" Target="https://www.realtor.com/realestateandhomes-detail/3305-Primera-Ave_Los-Angeles_CA_90068_M12570-61027" TargetMode="External"/><Relationship Id="rId2286" Type="http://schemas.openxmlformats.org/officeDocument/2006/relationships/hyperlink" Target="https://www.realtor.com/realestateandhomes-detail/655-S-Hope-St-Unit-902_Los-Angeles_CA_90017_M11068-07039" TargetMode="External"/><Relationship Id="rId2493" Type="http://schemas.openxmlformats.org/officeDocument/2006/relationships/hyperlink" Target="https://www.realtor.com/realestateandhomes-detail/1146-N-Puente-St_Brea_CA_92821_M28925-83025" TargetMode="External"/><Relationship Id="rId258" Type="http://schemas.openxmlformats.org/officeDocument/2006/relationships/hyperlink" Target="https://www.realtor.com/realestateandhomes-detail/5307-5307-12-Compton-Ave_Los-Angeles_CA_90011_M96600-57127" TargetMode="External"/><Relationship Id="rId465" Type="http://schemas.openxmlformats.org/officeDocument/2006/relationships/hyperlink" Target="https://www.realtor.com/realestateandhomes-detail/2275-W-25th-St-Spc-114_San-Pedro_CA_90732_M93183-83734" TargetMode="External"/><Relationship Id="rId672" Type="http://schemas.openxmlformats.org/officeDocument/2006/relationships/hyperlink" Target="https://www.realtor.com/realestateandhomes-detail/6202-Pacific-Ave_Playa-Del-Rey_CA_90293_M20613-26221" TargetMode="External"/><Relationship Id="rId1095" Type="http://schemas.openxmlformats.org/officeDocument/2006/relationships/hyperlink" Target="https://www.realtor.com/realestateandhomes-detail/1447-W-47th-St_Los-Angeles_CA_90062_M22318-61198" TargetMode="External"/><Relationship Id="rId2146" Type="http://schemas.openxmlformats.org/officeDocument/2006/relationships/hyperlink" Target="https://www.realtor.com/realestateandhomes-detail/14641-Alder-Ln_Tustin_CA_92780_M10524-94359" TargetMode="External"/><Relationship Id="rId2353" Type="http://schemas.openxmlformats.org/officeDocument/2006/relationships/hyperlink" Target="https://www.realtor.com/realestateandhomes-detail/6807-E-Pinnacle-Pointe_Orange_CA_92869_M14304-94187" TargetMode="External"/><Relationship Id="rId118" Type="http://schemas.openxmlformats.org/officeDocument/2006/relationships/hyperlink" Target="https://www.realtor.com/realestateandhomes-detail/7100-Playa-Vista-Dr-Apt-404_Playa-Vista_CA_90094_M14740-97998" TargetMode="External"/><Relationship Id="rId325" Type="http://schemas.openxmlformats.org/officeDocument/2006/relationships/hyperlink" Target="https://www.realtor.com/realestateandhomes-detail/4115-Glencoe-Ave-Apt-107_Marina-Del-Rey_CA_90292_M15889-18036" TargetMode="External"/><Relationship Id="rId532" Type="http://schemas.openxmlformats.org/officeDocument/2006/relationships/hyperlink" Target="https://www.realtor.com/realestateandhomes-detail/5104-Solace-Dr_Rancho-Mission-Viejo_CA_92694_M99752-99730" TargetMode="External"/><Relationship Id="rId977" Type="http://schemas.openxmlformats.org/officeDocument/2006/relationships/hyperlink" Target="https://www.realtor.com/realestateandhomes-detail/5812-Willis-Ave_Sherman-Oaks_CA_91411_M15848-08266" TargetMode="External"/><Relationship Id="rId1162" Type="http://schemas.openxmlformats.org/officeDocument/2006/relationships/hyperlink" Target="https://www.realtor.com/realestateandhomes-detail/332-Culver-Blvd_Playa-del-Rey_CA_90293_M17690-63681" TargetMode="External"/><Relationship Id="rId2006" Type="http://schemas.openxmlformats.org/officeDocument/2006/relationships/hyperlink" Target="https://www.realtor.com/realestateandhomes-detail/5110-Whittier-Blvd_Los-Angeles_CA_90022_M98527-89245" TargetMode="External"/><Relationship Id="rId2213" Type="http://schemas.openxmlformats.org/officeDocument/2006/relationships/hyperlink" Target="https://www.realtor.com/realestateandhomes-detail/3744-Borel-St_Los-Angeles_CA_90031_M13927-27431" TargetMode="External"/><Relationship Id="rId2420" Type="http://schemas.openxmlformats.org/officeDocument/2006/relationships/hyperlink" Target="https://www.realtor.com/realestateandhomes-detail/24701-Raymond-Way-Spc-195_Lake-Forest_CA_92630_M10414-01764" TargetMode="External"/><Relationship Id="rId837" Type="http://schemas.openxmlformats.org/officeDocument/2006/relationships/hyperlink" Target="https://www.realtor.com/realestateandhomes-detail/1030-W-88th-St_Los-Angeles_CA_90044_M25151-09721" TargetMode="External"/><Relationship Id="rId1022" Type="http://schemas.openxmlformats.org/officeDocument/2006/relationships/hyperlink" Target="https://www.realtor.com/realestateandhomes-detail/153-W-Channel-Rd_Santa-Monica_CA_90402_M99080-77612" TargetMode="External"/><Relationship Id="rId1467" Type="http://schemas.openxmlformats.org/officeDocument/2006/relationships/hyperlink" Target="https://www.realtor.com/realestateandhomes-detail/1521-Bayadere-Ter_Corona-Del-Mar_CA_92625_M19838-69465" TargetMode="External"/><Relationship Id="rId1674" Type="http://schemas.openxmlformats.org/officeDocument/2006/relationships/hyperlink" Target="https://www.realtor.com/realestateandhomes-detail/359-E-56th-St_Los-Angeles_CA_90011_M23123-98585" TargetMode="External"/><Relationship Id="rId1881" Type="http://schemas.openxmlformats.org/officeDocument/2006/relationships/hyperlink" Target="https://www.realtor.com/realestateandhomes-detail/10481-Eastborne-Ave_Los-Angeles_CA_90024_M25653-39595" TargetMode="External"/><Relationship Id="rId2518" Type="http://schemas.openxmlformats.org/officeDocument/2006/relationships/hyperlink" Target="https://www.realtor.com/realestateandhomes-detail/2103-Ronda-Granada-Unit-B_Laguna-Woods_CA_92637_M21342-31550" TargetMode="External"/><Relationship Id="rId904" Type="http://schemas.openxmlformats.org/officeDocument/2006/relationships/hyperlink" Target="https://www.realtor.com/realestateandhomes-detail/17132-Oak-View-Dr_Encino_CA_91316_M10413-10388" TargetMode="External"/><Relationship Id="rId1327" Type="http://schemas.openxmlformats.org/officeDocument/2006/relationships/hyperlink" Target="https://www.realtor.com/realestateandhomes-detail/28187-LA-Gallina_Laguna-Niguel_CA_92677_M11769-96450" TargetMode="External"/><Relationship Id="rId1534" Type="http://schemas.openxmlformats.org/officeDocument/2006/relationships/hyperlink" Target="https://www.realtor.com/realestateandhomes-detail/39-Harbor-Ridge-Dr_Newport-Beach_CA_92660_M17777-07271" TargetMode="External"/><Relationship Id="rId1741" Type="http://schemas.openxmlformats.org/officeDocument/2006/relationships/hyperlink" Target="https://www.realtor.com/realestateandhomes-detail/1528-N-Curson-Ave_Los-Angeles_CA_90046_M27508-07116" TargetMode="External"/><Relationship Id="rId1979" Type="http://schemas.openxmlformats.org/officeDocument/2006/relationships/hyperlink" Target="https://www.realtor.com/realestateandhomes-detail/3901-DE-Longpre-Ave_Los-Angeles_CA_90027_M25554-33152" TargetMode="External"/><Relationship Id="rId33" Type="http://schemas.openxmlformats.org/officeDocument/2006/relationships/hyperlink" Target="https://www.realtor.com/realestateandhomes-detail/4203-Berryman-Ave_Los-Angeles_CA_90066_M15239-54205" TargetMode="External"/><Relationship Id="rId1601" Type="http://schemas.openxmlformats.org/officeDocument/2006/relationships/hyperlink" Target="https://www.realtor.com/realestateandhomes-detail/889-Francisco-St-Unit-1508_Los-Angeles_CA_90017_M14121-94558" TargetMode="External"/><Relationship Id="rId1839" Type="http://schemas.openxmlformats.org/officeDocument/2006/relationships/hyperlink" Target="https://www.realtor.com/realestateandhomes-detail/22525-Sherman-Way-Unit-203_West-Hills_CA_91307_M12157-23223" TargetMode="External"/><Relationship Id="rId182" Type="http://schemas.openxmlformats.org/officeDocument/2006/relationships/hyperlink" Target="https://www.realtor.com/realestateandhomes-detail/8400-Mulholland-Dr_Los-Angeles_CA_90046_M10873-55869" TargetMode="External"/><Relationship Id="rId1906" Type="http://schemas.openxmlformats.org/officeDocument/2006/relationships/hyperlink" Target="https://www.realtor.com/realestateandhomes-detail/608-Grizzly_Irvine_CA_92618_M95179-72842" TargetMode="External"/><Relationship Id="rId487" Type="http://schemas.openxmlformats.org/officeDocument/2006/relationships/hyperlink" Target="https://www.realtor.com/realestateandhomes-detail/4-San-Pedro_Rancho-Santa-Margarita_CA_92688_M23664-94641" TargetMode="External"/><Relationship Id="rId694" Type="http://schemas.openxmlformats.org/officeDocument/2006/relationships/hyperlink" Target="https://www.realtor.com/realestateandhomes-detail/8506-Oak-Ct_Los-Angeles_CA_90046_M29401-18104" TargetMode="External"/><Relationship Id="rId2070" Type="http://schemas.openxmlformats.org/officeDocument/2006/relationships/hyperlink" Target="https://www.realtor.com/realestateandhomes-detail/1333-Wildwood-Dr_Eagle-Rock_CA_90041_M21312-33705" TargetMode="External"/><Relationship Id="rId2168" Type="http://schemas.openxmlformats.org/officeDocument/2006/relationships/hyperlink" Target="https://www.realtor.com/realestateandhomes-detail/126-W-Century-Blvd_Los-Angeles_CA_90003_M20794-15673" TargetMode="External"/><Relationship Id="rId2375" Type="http://schemas.openxmlformats.org/officeDocument/2006/relationships/hyperlink" Target="https://www.realtor.com/realestateandhomes-detail/1400-S-Sunkist-St-Spc-173_Anaheim_CA_92806_M15849-13980" TargetMode="External"/><Relationship Id="rId347" Type="http://schemas.openxmlformats.org/officeDocument/2006/relationships/hyperlink" Target="https://www.realtor.com/realestateandhomes-detail/1585-S-Coast-Hwy-Apt-65_Laguna-Beach_CA_92651_M16746-19952" TargetMode="External"/><Relationship Id="rId999" Type="http://schemas.openxmlformats.org/officeDocument/2006/relationships/hyperlink" Target="https://www.realtor.com/realestateandhomes-detail/1508-Sanborn-Ave_Los-Angeles_CA_90027_M24925-37933" TargetMode="External"/><Relationship Id="rId1184" Type="http://schemas.openxmlformats.org/officeDocument/2006/relationships/hyperlink" Target="https://www.realtor.com/realestateandhomes-detail/8740-Tuscany-Ave-Apt-211_Playa-Del-Rey_CA_90293_M23423-41664" TargetMode="External"/><Relationship Id="rId2028" Type="http://schemas.openxmlformats.org/officeDocument/2006/relationships/hyperlink" Target="https://www.realtor.com/realestateandhomes-detail/5150-12-Village-Grn_Los-Angeles_CA_90016_M93822-93942" TargetMode="External"/><Relationship Id="rId554" Type="http://schemas.openxmlformats.org/officeDocument/2006/relationships/hyperlink" Target="https://www.realtor.com/realestateandhomes-detail/10181-Overhill-Dr_North-Tustin_CA_92705_M28653-70664" TargetMode="External"/><Relationship Id="rId761" Type="http://schemas.openxmlformats.org/officeDocument/2006/relationships/hyperlink" Target="https://www.realtor.com/realestateandhomes-detail/14481-Fairview-Ln_Huntington-Beach_CA_92647_M25444-15548" TargetMode="External"/><Relationship Id="rId859" Type="http://schemas.openxmlformats.org/officeDocument/2006/relationships/hyperlink" Target="https://www.realtor.com/realestateandhomes-detail/657-Mildred-Ave_Venice_CA_90291_M28311-59031" TargetMode="External"/><Relationship Id="rId1391" Type="http://schemas.openxmlformats.org/officeDocument/2006/relationships/hyperlink" Target="https://www.realtor.com/realestateandhomes-detail/24310-Belford-Ct_West-Hills_CA_91307_M14559-39488" TargetMode="External"/><Relationship Id="rId1489" Type="http://schemas.openxmlformats.org/officeDocument/2006/relationships/hyperlink" Target="https://www.realtor.com/realestateandhomes-detail/149-Avenida-De-La-Paz_San-Clemente_CA_92672_M21085-61309" TargetMode="External"/><Relationship Id="rId1696" Type="http://schemas.openxmlformats.org/officeDocument/2006/relationships/hyperlink" Target="https://www.realtor.com/realestateandhomes-detail/560-N-Tigertail-Rd_Los-Angeles_CA_90049_M14138-15185" TargetMode="External"/><Relationship Id="rId2235" Type="http://schemas.openxmlformats.org/officeDocument/2006/relationships/hyperlink" Target="https://www.realtor.com/realestateandhomes-detail/9921-Tower-Ln_Beverly-Hills_CA_90210_M92472-76570" TargetMode="External"/><Relationship Id="rId2442" Type="http://schemas.openxmlformats.org/officeDocument/2006/relationships/hyperlink" Target="https://www.realtor.com/realestateandhomes-detail/16711-Greenview-Ln_Huntington-Beach_CA_92649_M15767-42192" TargetMode="External"/><Relationship Id="rId207" Type="http://schemas.openxmlformats.org/officeDocument/2006/relationships/hyperlink" Target="https://www.realtor.com/realestateandhomes-detail/20564-W-Bluebird-Ct_Porter-Ranch_CA_91326_M97046-28782" TargetMode="External"/><Relationship Id="rId414" Type="http://schemas.openxmlformats.org/officeDocument/2006/relationships/hyperlink" Target="https://www.realtor.com/realestateandhomes-detail/2207-Bowmont-Dr_Beverly-Hills_CA_90210_M24465-24398" TargetMode="External"/><Relationship Id="rId621" Type="http://schemas.openxmlformats.org/officeDocument/2006/relationships/hyperlink" Target="https://www.realtor.com/realestateandhomes-detail/11531-Orum-Rd_Los-Angeles_CA_90049_M17980-96999" TargetMode="External"/><Relationship Id="rId1044" Type="http://schemas.openxmlformats.org/officeDocument/2006/relationships/hyperlink" Target="https://www.realtor.com/realestateandhomes-detail/2563-S-Bentley-Ave_Los-Angeles_CA_90064_M23846-85679" TargetMode="External"/><Relationship Id="rId1251" Type="http://schemas.openxmlformats.org/officeDocument/2006/relationships/hyperlink" Target="https://www.realtor.com/realestateandhomes-detail/1400-W-Warner-Ave-Apt-42_Santa-Ana_CA_92704_M16972-21210" TargetMode="External"/><Relationship Id="rId1349" Type="http://schemas.openxmlformats.org/officeDocument/2006/relationships/hyperlink" Target="https://www.realtor.com/realestateandhomes-detail/13520-Rye-St_Sherman-Oaks_CA_91423_M29356-50043" TargetMode="External"/><Relationship Id="rId2302" Type="http://schemas.openxmlformats.org/officeDocument/2006/relationships/hyperlink" Target="https://www.realtor.com/realestateandhomes-detail/5261-Harmony-Ave_North-Hollywood_CA_91601_M19044-90042" TargetMode="External"/><Relationship Id="rId719" Type="http://schemas.openxmlformats.org/officeDocument/2006/relationships/hyperlink" Target="https://www.realtor.com/realestateandhomes-detail/12157-Memphis-Ave_Sylmar_CA_91342_M18127-55813" TargetMode="External"/><Relationship Id="rId926" Type="http://schemas.openxmlformats.org/officeDocument/2006/relationships/hyperlink" Target="https://www.realtor.com/realestateandhomes-detail/50-Lincoln-Ct_Buena-Park_CA_90620_M29013-25726" TargetMode="External"/><Relationship Id="rId1111" Type="http://schemas.openxmlformats.org/officeDocument/2006/relationships/hyperlink" Target="https://www.realtor.com/realestateandhomes-detail/2107-E-Cesar-E-Chavez-Ave_Los-Angeles_CA_90033_M10608-99800" TargetMode="External"/><Relationship Id="rId1556" Type="http://schemas.openxmlformats.org/officeDocument/2006/relationships/hyperlink" Target="https://www.realtor.com/realestateandhomes-detail/328-5th-St_Huntington-Beach_CA_92648_M10446-42343" TargetMode="External"/><Relationship Id="rId1763" Type="http://schemas.openxmlformats.org/officeDocument/2006/relationships/hyperlink" Target="https://www.realtor.com/realestateandhomes-detail/1703-Pescadores-Ave_San-Pedro_CA_90732_M18646-90535" TargetMode="External"/><Relationship Id="rId1970" Type="http://schemas.openxmlformats.org/officeDocument/2006/relationships/hyperlink" Target="https://www.realtor.com/realestateandhomes-detail/5414-3rd-Ave_Los-Angeles_CA_90043_M18411-65057" TargetMode="External"/><Relationship Id="rId55" Type="http://schemas.openxmlformats.org/officeDocument/2006/relationships/hyperlink" Target="https://www.realtor.com/realestateandhomes-detail/1261-Angelo-Dr_Beverly-Hills_CA_90210_M28235-57145" TargetMode="External"/><Relationship Id="rId1209" Type="http://schemas.openxmlformats.org/officeDocument/2006/relationships/hyperlink" Target="https://www.realtor.com/realestateandhomes-detail/27-Gillman-St_Irvine_CA_92612_M16594-07499" TargetMode="External"/><Relationship Id="rId1416" Type="http://schemas.openxmlformats.org/officeDocument/2006/relationships/hyperlink" Target="https://www.realtor.com/realestateandhomes-detail/1425-S-Bonnie-Brae-St_Los-Angeles_CA_90006_M20462-43298" TargetMode="External"/><Relationship Id="rId1623" Type="http://schemas.openxmlformats.org/officeDocument/2006/relationships/hyperlink" Target="https://www.realtor.com/realestateandhomes-detail/16728-Celtic-St_Granada-Hills_CA_91344_M16071-10970" TargetMode="External"/><Relationship Id="rId1830" Type="http://schemas.openxmlformats.org/officeDocument/2006/relationships/hyperlink" Target="https://www.realtor.com/realestateandhomes-detail/2928-Westbrook-Ave_Los-Angeles_CA_90046_M11602-10787" TargetMode="External"/><Relationship Id="rId1928" Type="http://schemas.openxmlformats.org/officeDocument/2006/relationships/hyperlink" Target="https://www.realtor.com/realestateandhomes-detail/12115-San-Vicente-Blvd-Unit-303_Los-Angeles_CA_90049_M26199-97361" TargetMode="External"/><Relationship Id="rId2092" Type="http://schemas.openxmlformats.org/officeDocument/2006/relationships/hyperlink" Target="https://www.realtor.com/realestateandhomes-detail/925-Gehrig-Ave_Placentia_CA_92870_M17724-69220" TargetMode="External"/><Relationship Id="rId271" Type="http://schemas.openxmlformats.org/officeDocument/2006/relationships/hyperlink" Target="https://www.realtor.com/realestateandhomes-detail/1017-W-Bishop-St-Apt-A_Santa-Ana_CA_92703_M12234-23821" TargetMode="External"/><Relationship Id="rId2397" Type="http://schemas.openxmlformats.org/officeDocument/2006/relationships/hyperlink" Target="https://www.realtor.com/realestateandhomes-detail/1126-Naples-Ave_Placentia_CA_92870_M22179-09031" TargetMode="External"/><Relationship Id="rId131" Type="http://schemas.openxmlformats.org/officeDocument/2006/relationships/hyperlink" Target="https://www.realtor.com/realestateandhomes-detail/13061-Vanowen-St_North-Hollywood_CA_91605_M18996-56842" TargetMode="External"/><Relationship Id="rId369" Type="http://schemas.openxmlformats.org/officeDocument/2006/relationships/hyperlink" Target="https://www.realtor.com/realestateandhomes-detail/1655-W-110th_Los-Angeles_CA_90047_M97233-59389" TargetMode="External"/><Relationship Id="rId576" Type="http://schemas.openxmlformats.org/officeDocument/2006/relationships/hyperlink" Target="https://www.realtor.com/realestateandhomes-detail/877-Francisco-St-Apt-1207_Los-Angeles_CA_90017_M29668-28886" TargetMode="External"/><Relationship Id="rId783" Type="http://schemas.openxmlformats.org/officeDocument/2006/relationships/hyperlink" Target="https://www.realtor.com/realestateandhomes-detail/1163-N-Hart-St_Orange_CA_92867_M29489-43652" TargetMode="External"/><Relationship Id="rId990" Type="http://schemas.openxmlformats.org/officeDocument/2006/relationships/hyperlink" Target="https://www.realtor.com/realestateandhomes-detail/1520-E-Sandison-St_Wilmington_CA_90744_M22921-16375" TargetMode="External"/><Relationship Id="rId2257" Type="http://schemas.openxmlformats.org/officeDocument/2006/relationships/hyperlink" Target="https://www.realtor.com/realestateandhomes-detail/2168-Aliso-Peak-Way_Lake-Forest_CA_92610_M99657-90799" TargetMode="External"/><Relationship Id="rId2464" Type="http://schemas.openxmlformats.org/officeDocument/2006/relationships/hyperlink" Target="https://www.realtor.com/realestateandhomes-detail/18601-Newland-St-Spc-97_Huntington-Beach_CA_92646_M97995-36255" TargetMode="External"/><Relationship Id="rId229" Type="http://schemas.openxmlformats.org/officeDocument/2006/relationships/hyperlink" Target="https://www.realtor.com/realestateandhomes-detail/1271-S-Mullen-Ave_Los-Angeles_CA_90019_M19723-29802" TargetMode="External"/><Relationship Id="rId436" Type="http://schemas.openxmlformats.org/officeDocument/2006/relationships/hyperlink" Target="https://www.realtor.com/realestateandhomes-detail/14840-W-Sunset-Blvd_Pacific-Palisades_CA_90272_M28261-15289" TargetMode="External"/><Relationship Id="rId643" Type="http://schemas.openxmlformats.org/officeDocument/2006/relationships/hyperlink" Target="https://www.realtor.com/realestateandhomes-detail/12047-Summit-Cir_Beverly-Hills_CA_90210_M13954-00002" TargetMode="External"/><Relationship Id="rId1066" Type="http://schemas.openxmlformats.org/officeDocument/2006/relationships/hyperlink" Target="https://www.realtor.com/realestateandhomes-detail/16632-Calle-Jermaine_Pacific-Palisades_CA_90272_M26144-46203" TargetMode="External"/><Relationship Id="rId1273" Type="http://schemas.openxmlformats.org/officeDocument/2006/relationships/hyperlink" Target="https://www.realtor.com/realestateandhomes-detail/1414-W-Oceanfront_Newport-Beach_CA_92661_M15752-85672" TargetMode="External"/><Relationship Id="rId1480" Type="http://schemas.openxmlformats.org/officeDocument/2006/relationships/hyperlink" Target="https://www.realtor.com/realestateandhomes-detail/13-Milkwood-111_Rancho-Santa-Margarita_CA_92688_M25814-55051" TargetMode="External"/><Relationship Id="rId2117" Type="http://schemas.openxmlformats.org/officeDocument/2006/relationships/hyperlink" Target="https://www.realtor.com/realestateandhomes-detail/1136-W-10th-St_San-Pedro_CA_90731_M29695-73943" TargetMode="External"/><Relationship Id="rId2324" Type="http://schemas.openxmlformats.org/officeDocument/2006/relationships/hyperlink" Target="https://www.realtor.com/realestateandhomes-detail/1133-S-Hoover-St-Apt-416_Los-Angeles_CA_90006_M11719-85968" TargetMode="External"/><Relationship Id="rId850" Type="http://schemas.openxmlformats.org/officeDocument/2006/relationships/hyperlink" Target="https://www.realtor.com/realestateandhomes-detail/5108-Strohm-Ave_North-Hollywood_CA_91601_M19603-51690" TargetMode="External"/><Relationship Id="rId948" Type="http://schemas.openxmlformats.org/officeDocument/2006/relationships/hyperlink" Target="https://www.realtor.com/realestateandhomes-detail/2385-Roscomare-Rd-Unit-E17_Los-Angeles_CA_90077_M23629-75624" TargetMode="External"/><Relationship Id="rId1133" Type="http://schemas.openxmlformats.org/officeDocument/2006/relationships/hyperlink" Target="https://www.realtor.com/realestateandhomes-detail/164-W-84th_Los-Angeles_CA_90003_M90173-19962" TargetMode="External"/><Relationship Id="rId1578" Type="http://schemas.openxmlformats.org/officeDocument/2006/relationships/hyperlink" Target="https://www.realtor.com/realestateandhomes-detail/2109-Calle-Ola-Verde-134_San-Clemente_CA_92673_M91945-12757" TargetMode="External"/><Relationship Id="rId1785" Type="http://schemas.openxmlformats.org/officeDocument/2006/relationships/hyperlink" Target="https://www.realtor.com/realestateandhomes-detail/515-Muskingum-Ave_Pacific-Palisades_CA_90272_M25614-54033" TargetMode="External"/><Relationship Id="rId1992" Type="http://schemas.openxmlformats.org/officeDocument/2006/relationships/hyperlink" Target="https://www.realtor.com/realestateandhomes-detail/3991-Hubert-Ave_Leimert-Park_CA_90008_M26951-14128" TargetMode="External"/><Relationship Id="rId2531" Type="http://schemas.openxmlformats.org/officeDocument/2006/relationships/hyperlink" Target="https://www.realtor.com/realestateandhomes-detail/6512-E-Camino-Vis-Unit-6_Anaheim_CA_92807_M22920-56884" TargetMode="External"/><Relationship Id="rId77" Type="http://schemas.openxmlformats.org/officeDocument/2006/relationships/hyperlink" Target="https://www.realtor.com/realestateandhomes-detail/2115-Holmby-Ave_Los-Angeles_CA_90025_M21397-25267" TargetMode="External"/><Relationship Id="rId503" Type="http://schemas.openxmlformats.org/officeDocument/2006/relationships/hyperlink" Target="https://www.realtor.com/realestateandhomes-detail/2005-Via-Mariposa-W-Unit-B_Laguna-Woods_CA_92637_M15747-19741" TargetMode="External"/><Relationship Id="rId710" Type="http://schemas.openxmlformats.org/officeDocument/2006/relationships/hyperlink" Target="https://www.realtor.com/realestateandhomes-detail/13360-Del-Monte-Dr-M15-2C_Seal-Beach_CA_90740_M98950-46013" TargetMode="External"/><Relationship Id="rId808" Type="http://schemas.openxmlformats.org/officeDocument/2006/relationships/hyperlink" Target="https://www.realtor.com/realestateandhomes-detail/2121-James-M-Wood-Blvd-Apt-224_Los-Angeles_CA_90006_M11376-53365" TargetMode="External"/><Relationship Id="rId1340" Type="http://schemas.openxmlformats.org/officeDocument/2006/relationships/hyperlink" Target="https://www.realtor.com/realestateandhomes-detail/6149-Auckland-Ave_North-Hollywood_CA_91606_M18331-25762" TargetMode="External"/><Relationship Id="rId1438" Type="http://schemas.openxmlformats.org/officeDocument/2006/relationships/hyperlink" Target="https://www.realtor.com/realestateandhomes-detail/1641-N-Ogden-Dr_Los-Angeles_CA_90046_M28407-67102" TargetMode="External"/><Relationship Id="rId1645" Type="http://schemas.openxmlformats.org/officeDocument/2006/relationships/hyperlink" Target="https://www.realtor.com/realestateandhomes-detail/1707-Malcolm-Ave-Ph-400_Los-Angeles_CA_90024_M29732-29399" TargetMode="External"/><Relationship Id="rId1200" Type="http://schemas.openxmlformats.org/officeDocument/2006/relationships/hyperlink" Target="https://www.realtor.com/realestateandhomes-detail/3814-Portola-Ave_Los-Angeles_CA_90032_M20142-19778" TargetMode="External"/><Relationship Id="rId1852" Type="http://schemas.openxmlformats.org/officeDocument/2006/relationships/hyperlink" Target="https://www.realtor.com/realestateandhomes-detail/8681-Katella-Ave-Spc-914_Stanton_CA_90680_M21498-14065" TargetMode="External"/><Relationship Id="rId1505" Type="http://schemas.openxmlformats.org/officeDocument/2006/relationships/hyperlink" Target="https://www.realtor.com/realestateandhomes-detail/1000-N-Bundy-Dr_Los-Angeles_CA_90049_M11318-07841" TargetMode="External"/><Relationship Id="rId1712" Type="http://schemas.openxmlformats.org/officeDocument/2006/relationships/hyperlink" Target="https://www.realtor.com/realestateandhomes-detail/8356-W-4th-St_Los-Angeles_CA_90048_M19242-85778" TargetMode="External"/><Relationship Id="rId293" Type="http://schemas.openxmlformats.org/officeDocument/2006/relationships/hyperlink" Target="https://www.realtor.com/realestateandhomes-detail/7030-DE-Longpre-Ave_Los-Angeles_CA_90028_M27039-26561" TargetMode="External"/><Relationship Id="rId2181" Type="http://schemas.openxmlformats.org/officeDocument/2006/relationships/hyperlink" Target="https://www.realtor.com/realestateandhomes-detail/207-N-Ranchito-St_Anaheim_CA_92801_M25227-34993" TargetMode="External"/><Relationship Id="rId153" Type="http://schemas.openxmlformats.org/officeDocument/2006/relationships/hyperlink" Target="https://www.realtor.com/realestateandhomes-detail/1532-Granville-Ave_Los-Angeles_CA_90025_M25510-40846" TargetMode="External"/><Relationship Id="rId360" Type="http://schemas.openxmlformats.org/officeDocument/2006/relationships/hyperlink" Target="https://www.realtor.com/realestateandhomes-detail/10261-Calvin-Ave_Northridge_CA_91324_M21959-50128" TargetMode="External"/><Relationship Id="rId598" Type="http://schemas.openxmlformats.org/officeDocument/2006/relationships/hyperlink" Target="https://www.realtor.com/realestateandhomes-detail/313-E-36th-St_Los-Angeles_CA_90011_M27003-57254" TargetMode="External"/><Relationship Id="rId2041" Type="http://schemas.openxmlformats.org/officeDocument/2006/relationships/hyperlink" Target="https://www.realtor.com/realestateandhomes-detail/1750-Camino-Palmero-St-Apt-237_Los-Angeles_CA_90046_M27846-07326" TargetMode="External"/><Relationship Id="rId2279" Type="http://schemas.openxmlformats.org/officeDocument/2006/relationships/hyperlink" Target="https://www.realtor.com/realestateandhomes-detail/225-S-Kern-Ave_Los-Angeles_CA_90022_M24250-25099" TargetMode="External"/><Relationship Id="rId2486" Type="http://schemas.openxmlformats.org/officeDocument/2006/relationships/hyperlink" Target="https://www.realtor.com/realestateandhomes-detail/761-Oceanview-Dr_Fullerton_CA_92832_M24201-90493" TargetMode="External"/><Relationship Id="rId220" Type="http://schemas.openxmlformats.org/officeDocument/2006/relationships/hyperlink" Target="https://www.realtor.com/realestateandhomes-detail/2466-Lancaster-Ave_Los-Angeles_CA_90033_M13908-57928" TargetMode="External"/><Relationship Id="rId458" Type="http://schemas.openxmlformats.org/officeDocument/2006/relationships/hyperlink" Target="https://www.realtor.com/realestateandhomes-detail/12263-Laurel-Terrace-Dr_Studio-City_CA_91604_M11926-36008" TargetMode="External"/><Relationship Id="rId665" Type="http://schemas.openxmlformats.org/officeDocument/2006/relationships/hyperlink" Target="https://www.realtor.com/realestateandhomes-detail/2275-W-25th-St-Spc-18_San-Pedro_CA_90732_M90790-92241" TargetMode="External"/><Relationship Id="rId872" Type="http://schemas.openxmlformats.org/officeDocument/2006/relationships/hyperlink" Target="https://www.realtor.com/realestateandhomes-detail/1-O-Hill-Rdg_Laguna-Niguel_CA_92677_M27917-94516" TargetMode="External"/><Relationship Id="rId1088" Type="http://schemas.openxmlformats.org/officeDocument/2006/relationships/hyperlink" Target="https://www.realtor.com/realestateandhomes-detail/10821-Hartsook-St_North-Hollywood_CA_91601_M19556-18916" TargetMode="External"/><Relationship Id="rId1295" Type="http://schemas.openxmlformats.org/officeDocument/2006/relationships/hyperlink" Target="https://www.realtor.com/realestateandhomes-detail/20-Lagunita-Dr_Laguna-Beach_CA_92651_M28021-12415" TargetMode="External"/><Relationship Id="rId2139" Type="http://schemas.openxmlformats.org/officeDocument/2006/relationships/hyperlink" Target="https://www.realtor.com/realestateandhomes-detail/1600-Northwood-Rd-Apt-275E_Seal-Beach_CA_90740_M14883-30439" TargetMode="External"/><Relationship Id="rId2346" Type="http://schemas.openxmlformats.org/officeDocument/2006/relationships/hyperlink" Target="https://www.realtor.com/realestateandhomes-detail/2220-Avenue-of-the-Stars-Unit-205_Los-Angeles_CA_90067_M26273-50124" TargetMode="External"/><Relationship Id="rId318" Type="http://schemas.openxmlformats.org/officeDocument/2006/relationships/hyperlink" Target="https://www.realtor.com/realestateandhomes-detail/2204-W-Slauson-Ave_Los-Angeles_CA_90043_M20169-53582" TargetMode="External"/><Relationship Id="rId525" Type="http://schemas.openxmlformats.org/officeDocument/2006/relationships/hyperlink" Target="https://www.realtor.com/realestateandhomes-detail/5000-Petit-Ave_Encino_CA_91436_M21641-44609" TargetMode="External"/><Relationship Id="rId732" Type="http://schemas.openxmlformats.org/officeDocument/2006/relationships/hyperlink" Target="https://www.realtor.com/realestateandhomes-detail/3333-Division-St_Los-Angeles_CA_90065_M11026-09012" TargetMode="External"/><Relationship Id="rId1155" Type="http://schemas.openxmlformats.org/officeDocument/2006/relationships/hyperlink" Target="https://www.realtor.com/realestateandhomes-detail/1644-E-122nd-St_Los-Angeles_CA_90059_M18611-00410" TargetMode="External"/><Relationship Id="rId1362" Type="http://schemas.openxmlformats.org/officeDocument/2006/relationships/hyperlink" Target="https://www.realtor.com/realestateandhomes-detail/13435-Chase-St_Arleta_CA_91331_M21772-53997" TargetMode="External"/><Relationship Id="rId2206" Type="http://schemas.openxmlformats.org/officeDocument/2006/relationships/hyperlink" Target="https://www.realtor.com/realestateandhomes-detail/10460-Lorinda-Ave_Buena-Park_CA_90620_M23879-21335" TargetMode="External"/><Relationship Id="rId2413" Type="http://schemas.openxmlformats.org/officeDocument/2006/relationships/hyperlink" Target="https://www.realtor.com/realestateandhomes-detail/3207-Moritz-Dr-41_Huntington-Beach_CA_92649_M21669-28947" TargetMode="External"/><Relationship Id="rId99" Type="http://schemas.openxmlformats.org/officeDocument/2006/relationships/hyperlink" Target="https://www.realtor.com/realestateandhomes-detail/2813-E-6th-St_Los-Angeles_CA_90023_M12353-47150" TargetMode="External"/><Relationship Id="rId1015" Type="http://schemas.openxmlformats.org/officeDocument/2006/relationships/hyperlink" Target="https://www.realtor.com/realestateandhomes-detail/251-N-Kenmore-Ave-Apt-2_Los-Angeles_CA_90004_M21221-30667" TargetMode="External"/><Relationship Id="rId1222" Type="http://schemas.openxmlformats.org/officeDocument/2006/relationships/hyperlink" Target="https://www.realtor.com/realestateandhomes-detail/132-Abacus_Irvine_CA_92618_M97333-33829" TargetMode="External"/><Relationship Id="rId1667" Type="http://schemas.openxmlformats.org/officeDocument/2006/relationships/hyperlink" Target="https://www.realtor.com/realestateandhomes-detail/14035-Aubrey-Rd_Beverly-Hills_CA_90210_M28276-20019" TargetMode="External"/><Relationship Id="rId1874" Type="http://schemas.openxmlformats.org/officeDocument/2006/relationships/hyperlink" Target="https://www.realtor.com/realestateandhomes-detail/3051-N-North-Coolidge-Ave_Los-Angeles_CA_90039_M29146-39572" TargetMode="External"/><Relationship Id="rId1527" Type="http://schemas.openxmlformats.org/officeDocument/2006/relationships/hyperlink" Target="https://www.realtor.com/realestateandhomes-detail/453-Seaward-Rd_Corona-Del-Mar_CA_92625_M22071-61643" TargetMode="External"/><Relationship Id="rId1734" Type="http://schemas.openxmlformats.org/officeDocument/2006/relationships/hyperlink" Target="https://www.realtor.com/realestateandhomes-detail/2637-S-Redondo-Blvd_Los-Angeles_CA_90016_M29434-91635" TargetMode="External"/><Relationship Id="rId1941" Type="http://schemas.openxmlformats.org/officeDocument/2006/relationships/hyperlink" Target="https://www.realtor.com/realestateandhomes-detail/2721-N-Onyxdr_Los-Angeles_CA_90032_M95617-77688" TargetMode="External"/><Relationship Id="rId26" Type="http://schemas.openxmlformats.org/officeDocument/2006/relationships/hyperlink" Target="https://www.realtor.com/realestateandhomes-detail/3001-Hutton-Pl_Beverly-Hills_CA_90210_M24607-97254" TargetMode="External"/><Relationship Id="rId175" Type="http://schemas.openxmlformats.org/officeDocument/2006/relationships/hyperlink" Target="https://www.realtor.com/realestateandhomes-detail/877-Francisco-St-Apt-827_Los-Angeles_CA_90017_M99656-47791" TargetMode="External"/><Relationship Id="rId1801" Type="http://schemas.openxmlformats.org/officeDocument/2006/relationships/hyperlink" Target="https://www.realtor.com/realestateandhomes-detail/1347-N-Mansfield-Ave_Los-Angeles_CA_90028_M27198-39118" TargetMode="External"/><Relationship Id="rId382" Type="http://schemas.openxmlformats.org/officeDocument/2006/relationships/hyperlink" Target="https://www.realtor.com/realestateandhomes-detail/3072-Scholarship_Irvine_CA_92612_M16611-57102" TargetMode="External"/><Relationship Id="rId687" Type="http://schemas.openxmlformats.org/officeDocument/2006/relationships/hyperlink" Target="https://www.realtor.com/realestateandhomes-detail/4451-Coronet-Dr_Encino_CA_91316_M22250-11265" TargetMode="External"/><Relationship Id="rId2063" Type="http://schemas.openxmlformats.org/officeDocument/2006/relationships/hyperlink" Target="https://www.realtor.com/realestateandhomes-detail/3417-Arlington-Ave_Los-Angeles_CA_90018_M28183-33555" TargetMode="External"/><Relationship Id="rId2270" Type="http://schemas.openxmlformats.org/officeDocument/2006/relationships/hyperlink" Target="https://www.realtor.com/realestateandhomes-detail/136-Pineview_Irvine_CA_92620_M12957-92326" TargetMode="External"/><Relationship Id="rId2368" Type="http://schemas.openxmlformats.org/officeDocument/2006/relationships/hyperlink" Target="https://www.realtor.com/realestateandhomes-detail/1149-Camulos-St_Los-Angeles_CA_90023_M10805-07159" TargetMode="External"/><Relationship Id="rId242" Type="http://schemas.openxmlformats.org/officeDocument/2006/relationships/hyperlink" Target="https://www.realtor.com/realestateandhomes-detail/1412-Marinette-Rd_Pacific-Palisades_CA_90272_M23229-05044" TargetMode="External"/><Relationship Id="rId894" Type="http://schemas.openxmlformats.org/officeDocument/2006/relationships/hyperlink" Target="https://www.realtor.com/realestateandhomes-detail/305-5-Fernleaf_Corona-Del-Mar_CA_92625_M94206-94206" TargetMode="External"/><Relationship Id="rId1177" Type="http://schemas.openxmlformats.org/officeDocument/2006/relationships/hyperlink" Target="https://www.realtor.com/realestateandhomes-detail/5666-Lemon-Grove-Ave_Los-Angeles_CA_90038_M25049-63694" TargetMode="External"/><Relationship Id="rId2130" Type="http://schemas.openxmlformats.org/officeDocument/2006/relationships/hyperlink" Target="https://www.realtor.com/realestateandhomes-detail/1891-McKinney-Way-Apt-26B_Seal-Beach_CA_90740_M93314-85594" TargetMode="External"/><Relationship Id="rId102" Type="http://schemas.openxmlformats.org/officeDocument/2006/relationships/hyperlink" Target="https://www.realtor.com/realestateandhomes-detail/1625-Rexford-Dr_Los-Angeles_CA_90035_M18466-28629" TargetMode="External"/><Relationship Id="rId547" Type="http://schemas.openxmlformats.org/officeDocument/2006/relationships/hyperlink" Target="https://www.realtor.com/realestateandhomes-detail/11441-Stanford-Ave_Garden-Grove_CA_92840_M14354-15217" TargetMode="External"/><Relationship Id="rId754" Type="http://schemas.openxmlformats.org/officeDocument/2006/relationships/hyperlink" Target="https://www.realtor.com/realestateandhomes-detail/12200-Montecito-Rd-Apt-D301_Seal-Beach_CA_90740_M18178-79957" TargetMode="External"/><Relationship Id="rId961" Type="http://schemas.openxmlformats.org/officeDocument/2006/relationships/hyperlink" Target="https://www.realtor.com/realestateandhomes-detail/2037-Hillsboro-Ave_Los-Angeles_CA_90034_M17770-90380" TargetMode="External"/><Relationship Id="rId1384" Type="http://schemas.openxmlformats.org/officeDocument/2006/relationships/hyperlink" Target="https://www.realtor.com/realestateandhomes-detail/20356-Via-Cellini_Porter-Ranch_CA_91326_M18765-81000" TargetMode="External"/><Relationship Id="rId1591" Type="http://schemas.openxmlformats.org/officeDocument/2006/relationships/hyperlink" Target="https://www.realtor.com/realestateandhomes-detail/9423-12-Sepulveda-Blvd-Unit-6_North-Hills_CA_91343_M91272-96811" TargetMode="External"/><Relationship Id="rId1689" Type="http://schemas.openxmlformats.org/officeDocument/2006/relationships/hyperlink" Target="https://www.realtor.com/realestateandhomes-detail/4328-Brighton-Ave_Los-Angeles_CA_90062_M24360-04030" TargetMode="External"/><Relationship Id="rId2228" Type="http://schemas.openxmlformats.org/officeDocument/2006/relationships/hyperlink" Target="https://www.realtor.com/realestateandhomes-detail/1306-Gulf-Ave_Wilmington_CA_90744_M18877-43633" TargetMode="External"/><Relationship Id="rId2435" Type="http://schemas.openxmlformats.org/officeDocument/2006/relationships/hyperlink" Target="https://www.realtor.com/realestateandhomes-detail/6982-Crimson-Dr_Buena-Park_CA_90621_M95057-80604" TargetMode="External"/><Relationship Id="rId90" Type="http://schemas.openxmlformats.org/officeDocument/2006/relationships/hyperlink" Target="https://www.realtor.com/realestateandhomes-detail/3662-Keystone-Ave_Los-Angeles_CA_90034_M19999-03450" TargetMode="External"/><Relationship Id="rId407" Type="http://schemas.openxmlformats.org/officeDocument/2006/relationships/hyperlink" Target="https://www.realtor.com/realestateandhomes-detail/432-S-Willaman-Dr-Apt-401_Los-Angeles_CA_90048_M27631-86745" TargetMode="External"/><Relationship Id="rId614" Type="http://schemas.openxmlformats.org/officeDocument/2006/relationships/hyperlink" Target="https://www.realtor.com/realestateandhomes-detail/23003-Mariano-St_Woodland-Hills_CA_91367_M19040-62447" TargetMode="External"/><Relationship Id="rId821" Type="http://schemas.openxmlformats.org/officeDocument/2006/relationships/hyperlink" Target="https://www.realtor.com/realestateandhomes-detail/735-N-Orlando-Ave_Los-Angeles_CA_90069_M23393-53846" TargetMode="External"/><Relationship Id="rId1037" Type="http://schemas.openxmlformats.org/officeDocument/2006/relationships/hyperlink" Target="https://www.realtor.com/realestateandhomes-detail/9315-Beverly-Crest-Dr_Beverly-Hills_CA_90210_M13232-91626" TargetMode="External"/><Relationship Id="rId1244" Type="http://schemas.openxmlformats.org/officeDocument/2006/relationships/hyperlink" Target="https://www.realtor.com/realestateandhomes-detail/6732-Wooster-Ave_Los-Angeles_CA_90056_M11863-84777" TargetMode="External"/><Relationship Id="rId1451" Type="http://schemas.openxmlformats.org/officeDocument/2006/relationships/hyperlink" Target="https://www.realtor.com/realestateandhomes-detail/1234-Wilshire-Blvd-Apt-233_Los-Angeles_CA_90017_M11903-38481" TargetMode="External"/><Relationship Id="rId1896" Type="http://schemas.openxmlformats.org/officeDocument/2006/relationships/hyperlink" Target="https://www.realtor.com/realestateandhomes-detail/3943-Avenida-Del-Sol_Studio-City_CA_91604_M14221-19682" TargetMode="External"/><Relationship Id="rId2502" Type="http://schemas.openxmlformats.org/officeDocument/2006/relationships/hyperlink" Target="https://www.realtor.com/realestateandhomes-detail/1789-Nantucket-Pl_Costa-Mesa_CA_92627_M95764-51321" TargetMode="External"/><Relationship Id="rId919" Type="http://schemas.openxmlformats.org/officeDocument/2006/relationships/hyperlink" Target="https://www.realtor.com/realestateandhomes-detail/13346-Los-Olivos-Rd_Rancho-Cascades_CA_91342_M11427-99214" TargetMode="External"/><Relationship Id="rId1104" Type="http://schemas.openxmlformats.org/officeDocument/2006/relationships/hyperlink" Target="https://www.realtor.com/realestateandhomes-detail/5240-Barker-Dr_Los-Angeles_CA_90042_M97020-79608" TargetMode="External"/><Relationship Id="rId1311" Type="http://schemas.openxmlformats.org/officeDocument/2006/relationships/hyperlink" Target="https://www.realtor.com/realestateandhomes-detail/634-E-Adams-Ave_Orange_CA_92867_M27371-61300" TargetMode="External"/><Relationship Id="rId1549" Type="http://schemas.openxmlformats.org/officeDocument/2006/relationships/hyperlink" Target="https://www.realtor.com/realestateandhomes-detail/24055-Paseo-Del-Lago-Unit-1354_Laguna-Woods_CA_92637_M13012-05882" TargetMode="External"/><Relationship Id="rId1756" Type="http://schemas.openxmlformats.org/officeDocument/2006/relationships/hyperlink" Target="https://www.realtor.com/realestateandhomes-detail/4199-Saltillo-St_Woodland-Hills_CA_91364_M26966-02502" TargetMode="External"/><Relationship Id="rId1963" Type="http://schemas.openxmlformats.org/officeDocument/2006/relationships/hyperlink" Target="https://www.realtor.com/realestateandhomes-detail/101-Ocean-Ave-Unit-A100_Santa-Monica_CA_90402_M24919-53050" TargetMode="External"/><Relationship Id="rId48" Type="http://schemas.openxmlformats.org/officeDocument/2006/relationships/hyperlink" Target="https://www.realtor.com/realestateandhomes-detail/13600-Marina-Pointe-Dr-Unit-1704_Marina-Del-Rey_CA_90292_M15822-40401" TargetMode="External"/><Relationship Id="rId1409" Type="http://schemas.openxmlformats.org/officeDocument/2006/relationships/hyperlink" Target="https://www.realtor.com/realestateandhomes-detail/6232-Morse-Ave_North-Hollywood_CA_91606_M20768-93665" TargetMode="External"/><Relationship Id="rId1616" Type="http://schemas.openxmlformats.org/officeDocument/2006/relationships/hyperlink" Target="https://www.realtor.com/realestateandhomes-detail/9053-Willis-Ave_Panorama-City_CA_91402_M93275-64069" TargetMode="External"/><Relationship Id="rId1823" Type="http://schemas.openxmlformats.org/officeDocument/2006/relationships/hyperlink" Target="https://www.realtor.com/realestateandhomes-detail/578-W-Oliver-St_San-Pedro_CA_90731_M26450-02014" TargetMode="External"/><Relationship Id="rId197" Type="http://schemas.openxmlformats.org/officeDocument/2006/relationships/hyperlink" Target="https://www.realtor.com/realestateandhomes-detail/8070-E-Oak-Ridge-Cir_Anaheim_CA_92808_M13132-35935" TargetMode="External"/><Relationship Id="rId2085" Type="http://schemas.openxmlformats.org/officeDocument/2006/relationships/hyperlink" Target="https://www.realtor.com/realestateandhomes-detail/8951-St-Ives-Dr_Los-Angeles_CA_90069_M29568-87779" TargetMode="External"/><Relationship Id="rId2292" Type="http://schemas.openxmlformats.org/officeDocument/2006/relationships/hyperlink" Target="https://www.realtor.com/realestateandhomes-detail/12244-Tiara-St_Valley-Village_CA_91607_M17201-98126" TargetMode="External"/><Relationship Id="rId264" Type="http://schemas.openxmlformats.org/officeDocument/2006/relationships/hyperlink" Target="https://www.realtor.com/realestateandhomes-detail/7022-Solara-Way_Westminster_CA_92683_M92527-67235" TargetMode="External"/><Relationship Id="rId471" Type="http://schemas.openxmlformats.org/officeDocument/2006/relationships/hyperlink" Target="https://www.realtor.com/realestateandhomes-detail/25191-Via-Piedra-Blanca_Laguna-Niguel_CA_92677_M11227-55182" TargetMode="External"/><Relationship Id="rId2152" Type="http://schemas.openxmlformats.org/officeDocument/2006/relationships/hyperlink" Target="https://www.realtor.com/realestateandhomes-detail/552-N-Cambridge-St_Orange_CA_92867_M11300-56158" TargetMode="External"/><Relationship Id="rId124" Type="http://schemas.openxmlformats.org/officeDocument/2006/relationships/hyperlink" Target="https://www.realtor.com/realestateandhomes-detail/730-S-Stillwater-Ln_Anaheim_CA_92807_M23510-11605" TargetMode="External"/><Relationship Id="rId569" Type="http://schemas.openxmlformats.org/officeDocument/2006/relationships/hyperlink" Target="https://www.realtor.com/realestateandhomes-detail/34096-Alcazar-Dr_Dana-Point_CA_92629_M10805-63563" TargetMode="External"/><Relationship Id="rId776" Type="http://schemas.openxmlformats.org/officeDocument/2006/relationships/hyperlink" Target="https://www.realtor.com/realestateandhomes-detail/1741-Tustin-Ave-Apt-3C_Costa-Mesa_CA_92627_M21714-81749" TargetMode="External"/><Relationship Id="rId983" Type="http://schemas.openxmlformats.org/officeDocument/2006/relationships/hyperlink" Target="https://www.realtor.com/realestateandhomes-detail/15330-Albright-St_Pacific-Palisades_CA_90272_M99240-46639" TargetMode="External"/><Relationship Id="rId1199" Type="http://schemas.openxmlformats.org/officeDocument/2006/relationships/hyperlink" Target="https://www.realtor.com/realestateandhomes-detail/2420-E-Agave-St-Unit-5_Anaheim_CA_92806_M93381-35282" TargetMode="External"/><Relationship Id="rId2457" Type="http://schemas.openxmlformats.org/officeDocument/2006/relationships/hyperlink" Target="https://www.realtor.com/realestateandhomes-detail/2914-S-Rene-Dr_Santa-Ana_CA_92704_M26776-64037" TargetMode="External"/><Relationship Id="rId331" Type="http://schemas.openxmlformats.org/officeDocument/2006/relationships/hyperlink" Target="https://www.realtor.com/realestateandhomes-detail/224-Linnie-Canal_Venice_CA_90291_M28254-94608" TargetMode="External"/><Relationship Id="rId429" Type="http://schemas.openxmlformats.org/officeDocument/2006/relationships/hyperlink" Target="https://www.realtor.com/realestateandhomes-detail/33-Basilica-Pl_Ladera-Ranch_CA_92694_M19354-87632" TargetMode="External"/><Relationship Id="rId636" Type="http://schemas.openxmlformats.org/officeDocument/2006/relationships/hyperlink" Target="https://www.realtor.com/realestateandhomes-detail/1937-Delta-St_Los-Angeles_CA_90026_M23349-30571" TargetMode="External"/><Relationship Id="rId1059" Type="http://schemas.openxmlformats.org/officeDocument/2006/relationships/hyperlink" Target="https://www.realtor.com/realestateandhomes-detail/836-S-Catalina-St_Los-Angeles_CA_90005_M14694-76014" TargetMode="External"/><Relationship Id="rId1266" Type="http://schemas.openxmlformats.org/officeDocument/2006/relationships/hyperlink" Target="https://www.realtor.com/realestateandhomes-detail/1380-Cabrillo-Park-Dr-Apt-G_Santa-Ana_CA_92701_M23790-58064" TargetMode="External"/><Relationship Id="rId1473" Type="http://schemas.openxmlformats.org/officeDocument/2006/relationships/hyperlink" Target="https://www.realtor.com/realestateandhomes-detail/25701-View-Pointe_Lake-Forest_CA_92630_M25911-96901" TargetMode="External"/><Relationship Id="rId2012" Type="http://schemas.openxmlformats.org/officeDocument/2006/relationships/hyperlink" Target="https://www.realtor.com/realestateandhomes-detail/1930-Yosemite-Dr_Los-Angeles_CA_90041_M12695-37689" TargetMode="External"/><Relationship Id="rId2317" Type="http://schemas.openxmlformats.org/officeDocument/2006/relationships/hyperlink" Target="https://www.realtor.com/realestateandhomes-detail/1736-W-51st_Los-Angeles_CA_90062_M90638-23166" TargetMode="External"/><Relationship Id="rId843" Type="http://schemas.openxmlformats.org/officeDocument/2006/relationships/hyperlink" Target="https://www.realtor.com/realestateandhomes-detail/22284-Avenue-San-Luis_Woodland-Hills_CA_91364_M28198-35718" TargetMode="External"/><Relationship Id="rId1126" Type="http://schemas.openxmlformats.org/officeDocument/2006/relationships/hyperlink" Target="https://www.realtor.com/realestateandhomes-detail/1518-S-Durango-Ave_Los-Angeles_CA_90035_M18414-85929" TargetMode="External"/><Relationship Id="rId1680" Type="http://schemas.openxmlformats.org/officeDocument/2006/relationships/hyperlink" Target="https://www.realtor.com/realestateandhomes-detail/3910-Drysdale-Ave_Los-Angeles_CA_90032_M19749-15673" TargetMode="External"/><Relationship Id="rId1778" Type="http://schemas.openxmlformats.org/officeDocument/2006/relationships/hyperlink" Target="https://www.realtor.com/realestateandhomes-detail/1724-Freeport-Ter_San-Pedro_CA_90732_M17925-74884" TargetMode="External"/><Relationship Id="rId1985" Type="http://schemas.openxmlformats.org/officeDocument/2006/relationships/hyperlink" Target="https://www.realtor.com/realestateandhomes-detail/1502-Paseo-De-Oro_Pacific-Palisades_CA_90272_M12370-09596" TargetMode="External"/><Relationship Id="rId2524" Type="http://schemas.openxmlformats.org/officeDocument/2006/relationships/hyperlink" Target="https://www.realtor.com/realestateandhomes-detail/369-Avenida-Castilla-Unit-G_Laguna-Woods_CA_92637_M94033-70089" TargetMode="External"/><Relationship Id="rId703" Type="http://schemas.openxmlformats.org/officeDocument/2006/relationships/hyperlink" Target="https://www.realtor.com/realestateandhomes-detail/24055-Paseo-Del-Lago-Unit-1257_Laguna-Woods_CA_92637_M17073-06522" TargetMode="External"/><Relationship Id="rId910" Type="http://schemas.openxmlformats.org/officeDocument/2006/relationships/hyperlink" Target="https://www.realtor.com/realestateandhomes-detail/245-Crescent-Bay-Dr_Laguna-Beach_CA_92651_M22739-28913" TargetMode="External"/><Relationship Id="rId1333" Type="http://schemas.openxmlformats.org/officeDocument/2006/relationships/hyperlink" Target="https://www.realtor.com/realestateandhomes-detail/2612-Marathon-St-12_Los-Angeles_CA_90026_M99347-11269" TargetMode="External"/><Relationship Id="rId1540" Type="http://schemas.openxmlformats.org/officeDocument/2006/relationships/hyperlink" Target="https://www.realtor.com/realestateandhomes-detail/11-Travis-Rd_Buena-Park_CA_90621_M11558-59444" TargetMode="External"/><Relationship Id="rId1638" Type="http://schemas.openxmlformats.org/officeDocument/2006/relationships/hyperlink" Target="https://www.realtor.com/realestateandhomes-detail/2982-W-15th-St_Los-Angeles_CA_90006_M18316-50869" TargetMode="External"/><Relationship Id="rId1400" Type="http://schemas.openxmlformats.org/officeDocument/2006/relationships/hyperlink" Target="https://www.realtor.com/realestateandhomes-detail/3721-Eureka-Dr_Studio-City_CA_91604_M94028-05417" TargetMode="External"/><Relationship Id="rId1845" Type="http://schemas.openxmlformats.org/officeDocument/2006/relationships/hyperlink" Target="https://www.realtor.com/realestateandhomes-detail/3022-S-Beverly-Dr_Los-Angeles_CA_90034_M20540-88131" TargetMode="External"/><Relationship Id="rId1705" Type="http://schemas.openxmlformats.org/officeDocument/2006/relationships/hyperlink" Target="https://www.realtor.com/realestateandhomes-detail/2201-S-Ridgeley-Dr_Los-Angeles_CA_90016_M15079-96158" TargetMode="External"/><Relationship Id="rId1912" Type="http://schemas.openxmlformats.org/officeDocument/2006/relationships/hyperlink" Target="https://www.realtor.com/realestateandhomes-detail/6150-Wooster-Ave_Los-Angeles_CA_90056_M10485-00789" TargetMode="External"/><Relationship Id="rId286" Type="http://schemas.openxmlformats.org/officeDocument/2006/relationships/hyperlink" Target="https://www.realtor.com/realestateandhomes-detail/120-Parkland-Aly_Lake-Forest_CA_92630_M95399-90708" TargetMode="External"/><Relationship Id="rId493" Type="http://schemas.openxmlformats.org/officeDocument/2006/relationships/hyperlink" Target="https://www.realtor.com/realestateandhomes-detail/1919-Sherry-Ln-Apt-46_Santa-Ana_CA_92705_M14397-16544" TargetMode="External"/><Relationship Id="rId2174" Type="http://schemas.openxmlformats.org/officeDocument/2006/relationships/hyperlink" Target="https://www.realtor.com/realestateandhomes-detail/3408-N-Figueroa-St_Glassell-Park_CA_90065_M29235-08866" TargetMode="External"/><Relationship Id="rId2381" Type="http://schemas.openxmlformats.org/officeDocument/2006/relationships/hyperlink" Target="https://www.realtor.com/realestateandhomes-detail/4171-Paseo-De-Plata_Cypress_CA_90630_M29153-86634" TargetMode="External"/><Relationship Id="rId146" Type="http://schemas.openxmlformats.org/officeDocument/2006/relationships/hyperlink" Target="https://www.realtor.com/realestateandhomes-detail/9938-Commerce-Ave_Tujunga_CA_91042_M92136-81575" TargetMode="External"/><Relationship Id="rId353" Type="http://schemas.openxmlformats.org/officeDocument/2006/relationships/hyperlink" Target="https://www.realtor.com/realestateandhomes-detail/4447-Calhoun-Ave_Sherman-Oaks_CA_91423_M24149-81668" TargetMode="External"/><Relationship Id="rId560" Type="http://schemas.openxmlformats.org/officeDocument/2006/relationships/hyperlink" Target="https://www.realtor.com/realestateandhomes-detail/76-Bianco_Irvine_CA_92618_M22174-21392" TargetMode="External"/><Relationship Id="rId798" Type="http://schemas.openxmlformats.org/officeDocument/2006/relationships/hyperlink" Target="https://www.realtor.com/realestateandhomes-detail/7131-E-Cambria-Cir_Orange_CA_92869_M10219-47659" TargetMode="External"/><Relationship Id="rId1190" Type="http://schemas.openxmlformats.org/officeDocument/2006/relationships/hyperlink" Target="https://www.realtor.com/realestateandhomes-detail/1669-1671-E-Imperial_Los-Angeles_CA_90059_M97318-31985" TargetMode="External"/><Relationship Id="rId2034" Type="http://schemas.openxmlformats.org/officeDocument/2006/relationships/hyperlink" Target="https://www.realtor.com/realestateandhomes-detail/4116-W-59th-St_Los-Angeles_CA_90043_M25638-31288" TargetMode="External"/><Relationship Id="rId2241" Type="http://schemas.openxmlformats.org/officeDocument/2006/relationships/hyperlink" Target="https://www.realtor.com/realestateandhomes-detail/31292-Ysidora-St_San-Juan-Capistrano_CA_92675_M13872-56247" TargetMode="External"/><Relationship Id="rId2479" Type="http://schemas.openxmlformats.org/officeDocument/2006/relationships/hyperlink" Target="https://www.realtor.com/realestateandhomes-detail/4041-Via-Marisol-Apt-210_Los-Angeles_CA_90042_M18595-40315" TargetMode="External"/><Relationship Id="rId213" Type="http://schemas.openxmlformats.org/officeDocument/2006/relationships/hyperlink" Target="https://www.realtor.com/realestateandhomes-detail/110-Spiral_Irvine_CA_92618_M90632-59768" TargetMode="External"/><Relationship Id="rId420" Type="http://schemas.openxmlformats.org/officeDocument/2006/relationships/hyperlink" Target="https://www.realtor.com/realestateandhomes-detail/8828-Zeiler-Ave_Arleta_CA_91331_M25208-08720" TargetMode="External"/><Relationship Id="rId658" Type="http://schemas.openxmlformats.org/officeDocument/2006/relationships/hyperlink" Target="https://www.realtor.com/realestateandhomes-detail/7619-W-85th-St_Playa-Del-Rey_CA_90293_M17559-57442" TargetMode="External"/><Relationship Id="rId865" Type="http://schemas.openxmlformats.org/officeDocument/2006/relationships/hyperlink" Target="https://www.realtor.com/realestateandhomes-detail/22832-Dominita-Rd_Laguna-Niguel_CA_92677_M21599-03628" TargetMode="External"/><Relationship Id="rId1050" Type="http://schemas.openxmlformats.org/officeDocument/2006/relationships/hyperlink" Target="https://www.realtor.com/realestateandhomes-detail/1614-Viewmont-Dr_Los-Angeles_CA_90069_M29253-98057" TargetMode="External"/><Relationship Id="rId1288" Type="http://schemas.openxmlformats.org/officeDocument/2006/relationships/hyperlink" Target="https://www.realtor.com/realestateandhomes-detail/11921-Medina-Dr_Garden-Grove_CA_92840_M13222-01284" TargetMode="External"/><Relationship Id="rId1495" Type="http://schemas.openxmlformats.org/officeDocument/2006/relationships/hyperlink" Target="https://www.realtor.com/realestateandhomes-detail/61-Via-Abruzzi_Aliso-Viejo_CA_92656_M11955-38717" TargetMode="External"/><Relationship Id="rId2101" Type="http://schemas.openxmlformats.org/officeDocument/2006/relationships/hyperlink" Target="https://www.realtor.com/realestateandhomes-detail/3855-S-Centinela-Ave_Los-Angeles_CA_90066_M94425-09050" TargetMode="External"/><Relationship Id="rId2339" Type="http://schemas.openxmlformats.org/officeDocument/2006/relationships/hyperlink" Target="https://www.realtor.com/realestateandhomes-detail/3025-Carter-Ave_Marina-Del-Rey_CA_90292_M14070-13677" TargetMode="External"/><Relationship Id="rId2546" Type="http://schemas.openxmlformats.org/officeDocument/2006/relationships/hyperlink" Target="https://www.realtor.com/realestateandhomes-detail/7641-Beck-Ave_North-Hollywood_CA_91605_M16400-99553" TargetMode="External"/><Relationship Id="rId518" Type="http://schemas.openxmlformats.org/officeDocument/2006/relationships/hyperlink" Target="https://www.realtor.com/realestateandhomes-detail/5064-Encino-Ave_Encino_CA_91316_M20618-49596" TargetMode="External"/><Relationship Id="rId725" Type="http://schemas.openxmlformats.org/officeDocument/2006/relationships/hyperlink" Target="https://www.realtor.com/realestateandhomes-detail/6622-5th-Ave_Los-Angeles_CA_90043_M20879-07937" TargetMode="External"/><Relationship Id="rId932" Type="http://schemas.openxmlformats.org/officeDocument/2006/relationships/hyperlink" Target="https://www.realtor.com/realestateandhomes-detail/20454-W-Albion-Way_Porter-Ranch_CA_91326_M91610-91343" TargetMode="External"/><Relationship Id="rId1148" Type="http://schemas.openxmlformats.org/officeDocument/2006/relationships/hyperlink" Target="https://www.realtor.com/realestateandhomes-detail/4532-Calhoun-Ave_Sherman-Oaks_CA_91423_M24068-20426" TargetMode="External"/><Relationship Id="rId1355" Type="http://schemas.openxmlformats.org/officeDocument/2006/relationships/hyperlink" Target="https://www.realtor.com/realestateandhomes-detail/24365-Sterling-Ranch-Rd_Canoga-Park_CA_91304_M99078-01392" TargetMode="External"/><Relationship Id="rId1562" Type="http://schemas.openxmlformats.org/officeDocument/2006/relationships/hyperlink" Target="https://www.realtor.com/realestateandhomes-detail/781-Grayling-Bay_Costa-Mesa_CA_92626_M94482-64518" TargetMode="External"/><Relationship Id="rId2406" Type="http://schemas.openxmlformats.org/officeDocument/2006/relationships/hyperlink" Target="https://www.realtor.com/realestateandhomes-detail/12891-Shackelford-Ln_Garden-Grove_CA_92841_M91191-03360" TargetMode="External"/><Relationship Id="rId1008" Type="http://schemas.openxmlformats.org/officeDocument/2006/relationships/hyperlink" Target="https://www.realtor.com/realestateandhomes-detail/12642-Sandhill-Ln-Apt-1_Playa-Vista_CA_90094_M24544-85581" TargetMode="External"/><Relationship Id="rId1215" Type="http://schemas.openxmlformats.org/officeDocument/2006/relationships/hyperlink" Target="https://www.realtor.com/realestateandhomes-detail/4960-4962-Gambier-St_Los-Angeles_CA_90032_M92179-46007" TargetMode="External"/><Relationship Id="rId1422" Type="http://schemas.openxmlformats.org/officeDocument/2006/relationships/hyperlink" Target="https://www.realtor.com/realestateandhomes-detail/9716-Oak-Pass-Rd_Beverly-Hills_CA_90210_M29172-92821" TargetMode="External"/><Relationship Id="rId1867" Type="http://schemas.openxmlformats.org/officeDocument/2006/relationships/hyperlink" Target="https://www.realtor.com/realestateandhomes-detail/12119-Travis-St_Los-Angeles_CA_90049_M17308-95133" TargetMode="External"/><Relationship Id="rId61" Type="http://schemas.openxmlformats.org/officeDocument/2006/relationships/hyperlink" Target="https://www.realtor.com/realestateandhomes-detail/1000-N-Serrano-Ave_Los-Angeles_CA_90029_M25422-66902" TargetMode="External"/><Relationship Id="rId1727" Type="http://schemas.openxmlformats.org/officeDocument/2006/relationships/hyperlink" Target="https://www.realtor.com/realestateandhomes-detail/1018-Maroney-Ln_Pacific-Palisades_CA_90272_M29988-05666" TargetMode="External"/><Relationship Id="rId1934" Type="http://schemas.openxmlformats.org/officeDocument/2006/relationships/hyperlink" Target="https://www.realtor.com/realestateandhomes-detail/2300-Grand-Canal_Venice_CA_90291_M13591-26941" TargetMode="External"/><Relationship Id="rId19" Type="http://schemas.openxmlformats.org/officeDocument/2006/relationships/hyperlink" Target="https://www.realtor.com/realestateandhomes-detail/12001-Shoshone-Ave_Granada-Hills_CA_91344_M13670-92407" TargetMode="External"/><Relationship Id="rId2196" Type="http://schemas.openxmlformats.org/officeDocument/2006/relationships/hyperlink" Target="https://www.realtor.com/realestateandhomes-detail/1920-Del-Paso-Ave_Los-Angeles_CA_90032_M16443-78135" TargetMode="External"/><Relationship Id="rId168" Type="http://schemas.openxmlformats.org/officeDocument/2006/relationships/hyperlink" Target="https://www.realtor.com/realestateandhomes-detail/13600-Marina-Pointe-Dr-Unit-1704_Marina-Del-Rey_CA_90292_M15822-40401" TargetMode="External"/><Relationship Id="rId375" Type="http://schemas.openxmlformats.org/officeDocument/2006/relationships/hyperlink" Target="https://www.realtor.com/realestateandhomes-detail/25901-Nellie-Gail-Rd_Laguna-Hills_CA_92653_M27756-22902" TargetMode="External"/><Relationship Id="rId582" Type="http://schemas.openxmlformats.org/officeDocument/2006/relationships/hyperlink" Target="https://www.realtor.com/realestateandhomes-detail/177-S-Gardner-St_Los-Angeles_CA_90036_M19210-06375" TargetMode="External"/><Relationship Id="rId2056" Type="http://schemas.openxmlformats.org/officeDocument/2006/relationships/hyperlink" Target="https://www.realtor.com/realestateandhomes-detail/4016-Ingraham-St_Los-Angeles_CA_90005_M22338-99452" TargetMode="External"/><Relationship Id="rId2263" Type="http://schemas.openxmlformats.org/officeDocument/2006/relationships/hyperlink" Target="https://www.realtor.com/realestateandhomes-detail/5150-Valley-Blvd_Los-Angeles_CA_90032_M18770-16361" TargetMode="External"/><Relationship Id="rId2470" Type="http://schemas.openxmlformats.org/officeDocument/2006/relationships/hyperlink" Target="https://www.realtor.com/realestateandhomes-detail/1865-W-Tedmar-Ave_Anaheim_CA_92804_M16150-62953" TargetMode="External"/><Relationship Id="rId3" Type="http://schemas.openxmlformats.org/officeDocument/2006/relationships/hyperlink" Target="https://www.realtor.com/realestateandhomes-detail/875-N-Norman-Pl_Los-Angeles_CA_90049_M90817-38827" TargetMode="External"/><Relationship Id="rId235" Type="http://schemas.openxmlformats.org/officeDocument/2006/relationships/hyperlink" Target="https://www.realtor.com/realestateandhomes-detail/5006-Los-Feliz-Blvd_Los-Angeles_CA_90027_M14723-50321" TargetMode="External"/><Relationship Id="rId442" Type="http://schemas.openxmlformats.org/officeDocument/2006/relationships/hyperlink" Target="https://www.realtor.com/realestateandhomes-detail/629-Traction-Ave-Apt-257_Los-Angeles_CA_90013_M15723-95006" TargetMode="External"/><Relationship Id="rId887" Type="http://schemas.openxmlformats.org/officeDocument/2006/relationships/hyperlink" Target="https://www.realtor.com/realestateandhomes-detail/64-Toulon-Ave_Foothill-Ranch_CA_92610_M14583-83633" TargetMode="External"/><Relationship Id="rId1072" Type="http://schemas.openxmlformats.org/officeDocument/2006/relationships/hyperlink" Target="https://www.realtor.com/realestateandhomes-detail/7123-Greeley-St-Apt-102_Tujunga_CA_91042_M28993-37240" TargetMode="External"/><Relationship Id="rId2123" Type="http://schemas.openxmlformats.org/officeDocument/2006/relationships/hyperlink" Target="https://www.realtor.com/realestateandhomes-detail/1373-N-Coast-Hwy_Laguna-Beach_CA_92651_M90831-23413" TargetMode="External"/><Relationship Id="rId2330" Type="http://schemas.openxmlformats.org/officeDocument/2006/relationships/hyperlink" Target="https://www.realtor.com/realestateandhomes-detail/184-Elkhorn_Irvine_CA_92618_M96343-10148" TargetMode="External"/><Relationship Id="rId302" Type="http://schemas.openxmlformats.org/officeDocument/2006/relationships/hyperlink" Target="https://www.realtor.com/realestateandhomes-detail/1617-N-Fuller-Ave_Los-Angeles_CA_90046_M11902-03662" TargetMode="External"/><Relationship Id="rId747" Type="http://schemas.openxmlformats.org/officeDocument/2006/relationships/hyperlink" Target="https://www.realtor.com/realestateandhomes-detail/1520-N-El-Camino-Real-Unit-10_San-Clemente_CA_92672_M13038-66744" TargetMode="External"/><Relationship Id="rId954" Type="http://schemas.openxmlformats.org/officeDocument/2006/relationships/hyperlink" Target="https://www.realtor.com/realestateandhomes-detail/11143-Van-Buren-Ave_Los-Angeles_CA_90044_M26767-14199" TargetMode="External"/><Relationship Id="rId1377" Type="http://schemas.openxmlformats.org/officeDocument/2006/relationships/hyperlink" Target="https://www.realtor.com/realestateandhomes-detail/898-S-Victoria-Ave_Los-Angeles_CA_90005_M22494-76616" TargetMode="External"/><Relationship Id="rId1584" Type="http://schemas.openxmlformats.org/officeDocument/2006/relationships/hyperlink" Target="https://www.realtor.com/realestateandhomes-detail/1555-McDonald-Ave_Wilmington_CA_90744_M18980-29033" TargetMode="External"/><Relationship Id="rId1791" Type="http://schemas.openxmlformats.org/officeDocument/2006/relationships/hyperlink" Target="https://www.realtor.com/realestateandhomes-detail/9332-Van-Nuys-Blvd-Unit-69_Panorama-City_CA_91402_M25479-11974" TargetMode="External"/><Relationship Id="rId2428" Type="http://schemas.openxmlformats.org/officeDocument/2006/relationships/hyperlink" Target="https://www.realtor.com/realestateandhomes-detail/1301-Seward-St_Los-Angeles_CA_90028_M27050-07273" TargetMode="External"/><Relationship Id="rId83" Type="http://schemas.openxmlformats.org/officeDocument/2006/relationships/hyperlink" Target="https://www.realtor.com/realestateandhomes-detail/238-Chorus_Irvine_CA_92618_M97676-40695" TargetMode="External"/><Relationship Id="rId607" Type="http://schemas.openxmlformats.org/officeDocument/2006/relationships/hyperlink" Target="https://www.realtor.com/realestateandhomes-detail/16767-Bollinger-Dr_Pacific-Palisades_CA_90272_M17377-25683" TargetMode="External"/><Relationship Id="rId814" Type="http://schemas.openxmlformats.org/officeDocument/2006/relationships/hyperlink" Target="https://www.realtor.com/realestateandhomes-detail/4548-Ellenboro-Way_Woodland-Hills_CA_91364_M19267-71927" TargetMode="External"/><Relationship Id="rId1237" Type="http://schemas.openxmlformats.org/officeDocument/2006/relationships/hyperlink" Target="https://www.realtor.com/realestateandhomes-detail/117-E-Sycamore-St_Anaheim_CA_92805_M28371-17085" TargetMode="External"/><Relationship Id="rId1444" Type="http://schemas.openxmlformats.org/officeDocument/2006/relationships/hyperlink" Target="https://www.realtor.com/realestateandhomes-detail/102-Kauai-Ln_Placentia_CA_92870_M23301-16784" TargetMode="External"/><Relationship Id="rId1651" Type="http://schemas.openxmlformats.org/officeDocument/2006/relationships/hyperlink" Target="https://www.realtor.com/realestateandhomes-detail/4466-Coldwater-Canyon-Ave-Apt-205_Studio-City_CA_91604_M17871-57809" TargetMode="External"/><Relationship Id="rId1889" Type="http://schemas.openxmlformats.org/officeDocument/2006/relationships/hyperlink" Target="https://www.realtor.com/realestateandhomes-detail/20111-Piccadilly-Ln_Porter-Ranch_CA_91326_M95911-86240" TargetMode="External"/><Relationship Id="rId1304" Type="http://schemas.openxmlformats.org/officeDocument/2006/relationships/hyperlink" Target="https://www.realtor.com/realestateandhomes-detail/16511-Newland-St_Huntington-Beach_CA_92647_M25889-45201" TargetMode="External"/><Relationship Id="rId1511" Type="http://schemas.openxmlformats.org/officeDocument/2006/relationships/hyperlink" Target="https://www.realtor.com/realestateandhomes-detail/19334-Live-Oak-Canyon-Rd_Trabuco-Canyon_CA_92679_M17938-63598" TargetMode="External"/><Relationship Id="rId1749" Type="http://schemas.openxmlformats.org/officeDocument/2006/relationships/hyperlink" Target="https://www.realtor.com/realestateandhomes-detail/20224-Chapter-Dr_Woodland-Hills_CA_91364_M19681-74389" TargetMode="External"/><Relationship Id="rId1956" Type="http://schemas.openxmlformats.org/officeDocument/2006/relationships/hyperlink" Target="https://www.realtor.com/realestateandhomes-detail/8418-Belford-Ave_Los-Angeles_CA_90045_M25043-30723" TargetMode="External"/><Relationship Id="rId1609" Type="http://schemas.openxmlformats.org/officeDocument/2006/relationships/hyperlink" Target="https://www.realtor.com/realestateandhomes-detail/1007-Sanborn-Ave_Los-Angeles_CA_90029_M25376-20032" TargetMode="External"/><Relationship Id="rId1816" Type="http://schemas.openxmlformats.org/officeDocument/2006/relationships/hyperlink" Target="https://www.realtor.com/realestateandhomes-detail/1120-Cumbre-Alta-Ct_Pacific-Palisades_CA_90272_M23271-53362" TargetMode="External"/><Relationship Id="rId10" Type="http://schemas.openxmlformats.org/officeDocument/2006/relationships/hyperlink" Target="https://www.realtor.com/realestateandhomes-detail/1740-Summitridge-Dr_Beverly-Hills_CA_90210_M21699-31041" TargetMode="External"/><Relationship Id="rId397" Type="http://schemas.openxmlformats.org/officeDocument/2006/relationships/hyperlink" Target="https://www.realtor.com/realestateandhomes-detail/4209-Sea-View-Ln_Los-Angeles_CA_90065_M10179-52314" TargetMode="External"/><Relationship Id="rId2078" Type="http://schemas.openxmlformats.org/officeDocument/2006/relationships/hyperlink" Target="https://www.realtor.com/realestateandhomes-detail/422-E-Colden-Ave_Los-Angeles_CA_90003_M21327-43237" TargetMode="External"/><Relationship Id="rId2285" Type="http://schemas.openxmlformats.org/officeDocument/2006/relationships/hyperlink" Target="https://www.realtor.com/realestateandhomes-detail/2324-Lillyvale-Ave-Apt-143_Los-Angeles_CA_90032_M17884-85535" TargetMode="External"/><Relationship Id="rId2492" Type="http://schemas.openxmlformats.org/officeDocument/2006/relationships/hyperlink" Target="https://www.realtor.com/realestateandhomes-detail/9862-Royal-Palm-Blvd_Garden-Grove_CA_92841_M21997-28326" TargetMode="External"/><Relationship Id="rId257" Type="http://schemas.openxmlformats.org/officeDocument/2006/relationships/hyperlink" Target="https://www.realtor.com/realestateandhomes-detail/234-N-Burlington-Ave_Los-Angeles_CA_90026_M10314-27913" TargetMode="External"/><Relationship Id="rId464" Type="http://schemas.openxmlformats.org/officeDocument/2006/relationships/hyperlink" Target="https://www.realtor.com/realestateandhomes-detail/11542-Encino-Ave_Granada-Hills_CA_91344_M16181-53061" TargetMode="External"/><Relationship Id="rId1094" Type="http://schemas.openxmlformats.org/officeDocument/2006/relationships/hyperlink" Target="https://www.realtor.com/realestateandhomes-detail/7500-Avalon-Blvd_Los-Angeles_CA_90003_M12384-72415" TargetMode="External"/><Relationship Id="rId2145" Type="http://schemas.openxmlformats.org/officeDocument/2006/relationships/hyperlink" Target="https://www.realtor.com/realestateandhomes-detail/151-E-69th-St_Los-Angeles_CA_90003_M28755-39375" TargetMode="External"/><Relationship Id="rId117" Type="http://schemas.openxmlformats.org/officeDocument/2006/relationships/hyperlink" Target="https://www.realtor.com/realestateandhomes-detail/411-Rees-St_Playa-Del-Rey_CA_90293_M18649-97590" TargetMode="External"/><Relationship Id="rId671" Type="http://schemas.openxmlformats.org/officeDocument/2006/relationships/hyperlink" Target="https://www.realtor.com/realestateandhomes-detail/439-N-Commonwealth-Ave_Los-Angeles_CA_90004_M19582-67854" TargetMode="External"/><Relationship Id="rId769" Type="http://schemas.openxmlformats.org/officeDocument/2006/relationships/hyperlink" Target="https://www.realtor.com/realestateandhomes-detail/15081-Van-Buren-St_Midway-City_CA_92655_M16121-92374" TargetMode="External"/><Relationship Id="rId976" Type="http://schemas.openxmlformats.org/officeDocument/2006/relationships/hyperlink" Target="https://www.realtor.com/realestateandhomes-detail/1304-W-17th-St_Los-Angeles_CA_90006_M99897-71346" TargetMode="External"/><Relationship Id="rId1399" Type="http://schemas.openxmlformats.org/officeDocument/2006/relationships/hyperlink" Target="https://www.realtor.com/realestateandhomes-detail/3635-Potosi-Ave_Studio-City_CA_91604_M14850-61859" TargetMode="External"/><Relationship Id="rId2352" Type="http://schemas.openxmlformats.org/officeDocument/2006/relationships/hyperlink" Target="https://www.realtor.com/realestateandhomes-detail/13102-Partridge-St_Garden-Grove_CA_92843_M91897-84517" TargetMode="External"/><Relationship Id="rId324" Type="http://schemas.openxmlformats.org/officeDocument/2006/relationships/hyperlink" Target="https://www.realtor.com/realestateandhomes-detail/10433-Wilshire-Blvd-Apt-808_Los-Angeles_CA_90024_M14202-20342" TargetMode="External"/><Relationship Id="rId531" Type="http://schemas.openxmlformats.org/officeDocument/2006/relationships/hyperlink" Target="https://www.realtor.com/realestateandhomes-detail/3617-Ocean-View-Ave_Los-Angeles_CA_90066_M20915-14510" TargetMode="External"/><Relationship Id="rId629" Type="http://schemas.openxmlformats.org/officeDocument/2006/relationships/hyperlink" Target="https://www.realtor.com/realestateandhomes-detail/933-S-Sycamore-Ave_Los-Angeles_CA_90036_M19766-15385" TargetMode="External"/><Relationship Id="rId1161" Type="http://schemas.openxmlformats.org/officeDocument/2006/relationships/hyperlink" Target="https://www.realtor.com/realestateandhomes-detail/544-Grand-Blvd_Venice_CA_90291_M18279-69764" TargetMode="External"/><Relationship Id="rId1259" Type="http://schemas.openxmlformats.org/officeDocument/2006/relationships/hyperlink" Target="https://www.realtor.com/realestateandhomes-detail/17372-Forbes-Ln_Huntington-Beach_CA_92649_M28070-77283" TargetMode="External"/><Relationship Id="rId1466" Type="http://schemas.openxmlformats.org/officeDocument/2006/relationships/hyperlink" Target="https://www.realtor.com/realestateandhomes-detail/3438-Aries-Ct_Santa-Ana_CA_92704_M14273-39910" TargetMode="External"/><Relationship Id="rId2005" Type="http://schemas.openxmlformats.org/officeDocument/2006/relationships/hyperlink" Target="https://www.realtor.com/realestateandhomes-detail/5228-Longfellow-St_Los-Angeles_CA_90042_M12616-22788" TargetMode="External"/><Relationship Id="rId2212" Type="http://schemas.openxmlformats.org/officeDocument/2006/relationships/hyperlink" Target="https://www.realtor.com/realestateandhomes-detail/4170-4th-Ave_Los-Angeles_CA_90008_M24992-81600" TargetMode="External"/><Relationship Id="rId836" Type="http://schemas.openxmlformats.org/officeDocument/2006/relationships/hyperlink" Target="https://www.realtor.com/realestateandhomes-detail/3636-Division-St_Los-Angeles_CA_90065_M16617-12545" TargetMode="External"/><Relationship Id="rId1021" Type="http://schemas.openxmlformats.org/officeDocument/2006/relationships/hyperlink" Target="https://www.realtor.com/realestateandhomes-detail/3125-Kelton-Ave_Los-Angeles_CA_90034_M23329-97817" TargetMode="External"/><Relationship Id="rId1119" Type="http://schemas.openxmlformats.org/officeDocument/2006/relationships/hyperlink" Target="https://www.realtor.com/realestateandhomes-detail/5142-Dahlia-Dr_Los-Angeles_CA_90041_M29991-35985" TargetMode="External"/><Relationship Id="rId1673" Type="http://schemas.openxmlformats.org/officeDocument/2006/relationships/hyperlink" Target="https://www.realtor.com/realestateandhomes-detail/5255-Veronica-St_Los-Angeles_CA_90008_M25644-22468" TargetMode="External"/><Relationship Id="rId1880" Type="http://schemas.openxmlformats.org/officeDocument/2006/relationships/hyperlink" Target="https://www.realtor.com/realestateandhomes-detail/501-Salerno-Dr_Pacific-Palisades_CA_90272_M28766-10641" TargetMode="External"/><Relationship Id="rId1978" Type="http://schemas.openxmlformats.org/officeDocument/2006/relationships/hyperlink" Target="https://www.realtor.com/realestateandhomes-detail/1441-Brett-Pl-Unit-148_San-Pedro_CA_90732_M25938-58711" TargetMode="External"/><Relationship Id="rId2517" Type="http://schemas.openxmlformats.org/officeDocument/2006/relationships/hyperlink" Target="https://www.realtor.com/realestateandhomes-detail/46-Tierra-Montanosa_Rancho-Santa-Margarita_CA_92688_M24762-20096" TargetMode="External"/><Relationship Id="rId903" Type="http://schemas.openxmlformats.org/officeDocument/2006/relationships/hyperlink" Target="https://www.realtor.com/realestateandhomes-detail/7-Sunup_Irvine_CA_92603_M12951-01943" TargetMode="External"/><Relationship Id="rId1326" Type="http://schemas.openxmlformats.org/officeDocument/2006/relationships/hyperlink" Target="https://www.realtor.com/realestateandhomes-detail/Cannon_Orange_CA_92861_M93079-16329" TargetMode="External"/><Relationship Id="rId1533" Type="http://schemas.openxmlformats.org/officeDocument/2006/relationships/hyperlink" Target="https://www.realtor.com/realestateandhomes-detail/21-Gramercy-Unit-220_Irvine_CA_92612_M15008-75977" TargetMode="External"/><Relationship Id="rId1740" Type="http://schemas.openxmlformats.org/officeDocument/2006/relationships/hyperlink" Target="https://www.realtor.com/realestateandhomes-detail/501-Palisades-Dr-Apt-219_Pacific-Palisades_CA_90272_M29127-58605" TargetMode="External"/><Relationship Id="rId32" Type="http://schemas.openxmlformats.org/officeDocument/2006/relationships/hyperlink" Target="https://www.realtor.com/realestateandhomes-detail/1432-Kellam-Ave_Los-Angeles_CA_90026_M22785-09934" TargetMode="External"/><Relationship Id="rId1600" Type="http://schemas.openxmlformats.org/officeDocument/2006/relationships/hyperlink" Target="https://www.realtor.com/realestateandhomes-detail/673-E-50th-St_Los-Angeles_CA_90011_M24715-44367" TargetMode="External"/><Relationship Id="rId1838" Type="http://schemas.openxmlformats.org/officeDocument/2006/relationships/hyperlink" Target="https://www.realtor.com/realestateandhomes-detail/1337-N-Orange-Grove-Ave_West-Hollywood_CA_90046_M28062-21573" TargetMode="External"/><Relationship Id="rId181" Type="http://schemas.openxmlformats.org/officeDocument/2006/relationships/hyperlink" Target="https://www.realtor.com/realestateandhomes-detail/16620-Linda-Ter_Pacific-Palisades_CA_90272_M29547-20056" TargetMode="External"/><Relationship Id="rId1905" Type="http://schemas.openxmlformats.org/officeDocument/2006/relationships/hyperlink" Target="https://www.realtor.com/realestateandhomes-detail/8723-Lookout-Mountain-Ave_Los-Angeles_CA_90046_M29994-08219" TargetMode="External"/><Relationship Id="rId279" Type="http://schemas.openxmlformats.org/officeDocument/2006/relationships/hyperlink" Target="https://www.realtor.com/realestateandhomes-detail/306-Treble_Irvine_CA_92618_M98155-67127" TargetMode="External"/><Relationship Id="rId486" Type="http://schemas.openxmlformats.org/officeDocument/2006/relationships/hyperlink" Target="https://www.realtor.com/realestateandhomes-detail/18642-Silver-Maple-Way_Santa-Ana_CA_92705_M14672-38406" TargetMode="External"/><Relationship Id="rId693" Type="http://schemas.openxmlformats.org/officeDocument/2006/relationships/hyperlink" Target="https://www.realtor.com/realestateandhomes-detail/4314-LA-Salle-Ave_Los-Angeles_CA_90062_M23619-93869" TargetMode="External"/><Relationship Id="rId2167" Type="http://schemas.openxmlformats.org/officeDocument/2006/relationships/hyperlink" Target="https://www.realtor.com/realestateandhomes-detail/1521-N-Bonnie-Beach-Pl_Los-Angeles_CA_90063_M17798-39836" TargetMode="External"/><Relationship Id="rId2374" Type="http://schemas.openxmlformats.org/officeDocument/2006/relationships/hyperlink" Target="https://www.realtor.com/realestateandhomes-detail/9512-Hightide-Dr_Huntington-Beach_CA_92646_M18943-22554" TargetMode="External"/><Relationship Id="rId139" Type="http://schemas.openxmlformats.org/officeDocument/2006/relationships/hyperlink" Target="https://www.realtor.com/realestateandhomes-detail/1805-Clay-St_Newport-Beach_CA_92663_M20604-94601" TargetMode="External"/><Relationship Id="rId346" Type="http://schemas.openxmlformats.org/officeDocument/2006/relationships/hyperlink" Target="https://www.realtor.com/realestateandhomes-detail/11755-Collar-Ave_Tustin_CA_92782_M28787-11871" TargetMode="External"/><Relationship Id="rId553" Type="http://schemas.openxmlformats.org/officeDocument/2006/relationships/hyperlink" Target="https://www.realtor.com/realestateandhomes-detail/1585-S-Coast-Hwy-Apt-65_Laguna-Beach_CA_92651_M16746-19952" TargetMode="External"/><Relationship Id="rId760" Type="http://schemas.openxmlformats.org/officeDocument/2006/relationships/hyperlink" Target="https://www.realtor.com/realestateandhomes-detail/595-S-Avenida-Faro_Anaheim_CA_92807_M22378-72204" TargetMode="External"/><Relationship Id="rId998" Type="http://schemas.openxmlformats.org/officeDocument/2006/relationships/hyperlink" Target="https://www.realtor.com/realestateandhomes-detail/3690-Crownridge-Dr_Sherman-Oaks_CA_91403_M28251-67896" TargetMode="External"/><Relationship Id="rId1183" Type="http://schemas.openxmlformats.org/officeDocument/2006/relationships/hyperlink" Target="https://www.realtor.com/realestateandhomes-detail/1669-1671-E-Imperial_Los-Angeles_CA_90059_M97318-31985" TargetMode="External"/><Relationship Id="rId1390" Type="http://schemas.openxmlformats.org/officeDocument/2006/relationships/hyperlink" Target="https://www.realtor.com/realestateandhomes-detail/23103-Leonora-Dr_Woodland-Hills_CA_91367_M19071-92786" TargetMode="External"/><Relationship Id="rId2027" Type="http://schemas.openxmlformats.org/officeDocument/2006/relationships/hyperlink" Target="https://www.realtor.com/realestateandhomes-detail/3126-Blanchard-St_Los-Angeles_CA_90063_M11219-09621" TargetMode="External"/><Relationship Id="rId2234" Type="http://schemas.openxmlformats.org/officeDocument/2006/relationships/hyperlink" Target="https://www.realtor.com/realestateandhomes-detail/529-S-Breed-St_Los-Angeles_CA_90033_M12613-21512" TargetMode="External"/><Relationship Id="rId2441" Type="http://schemas.openxmlformats.org/officeDocument/2006/relationships/hyperlink" Target="https://www.realtor.com/realestateandhomes-detail/21191-Binghampton-Cir_Huntington-Beach_CA_92646_M17693-69849" TargetMode="External"/><Relationship Id="rId206" Type="http://schemas.openxmlformats.org/officeDocument/2006/relationships/hyperlink" Target="https://www.realtor.com/realestateandhomes-detail/709-E-Chestnut-Ave_Santa-Ana_CA_92701_M19550-12327" TargetMode="External"/><Relationship Id="rId413" Type="http://schemas.openxmlformats.org/officeDocument/2006/relationships/hyperlink" Target="https://www.realtor.com/realestateandhomes-detail/9976-Westwanda-Dr_Beverly-Hills_CA_90210_M24340-40307" TargetMode="External"/><Relationship Id="rId858" Type="http://schemas.openxmlformats.org/officeDocument/2006/relationships/hyperlink" Target="https://www.realtor.com/realestateandhomes-detail/1919-W-Coronet-Ave-Spc-75_Anaheim_CA_92801_M15470-37445" TargetMode="External"/><Relationship Id="rId1043" Type="http://schemas.openxmlformats.org/officeDocument/2006/relationships/hyperlink" Target="https://www.realtor.com/realestateandhomes-detail/11282-Dona-Lola-Dr_Studio-City_CA_91604_M13580-96793" TargetMode="External"/><Relationship Id="rId1488" Type="http://schemas.openxmlformats.org/officeDocument/2006/relationships/hyperlink" Target="https://www.realtor.com/realestateandhomes-detail/23232-Orange-Ave_Lake-Forest_CA_92630_M91178-11193" TargetMode="External"/><Relationship Id="rId1695" Type="http://schemas.openxmlformats.org/officeDocument/2006/relationships/hyperlink" Target="https://www.realtor.com/realestateandhomes-detail/1649-S-LA-Brea-Ave_Los-Angeles_CA_90019_M92220-98658" TargetMode="External"/><Relationship Id="rId2539" Type="http://schemas.openxmlformats.org/officeDocument/2006/relationships/hyperlink" Target="https://www.realtor.com/realestateandhomes-detail/1076-Skyline-Dr_Laguna-Beach_CA_92651_M12984-64101" TargetMode="External"/><Relationship Id="rId620" Type="http://schemas.openxmlformats.org/officeDocument/2006/relationships/hyperlink" Target="https://www.realtor.com/realestateandhomes-detail/269-S-Norton-Ave_Los-Angeles_CA_90004_M20205-80974" TargetMode="External"/><Relationship Id="rId718" Type="http://schemas.openxmlformats.org/officeDocument/2006/relationships/hyperlink" Target="https://www.realtor.com/realestateandhomes-detail/1532-Maxwell-Way_Costa-Mesa_CA_92627_M22756-52102" TargetMode="External"/><Relationship Id="rId925" Type="http://schemas.openxmlformats.org/officeDocument/2006/relationships/hyperlink" Target="https://www.realtor.com/realestateandhomes-detail/10124-Jimenez-St_Lake-View-Terrace_CA_91342_M27218-32586" TargetMode="External"/><Relationship Id="rId1250" Type="http://schemas.openxmlformats.org/officeDocument/2006/relationships/hyperlink" Target="https://www.realtor.com/realestateandhomes-detail/12592-Palomar-St_Garden-Grove_CA_92845_M19137-12217" TargetMode="External"/><Relationship Id="rId1348" Type="http://schemas.openxmlformats.org/officeDocument/2006/relationships/hyperlink" Target="https://www.realtor.com/realestateandhomes-detail/5001-Buchanan-St_Los-Angeles_CA_90042_M14457-91076" TargetMode="External"/><Relationship Id="rId1555" Type="http://schemas.openxmlformats.org/officeDocument/2006/relationships/hyperlink" Target="https://www.realtor.com/realestateandhomes-detail/14072-Picasso-Ct_Irvine_CA_92606_M14416-25331" TargetMode="External"/><Relationship Id="rId1762" Type="http://schemas.openxmlformats.org/officeDocument/2006/relationships/hyperlink" Target="https://www.realtor.com/realestateandhomes-detail/13107-Jarvis-Ave_Los-Angeles_CA_90061_M13722-83042" TargetMode="External"/><Relationship Id="rId2301" Type="http://schemas.openxmlformats.org/officeDocument/2006/relationships/hyperlink" Target="https://www.realtor.com/realestateandhomes-detail/12223-Shady-Hollow-Ln_Porter-Ranch_CA_91326_M18256-38457" TargetMode="External"/><Relationship Id="rId1110" Type="http://schemas.openxmlformats.org/officeDocument/2006/relationships/hyperlink" Target="https://www.realtor.com/realestateandhomes-detail/1100-S-Hope-St-Apt-805_Los-Angeles_CA_90015_M11551-88657" TargetMode="External"/><Relationship Id="rId1208" Type="http://schemas.openxmlformats.org/officeDocument/2006/relationships/hyperlink" Target="https://www.realtor.com/realestateandhomes-detail/889-Francisco-St-Unit-2507_Los-Angeles_CA_90017_M23276-15469" TargetMode="External"/><Relationship Id="rId1415" Type="http://schemas.openxmlformats.org/officeDocument/2006/relationships/hyperlink" Target="https://www.realtor.com/realestateandhomes-detail/3721-Woodcliff-Rd_Sherman-Oaks_CA_91403_M27731-07374" TargetMode="External"/><Relationship Id="rId54" Type="http://schemas.openxmlformats.org/officeDocument/2006/relationships/hyperlink" Target="https://www.realtor.com/realestateandhomes-detail/104-Sunnybank_Irvine_CA_92618_M96879-61265" TargetMode="External"/><Relationship Id="rId1622" Type="http://schemas.openxmlformats.org/officeDocument/2006/relationships/hyperlink" Target="https://www.realtor.com/realestateandhomes-detail/281-S-Avenue-52-Apt-5_Los-Angeles_CA_90042_M12634-86086" TargetMode="External"/><Relationship Id="rId1927" Type="http://schemas.openxmlformats.org/officeDocument/2006/relationships/hyperlink" Target="https://www.realtor.com/realestateandhomes-detail/714-6th-Ave_Venice_CA_90291_M17389-41427" TargetMode="External"/><Relationship Id="rId2091" Type="http://schemas.openxmlformats.org/officeDocument/2006/relationships/hyperlink" Target="https://www.realtor.com/realestateandhomes-detail/7700-Lampson-Ave-Spc-15_Garden-Grove_CA_92841_M28517-92623" TargetMode="External"/><Relationship Id="rId2189" Type="http://schemas.openxmlformats.org/officeDocument/2006/relationships/hyperlink" Target="https://www.realtor.com/realestateandhomes-detail/1337-W-Gage-Ave_Los-Angeles_CA_90044_M26642-41481" TargetMode="External"/><Relationship Id="rId270" Type="http://schemas.openxmlformats.org/officeDocument/2006/relationships/hyperlink" Target="https://www.realtor.com/realestateandhomes-detail/2234-Avalon-St_Costa-Mesa_CA_92627_M25164-23751" TargetMode="External"/><Relationship Id="rId2396" Type="http://schemas.openxmlformats.org/officeDocument/2006/relationships/hyperlink" Target="https://www.realtor.com/realestateandhomes-detail/1150-N-Brantford-St_Anaheim_CA_92805_M24942-58738" TargetMode="External"/><Relationship Id="rId130" Type="http://schemas.openxmlformats.org/officeDocument/2006/relationships/hyperlink" Target="https://www.realtor.com/realestateandhomes-detail/115-S-Fresno-St_Los-Angeles_CA_90063_M11952-11730" TargetMode="External"/><Relationship Id="rId368" Type="http://schemas.openxmlformats.org/officeDocument/2006/relationships/hyperlink" Target="https://www.realtor.com/realestateandhomes-detail/317-S-Flower-St_Santa-Ana_CA_92703_M14670-13587" TargetMode="External"/><Relationship Id="rId575" Type="http://schemas.openxmlformats.org/officeDocument/2006/relationships/hyperlink" Target="https://www.realtor.com/realestateandhomes-detail/421-S-La-Fayette-Park-Pl-Apt-711_Los-Angeles_CA_90057_M16544-64152" TargetMode="External"/><Relationship Id="rId782" Type="http://schemas.openxmlformats.org/officeDocument/2006/relationships/hyperlink" Target="https://www.realtor.com/realestateandhomes-detail/8462-S-Denker-Ave_Los-Angeles_CA_90047_M15583-63265" TargetMode="External"/><Relationship Id="rId2049" Type="http://schemas.openxmlformats.org/officeDocument/2006/relationships/hyperlink" Target="https://www.realtor.com/realestateandhomes-detail/23143-Leonora-Dr_Woodland-Hills_CA_91367_M18846-09625" TargetMode="External"/><Relationship Id="rId2256" Type="http://schemas.openxmlformats.org/officeDocument/2006/relationships/hyperlink" Target="https://www.realtor.com/realestateandhomes-detail/6510-S-Figueroa-St_Los-Angeles_CA_90003_M29211-15623" TargetMode="External"/><Relationship Id="rId2463" Type="http://schemas.openxmlformats.org/officeDocument/2006/relationships/hyperlink" Target="https://www.realtor.com/realestateandhomes-detail/120-22nd-St_Huntington-Beach_CA_92648_M11420-05930" TargetMode="External"/><Relationship Id="rId228" Type="http://schemas.openxmlformats.org/officeDocument/2006/relationships/hyperlink" Target="https://www.realtor.com/realestateandhomes-detail/12345-Huston-St_Valley-Village_CA_91607_M27991-44896" TargetMode="External"/><Relationship Id="rId435" Type="http://schemas.openxmlformats.org/officeDocument/2006/relationships/hyperlink" Target="https://www.realtor.com/realestateandhomes-detail/3685-Mandeville-Canyon-Rd_Los-Angeles_CA_90049_M24399-04357" TargetMode="External"/><Relationship Id="rId642" Type="http://schemas.openxmlformats.org/officeDocument/2006/relationships/hyperlink" Target="https://www.realtor.com/realestateandhomes-detail/4609-Goodland-Ave_Studio-City_CA_91604_M29844-31162" TargetMode="External"/><Relationship Id="rId1065" Type="http://schemas.openxmlformats.org/officeDocument/2006/relationships/hyperlink" Target="https://www.realtor.com/realestateandhomes-detail/2282-Canyonback-Rd_Los-Angeles_CA_90049_M16855-42481" TargetMode="External"/><Relationship Id="rId1272" Type="http://schemas.openxmlformats.org/officeDocument/2006/relationships/hyperlink" Target="https://www.realtor.com/realestateandhomes-detail/6938-Laurel-Canyon-Blvd-Unit-303_North-Hollywood_CA_91605_M17455-07600" TargetMode="External"/><Relationship Id="rId2116" Type="http://schemas.openxmlformats.org/officeDocument/2006/relationships/hyperlink" Target="https://www.realtor.com/realestateandhomes-detail/3804-Vista-Linda-Dr_Encino_CA_91316_M11685-87645" TargetMode="External"/><Relationship Id="rId2323" Type="http://schemas.openxmlformats.org/officeDocument/2006/relationships/hyperlink" Target="https://www.realtor.com/realestateandhomes-detail/714-E-Kensington-Rd_Los-Angeles_CA_90026_M22729-57309" TargetMode="External"/><Relationship Id="rId2530" Type="http://schemas.openxmlformats.org/officeDocument/2006/relationships/hyperlink" Target="https://www.realtor.com/realestateandhomes-detail/6361-Los-Robles-Ave_Buena-Park_CA_90621_M23800-43700" TargetMode="External"/><Relationship Id="rId502" Type="http://schemas.openxmlformats.org/officeDocument/2006/relationships/hyperlink" Target="https://www.realtor.com/realestateandhomes-detail/7161-Little-Harbor-Dr_Huntington-Beach_CA_92648_M12486-61058" TargetMode="External"/><Relationship Id="rId947" Type="http://schemas.openxmlformats.org/officeDocument/2006/relationships/hyperlink" Target="https://www.realtor.com/realestateandhomes-detail/3144-3152-S-Barrington-Ave_Los-Angeles_CA_90066_M97434-36804" TargetMode="External"/><Relationship Id="rId1132" Type="http://schemas.openxmlformats.org/officeDocument/2006/relationships/hyperlink" Target="https://www.realtor.com/realestateandhomes-detail/1115-E-105th-St_Los-Angeles_CA_90002_M20152-80986" TargetMode="External"/><Relationship Id="rId1577" Type="http://schemas.openxmlformats.org/officeDocument/2006/relationships/hyperlink" Target="https://www.realtor.com/realestateandhomes-detail/1441-High-Bluff-Dr_Newport-Beach_CA_92660_M12112-10008" TargetMode="External"/><Relationship Id="rId1784" Type="http://schemas.openxmlformats.org/officeDocument/2006/relationships/hyperlink" Target="https://www.realtor.com/realestateandhomes-detail/4735-La-Villa-Marina-Unit-D_Marina-Del-Rey_CA_90292_M13209-29350" TargetMode="External"/><Relationship Id="rId1991" Type="http://schemas.openxmlformats.org/officeDocument/2006/relationships/hyperlink" Target="https://www.realtor.com/realestateandhomes-detail/2351-Cabot-St_Los-Angeles_CA_90031_M29589-11512" TargetMode="External"/><Relationship Id="rId76" Type="http://schemas.openxmlformats.org/officeDocument/2006/relationships/hyperlink" Target="https://www.realtor.com/realestateandhomes-detail/13650-Marina-Pointe-Dr-Unit-1603_Marina-Del-Rey_CA_90292_M27879-23537" TargetMode="External"/><Relationship Id="rId807" Type="http://schemas.openxmlformats.org/officeDocument/2006/relationships/hyperlink" Target="https://www.realtor.com/realestateandhomes-detail/20538-W-Deer-Grass-Ct_Porter-Ranch_CA_91326_M99237-67443" TargetMode="External"/><Relationship Id="rId1437" Type="http://schemas.openxmlformats.org/officeDocument/2006/relationships/hyperlink" Target="https://www.realtor.com/realestateandhomes-detail/20138-W-Marlow-Ln_Porter-Ranch_CA_91326_M90728-77671" TargetMode="External"/><Relationship Id="rId1644" Type="http://schemas.openxmlformats.org/officeDocument/2006/relationships/hyperlink" Target="https://www.realtor.com/realestateandhomes-detail/3310-S-Durango-Ave_Los-Angeles_CA_90034_M20002-01578" TargetMode="External"/><Relationship Id="rId1851" Type="http://schemas.openxmlformats.org/officeDocument/2006/relationships/hyperlink" Target="https://www.realtor.com/realestateandhomes-detail/1271-Stoner-Ave-Apt-103_Los-Angeles_CA_90025_M26197-59244" TargetMode="External"/><Relationship Id="rId1504" Type="http://schemas.openxmlformats.org/officeDocument/2006/relationships/hyperlink" Target="https://www.realtor.com/realestateandhomes-detail/15500-Tustin-Village-Way-Apt-103_Tustin_CA_92780_M16886-06053" TargetMode="External"/><Relationship Id="rId1711" Type="http://schemas.openxmlformats.org/officeDocument/2006/relationships/hyperlink" Target="https://www.realtor.com/realestateandhomes-detail/400-S-Broadway_Los-Angeles_CA_90013_M93455-36265" TargetMode="External"/><Relationship Id="rId1949" Type="http://schemas.openxmlformats.org/officeDocument/2006/relationships/hyperlink" Target="https://www.realtor.com/realestateandhomes-detail/5176-Don-Pio-Dr_Woodland-Hills_CA_91364_M17533-73497" TargetMode="External"/><Relationship Id="rId292" Type="http://schemas.openxmlformats.org/officeDocument/2006/relationships/hyperlink" Target="https://www.realtor.com/realestateandhomes-detail/10727-Wilshire-Blvd-Apt-1802_Los-Angeles_CA_90024_M28748-95918" TargetMode="External"/><Relationship Id="rId1809" Type="http://schemas.openxmlformats.org/officeDocument/2006/relationships/hyperlink" Target="https://www.realtor.com/realestateandhomes-detail/7301-Vista-Del-Mar-Apt-A212_Playa-Del-Rey_CA_90293_M18447-62183" TargetMode="External"/><Relationship Id="rId597" Type="http://schemas.openxmlformats.org/officeDocument/2006/relationships/hyperlink" Target="https://www.realtor.com/realestateandhomes-detail/1727-Bellevue-Ave_Los-Angeles_CA_90026_M29626-21567" TargetMode="External"/><Relationship Id="rId2180" Type="http://schemas.openxmlformats.org/officeDocument/2006/relationships/hyperlink" Target="https://www.realtor.com/realestateandhomes-detail/11721-Norgrove-Ln_Rossmoor_CA_90720_M12272-47662" TargetMode="External"/><Relationship Id="rId2278" Type="http://schemas.openxmlformats.org/officeDocument/2006/relationships/hyperlink" Target="https://www.realtor.com/realestateandhomes-detail/1020-S-McBride-Ave_Los-Angeles_CA_90022_M23283-19978" TargetMode="External"/><Relationship Id="rId2485" Type="http://schemas.openxmlformats.org/officeDocument/2006/relationships/hyperlink" Target="https://www.realtor.com/realestateandhomes-detail/16691-Carousel-Ln_Huntington-Beach_CA_92649_M20842-92957" TargetMode="External"/><Relationship Id="rId152" Type="http://schemas.openxmlformats.org/officeDocument/2006/relationships/hyperlink" Target="https://www.realtor.com/realestateandhomes-detail/8626-Lubao-Ave_Winnetka_CA_91306_M28652-46454" TargetMode="External"/><Relationship Id="rId457" Type="http://schemas.openxmlformats.org/officeDocument/2006/relationships/hyperlink" Target="https://www.realtor.com/realestateandhomes-detail/8261-Rees-St_Playa-Del-Rey_CA_90293_M17639-32354" TargetMode="External"/><Relationship Id="rId1087" Type="http://schemas.openxmlformats.org/officeDocument/2006/relationships/hyperlink" Target="https://www.realtor.com/realestateandhomes-detail/6969-Woodrow-Wilson-Dr_Los-Angeles_CA_90068_M21920-71321" TargetMode="External"/><Relationship Id="rId1294" Type="http://schemas.openxmlformats.org/officeDocument/2006/relationships/hyperlink" Target="https://www.realtor.com/realestateandhomes-detail/12401-Ridge-Line-Gate-Ct_Porter-Ranch_CA_91326_M92560-93807" TargetMode="External"/><Relationship Id="rId2040" Type="http://schemas.openxmlformats.org/officeDocument/2006/relationships/hyperlink" Target="https://www.realtor.com/realestateandhomes-detail/2010-W-85th-St_Los-Angeles_CA_90047_M16290-94024" TargetMode="External"/><Relationship Id="rId2138" Type="http://schemas.openxmlformats.org/officeDocument/2006/relationships/hyperlink" Target="https://www.realtor.com/realestateandhomes-detail/1442-W-219th-St_Torrance_CA_90501_M18021-92401" TargetMode="External"/><Relationship Id="rId664" Type="http://schemas.openxmlformats.org/officeDocument/2006/relationships/hyperlink" Target="https://www.realtor.com/realestateandhomes-detail/229-E-75th-St_Los-Angeles_CA_90003_M12230-81580" TargetMode="External"/><Relationship Id="rId871" Type="http://schemas.openxmlformats.org/officeDocument/2006/relationships/hyperlink" Target="https://www.realtor.com/realestateandhomes-detail/8191-Taylor-Dr_Huntington-Beach_CA_92646_M26281-26227" TargetMode="External"/><Relationship Id="rId969" Type="http://schemas.openxmlformats.org/officeDocument/2006/relationships/hyperlink" Target="https://www.realtor.com/realestateandhomes-detail/13600-Marina-Pointe-Dr-Unit-1904_Marina-Del-Rey_CA_90292_M19242-58998" TargetMode="External"/><Relationship Id="rId1599" Type="http://schemas.openxmlformats.org/officeDocument/2006/relationships/hyperlink" Target="https://www.realtor.com/realestateandhomes-detail/1639-Micheltorena-St_Los-Angeles_CA_90026_M95553-69763" TargetMode="External"/><Relationship Id="rId2345" Type="http://schemas.openxmlformats.org/officeDocument/2006/relationships/hyperlink" Target="https://www.realtor.com/realestateandhomes-detail/8169-Kirkwood-Dr_Los-Angeles_CA_90046_M27780-70041" TargetMode="External"/><Relationship Id="rId317" Type="http://schemas.openxmlformats.org/officeDocument/2006/relationships/hyperlink" Target="https://www.realtor.com/realestateandhomes-detail/5667-Aladdin-St_Los-Angeles_CA_90008_M25978-50018" TargetMode="External"/><Relationship Id="rId524" Type="http://schemas.openxmlformats.org/officeDocument/2006/relationships/hyperlink" Target="https://www.realtor.com/realestateandhomes-detail/1972-N-Marianna-Ave_Los-Angeles_CA_90032_M18230-68330" TargetMode="External"/><Relationship Id="rId731" Type="http://schemas.openxmlformats.org/officeDocument/2006/relationships/hyperlink" Target="https://www.realtor.com/realestateandhomes-detail/1055-Las-Pulgas-Rd_Pacific-Palisades_CA_90272_M10263-82489" TargetMode="External"/><Relationship Id="rId1154" Type="http://schemas.openxmlformats.org/officeDocument/2006/relationships/hyperlink" Target="https://www.realtor.com/realestateandhomes-detail/659-E-Channel-Rd_Santa-Monica_CA_90402_M27271-74211" TargetMode="External"/><Relationship Id="rId1361" Type="http://schemas.openxmlformats.org/officeDocument/2006/relationships/hyperlink" Target="https://www.realtor.com/realestateandhomes-detail/17336-Tulsa-St_Granada-Hills_CA_91344_M17820-74570" TargetMode="External"/><Relationship Id="rId1459" Type="http://schemas.openxmlformats.org/officeDocument/2006/relationships/hyperlink" Target="https://www.realtor.com/realestateandhomes-detail/221-Stage_Irvine_CA_92618_M93220-29012" TargetMode="External"/><Relationship Id="rId2205" Type="http://schemas.openxmlformats.org/officeDocument/2006/relationships/hyperlink" Target="https://www.realtor.com/realestateandhomes-detail/10811-S-San-Pedro-St_Los-Angeles_CA_90061_M25639-47457" TargetMode="External"/><Relationship Id="rId2412" Type="http://schemas.openxmlformats.org/officeDocument/2006/relationships/hyperlink" Target="https://www.realtor.com/realestateandhomes-detail/8181-Holland-Dr_Huntington-Beach_CA_92647_M17067-88959" TargetMode="External"/><Relationship Id="rId98" Type="http://schemas.openxmlformats.org/officeDocument/2006/relationships/hyperlink" Target="https://www.realtor.com/realestateandhomes-detail/3448-Ardsley-Pl_Encino_CA_91436_M11911-19477" TargetMode="External"/><Relationship Id="rId829" Type="http://schemas.openxmlformats.org/officeDocument/2006/relationships/hyperlink" Target="https://www.realtor.com/realestateandhomes-detail/17328-Tramonto-Dr-Unit-206_Pacific-Palisades_CA_90272_M96123-79838" TargetMode="External"/><Relationship Id="rId1014" Type="http://schemas.openxmlformats.org/officeDocument/2006/relationships/hyperlink" Target="https://www.realtor.com/realestateandhomes-detail/3045-Wellington-Rd_Los-Angeles_CA_90016_M12009-62058" TargetMode="External"/><Relationship Id="rId1221" Type="http://schemas.openxmlformats.org/officeDocument/2006/relationships/hyperlink" Target="https://www.realtor.com/realestateandhomes-detail/1147-Fedora-St_Los-Angeles_CA_90006_M18979-84246" TargetMode="External"/><Relationship Id="rId1666" Type="http://schemas.openxmlformats.org/officeDocument/2006/relationships/hyperlink" Target="https://www.realtor.com/realestateandhomes-detail/8224-Skyline-Dr_Los-Angeles_CA_90046_M26966-62851" TargetMode="External"/><Relationship Id="rId1873" Type="http://schemas.openxmlformats.org/officeDocument/2006/relationships/hyperlink" Target="https://www.realtor.com/realestateandhomes-detail/3350-Stone-Ridge-Ln_Los-Angeles_CA_90077_M22633-12643" TargetMode="External"/><Relationship Id="rId1319" Type="http://schemas.openxmlformats.org/officeDocument/2006/relationships/hyperlink" Target="https://www.realtor.com/realestateandhomes-detail/8250-Lankershim-Blvd-Elm3_North-Hollywood_CA_91605_M95788-25706" TargetMode="External"/><Relationship Id="rId1526" Type="http://schemas.openxmlformats.org/officeDocument/2006/relationships/hyperlink" Target="https://www.realtor.com/realestateandhomes-detail/902-Foote-Ave_Long-Beach_CA_90001_M95221-47895" TargetMode="External"/><Relationship Id="rId1733" Type="http://schemas.openxmlformats.org/officeDocument/2006/relationships/hyperlink" Target="https://www.realtor.com/realestateandhomes-detail/3611-Meisner-St_Los-Angeles_CA_90063_M97303-36809" TargetMode="External"/><Relationship Id="rId1940" Type="http://schemas.openxmlformats.org/officeDocument/2006/relationships/hyperlink" Target="https://www.realtor.com/realestateandhomes-detail/25579-Pine-Creek-Ln_Wilmington_CA_90744_M22302-28344" TargetMode="External"/><Relationship Id="rId25" Type="http://schemas.openxmlformats.org/officeDocument/2006/relationships/hyperlink" Target="https://www.realtor.com/realestateandhomes-detail/920-S-LA-Brea-Ave_Los-Angeles_CA_90036_M96065-98782" TargetMode="External"/><Relationship Id="rId1800" Type="http://schemas.openxmlformats.org/officeDocument/2006/relationships/hyperlink" Target="https://www.realtor.com/realestateandhomes-detail/1622-E-88th-St_Los-Angeles_CA_90002_M18170-26172" TargetMode="External"/><Relationship Id="rId174" Type="http://schemas.openxmlformats.org/officeDocument/2006/relationships/hyperlink" Target="https://www.realtor.com/realestateandhomes-detail/8031-Altavan-Ave_Los-Angeles_CA_90045_M17720-07691" TargetMode="External"/><Relationship Id="rId381" Type="http://schemas.openxmlformats.org/officeDocument/2006/relationships/hyperlink" Target="https://www.realtor.com/realestateandhomes-detail/1100-Wilshire-Blvd-Apt-2707_Los-Angeles_CA_90017_M27153-40853" TargetMode="External"/><Relationship Id="rId2062" Type="http://schemas.openxmlformats.org/officeDocument/2006/relationships/hyperlink" Target="https://www.realtor.com/realestateandhomes-detail/6110-Dennison-St_Los-Angeles_CA_90022_M15704-03313" TargetMode="External"/><Relationship Id="rId241" Type="http://schemas.openxmlformats.org/officeDocument/2006/relationships/hyperlink" Target="https://www.realtor.com/realestateandhomes-detail/5353-Oakland-St_Los-Angeles_CA_90032_M17549-83453" TargetMode="External"/><Relationship Id="rId479" Type="http://schemas.openxmlformats.org/officeDocument/2006/relationships/hyperlink" Target="https://www.realtor.com/realestateandhomes-detail/1919-Sherry-Ln-Apt-46_Santa-Ana_CA_92705_M14397-16544" TargetMode="External"/><Relationship Id="rId686" Type="http://schemas.openxmlformats.org/officeDocument/2006/relationships/hyperlink" Target="https://www.realtor.com/realestateandhomes-detail/7044-Scarborough-Peak-Dr_West-Hills_CA_91307_M15115-03009" TargetMode="External"/><Relationship Id="rId893" Type="http://schemas.openxmlformats.org/officeDocument/2006/relationships/hyperlink" Target="https://www.realtor.com/realestateandhomes-detail/32742-Alipaz-St-Spc-153_San-Juan-Capistrano_CA_92675_M90185-61938" TargetMode="External"/><Relationship Id="rId2367" Type="http://schemas.openxmlformats.org/officeDocument/2006/relationships/hyperlink" Target="https://www.realtor.com/realestateandhomes-detail/14685-12-Sherman_Van-Nuys_CA_91405_M99402-81353" TargetMode="External"/><Relationship Id="rId339" Type="http://schemas.openxmlformats.org/officeDocument/2006/relationships/hyperlink" Target="https://www.realtor.com/realestateandhomes-detail/3631-Sunswept-Dr_Studio-City_CA_91604_M12572-92419" TargetMode="External"/><Relationship Id="rId546" Type="http://schemas.openxmlformats.org/officeDocument/2006/relationships/hyperlink" Target="https://www.realtor.com/realestateandhomes-detail/22839-Ridge-Route-Ln_Lake-Forest_CA_92630_M22114-53799" TargetMode="External"/><Relationship Id="rId753" Type="http://schemas.openxmlformats.org/officeDocument/2006/relationships/hyperlink" Target="https://www.realtor.com/realestateandhomes-detail/6600-Warner-Ave-Unit-115_Huntington-Beach_CA_92647_M19751-04968" TargetMode="External"/><Relationship Id="rId1176" Type="http://schemas.openxmlformats.org/officeDocument/2006/relationships/hyperlink" Target="https://www.realtor.com/realestateandhomes-detail/2007-Pennsylvania-Ave_Los-Angeles_CA_90033_M17758-89554" TargetMode="External"/><Relationship Id="rId1383" Type="http://schemas.openxmlformats.org/officeDocument/2006/relationships/hyperlink" Target="https://www.realtor.com/realestateandhomes-detail/9168-Vena-Ave_Arleta_CA_91331_M23018-71309" TargetMode="External"/><Relationship Id="rId2227" Type="http://schemas.openxmlformats.org/officeDocument/2006/relationships/hyperlink" Target="https://www.realtor.com/realestateandhomes-detail/346-Hazel-Dr_Rancho-Mission-Viejo_CA_92694_M94397-48465" TargetMode="External"/><Relationship Id="rId2434" Type="http://schemas.openxmlformats.org/officeDocument/2006/relationships/hyperlink" Target="https://www.realtor.com/realestateandhomes-detail/5200-Irvine-Blvd-Spc-360_Irvine_CA_92620_M10453-17286" TargetMode="External"/><Relationship Id="rId101" Type="http://schemas.openxmlformats.org/officeDocument/2006/relationships/hyperlink" Target="https://www.realtor.com/realestateandhomes-detail/Elsa-Dr_Fullerton_CA_92833_M98909-77240" TargetMode="External"/><Relationship Id="rId406" Type="http://schemas.openxmlformats.org/officeDocument/2006/relationships/hyperlink" Target="https://www.realtor.com/realestateandhomes-detail/8008-El-Manor-Ave_Los-Angeles_CA_90045_M14236-94298" TargetMode="External"/><Relationship Id="rId960" Type="http://schemas.openxmlformats.org/officeDocument/2006/relationships/hyperlink" Target="https://www.realtor.com/realestateandhomes-detail/2522-S-Bundy-Dr_Los-Angeles_CA_90064_M23691-97568" TargetMode="External"/><Relationship Id="rId1036" Type="http://schemas.openxmlformats.org/officeDocument/2006/relationships/hyperlink" Target="https://www.realtor.com/realestateandhomes-detail/1542-2nd-Ave_Los-Angeles_CA_90019_M17624-85279" TargetMode="External"/><Relationship Id="rId1243" Type="http://schemas.openxmlformats.org/officeDocument/2006/relationships/hyperlink" Target="https://www.realtor.com/realestateandhomes-detail/13005-Magnolia-Blvd_Sherman-Oaks_CA_91423_M25306-81046" TargetMode="External"/><Relationship Id="rId1590" Type="http://schemas.openxmlformats.org/officeDocument/2006/relationships/hyperlink" Target="https://www.realtor.com/realestateandhomes-detail/1009-E-29th-St_Los-Angeles_CA_90011_M28167-38792" TargetMode="External"/><Relationship Id="rId1688" Type="http://schemas.openxmlformats.org/officeDocument/2006/relationships/hyperlink" Target="https://www.realtor.com/realestateandhomes-detail/10441-W-Zamora-Ave_Los-Angeles_CA_90002_M25487-80219" TargetMode="External"/><Relationship Id="rId1895" Type="http://schemas.openxmlformats.org/officeDocument/2006/relationships/hyperlink" Target="https://www.realtor.com/realestateandhomes-detail/1346-Abbot-Kinney-Blvd_Venice_CA_90291_M22328-36226" TargetMode="External"/><Relationship Id="rId613" Type="http://schemas.openxmlformats.org/officeDocument/2006/relationships/hyperlink" Target="https://www.realtor.com/realestateandhomes-detail/932-Fedora-St_Los-Angeles_CA_90006_M20436-30830" TargetMode="External"/><Relationship Id="rId820" Type="http://schemas.openxmlformats.org/officeDocument/2006/relationships/hyperlink" Target="https://www.realtor.com/realestateandhomes-detail/222-N-Manhattan-Pl_Los-Angeles_CA_90004_M93966-47887" TargetMode="External"/><Relationship Id="rId918" Type="http://schemas.openxmlformats.org/officeDocument/2006/relationships/hyperlink" Target="https://www.realtor.com/realestateandhomes-detail/10535-Wilshire-Blvd-Apt-912_Los-Angeles_CA_90024_M22287-43699" TargetMode="External"/><Relationship Id="rId1450" Type="http://schemas.openxmlformats.org/officeDocument/2006/relationships/hyperlink" Target="https://www.realtor.com/realestateandhomes-detail/1-Baycrest-Pl_Dana-Point_CA_92629_M11725-34258" TargetMode="External"/><Relationship Id="rId1548" Type="http://schemas.openxmlformats.org/officeDocument/2006/relationships/hyperlink" Target="https://www.realtor.com/realestateandhomes-detail/61-Old-Course-Dr_Newport-Beach_CA_92660_M12749-72036" TargetMode="External"/><Relationship Id="rId1755" Type="http://schemas.openxmlformats.org/officeDocument/2006/relationships/hyperlink" Target="https://www.realtor.com/realestateandhomes-detail/3457-Maplewood-Ave_Los-Angeles_CA_90066_M19270-59905" TargetMode="External"/><Relationship Id="rId2501" Type="http://schemas.openxmlformats.org/officeDocument/2006/relationships/hyperlink" Target="https://www.realtor.com/realestateandhomes-detail/3028-N-Juneberry-St_Orange_CA_92865_M29180-04542" TargetMode="External"/><Relationship Id="rId1103" Type="http://schemas.openxmlformats.org/officeDocument/2006/relationships/hyperlink" Target="https://www.realtor.com/realestateandhomes-detail/8494-Cole-Crest-Dr_Los-Angeles_CA_90046_M29085-91117" TargetMode="External"/><Relationship Id="rId1310" Type="http://schemas.openxmlformats.org/officeDocument/2006/relationships/hyperlink" Target="https://www.realtor.com/realestateandhomes-detail/1412-Ravenna-Ave_Wilmington_CA_90744_M20918-86466" TargetMode="External"/><Relationship Id="rId1408" Type="http://schemas.openxmlformats.org/officeDocument/2006/relationships/hyperlink" Target="https://www.realtor.com/realestateandhomes-detail/4227-Bellaire-Ave_Studio-City_CA_91604_M12480-50465" TargetMode="External"/><Relationship Id="rId1962" Type="http://schemas.openxmlformats.org/officeDocument/2006/relationships/hyperlink" Target="https://www.realtor.com/realestateandhomes-detail/610-Main-St_Venice_CA_90291_M95792-50481" TargetMode="External"/><Relationship Id="rId47" Type="http://schemas.openxmlformats.org/officeDocument/2006/relationships/hyperlink" Target="https://www.realtor.com/realestateandhomes-detail/175-Patria_Rancho-Mission-Viejo_CA_92694_M20252-20168" TargetMode="External"/><Relationship Id="rId1615" Type="http://schemas.openxmlformats.org/officeDocument/2006/relationships/hyperlink" Target="https://www.realtor.com/realestateandhomes-detail/1118-Elden-Ave_Los-Angeles_CA_90006_M18275-52226" TargetMode="External"/><Relationship Id="rId1822" Type="http://schemas.openxmlformats.org/officeDocument/2006/relationships/hyperlink" Target="https://www.realtor.com/realestateandhomes-detail/681-Brooktree-Rd_Santa-Monica_CA_90402_M27508-38085" TargetMode="External"/><Relationship Id="rId196" Type="http://schemas.openxmlformats.org/officeDocument/2006/relationships/hyperlink" Target="https://www.realtor.com/realestateandhomes-detail/539-Catalina_Laguna-Beach_CA_92651_M26643-77491" TargetMode="External"/><Relationship Id="rId2084" Type="http://schemas.openxmlformats.org/officeDocument/2006/relationships/hyperlink" Target="https://www.realtor.com/realestateandhomes-detail/8449-S-Main-St_Los-Angeles_CA_90003_M24646-14369" TargetMode="External"/><Relationship Id="rId2291" Type="http://schemas.openxmlformats.org/officeDocument/2006/relationships/hyperlink" Target="https://www.realtor.com/realestateandhomes-detail/400-S-Broadway-Apt-1801_Los-Angeles_CA_90013_M98985-70250" TargetMode="External"/><Relationship Id="rId263" Type="http://schemas.openxmlformats.org/officeDocument/2006/relationships/hyperlink" Target="https://www.realtor.com/realestateandhomes-detail/5460-White-Oak-Ave-Unit-G101_Encino_CA_91316_M20450-05390" TargetMode="External"/><Relationship Id="rId470" Type="http://schemas.openxmlformats.org/officeDocument/2006/relationships/hyperlink" Target="https://www.realtor.com/realestateandhomes-detail/82-Winslow-Ln_Irvine_CA_92620_M13149-84286" TargetMode="External"/><Relationship Id="rId2151" Type="http://schemas.openxmlformats.org/officeDocument/2006/relationships/hyperlink" Target="https://www.realtor.com/realestateandhomes-detail/1737-W-37th-St_Los-Angeles_CA_90018_M28595-68733" TargetMode="External"/><Relationship Id="rId2389" Type="http://schemas.openxmlformats.org/officeDocument/2006/relationships/hyperlink" Target="https://www.realtor.com/realestateandhomes-detail/21851-Newland-St-Spc-268_Huntington-Beach_CA_92646_M17639-78943" TargetMode="External"/><Relationship Id="rId123" Type="http://schemas.openxmlformats.org/officeDocument/2006/relationships/hyperlink" Target="https://www.realtor.com/realestateandhomes-detail/308-S-Laurel-St_Santa-Ana_CA_92704_M12848-75330" TargetMode="External"/><Relationship Id="rId330" Type="http://schemas.openxmlformats.org/officeDocument/2006/relationships/hyperlink" Target="https://www.realtor.com/realestateandhomes-detail/2160-Winona-Blvd_Los-Angeles_CA_90027_M13937-93714" TargetMode="External"/><Relationship Id="rId568" Type="http://schemas.openxmlformats.org/officeDocument/2006/relationships/hyperlink" Target="https://www.realtor.com/realestateandhomes-detail/221-Stage_Irvine_CA_92618_M93220-29012" TargetMode="External"/><Relationship Id="rId775" Type="http://schemas.openxmlformats.org/officeDocument/2006/relationships/hyperlink" Target="https://www.realtor.com/realestateandhomes-detail/17179-17181-Kingsbury_Granada-Hills_CA_91344_M93361-76488" TargetMode="External"/><Relationship Id="rId982" Type="http://schemas.openxmlformats.org/officeDocument/2006/relationships/hyperlink" Target="https://www.realtor.com/realestateandhomes-detail/2621-Veteran-Ave_Los-Angeles_CA_90064_M23886-35869" TargetMode="External"/><Relationship Id="rId1198" Type="http://schemas.openxmlformats.org/officeDocument/2006/relationships/hyperlink" Target="https://www.realtor.com/realestateandhomes-detail/13691-Gavina-Ave-Unit-609_Sylmar_CA_91342_M98120-74447" TargetMode="External"/><Relationship Id="rId2011" Type="http://schemas.openxmlformats.org/officeDocument/2006/relationships/hyperlink" Target="https://www.realtor.com/realestateandhomes-detail/4635-Esparto-St_Woodland-Hills_CA_91364_M21778-69848" TargetMode="External"/><Relationship Id="rId2249" Type="http://schemas.openxmlformats.org/officeDocument/2006/relationships/hyperlink" Target="https://www.realtor.com/realestateandhomes-detail/10338-Oro-Vista-Ave_Sunland_CA_91040_M29511-67197" TargetMode="External"/><Relationship Id="rId2456" Type="http://schemas.openxmlformats.org/officeDocument/2006/relationships/hyperlink" Target="https://www.realtor.com/realestateandhomes-detail/542-W-Dunton-Ave-29_Orange_CA_92865_M15280-25025" TargetMode="External"/><Relationship Id="rId428" Type="http://schemas.openxmlformats.org/officeDocument/2006/relationships/hyperlink" Target="https://www.realtor.com/realestateandhomes-detail/2801-Belden-Dr_Los-Angeles_CA_90068_M13195-22691" TargetMode="External"/><Relationship Id="rId635" Type="http://schemas.openxmlformats.org/officeDocument/2006/relationships/hyperlink" Target="https://www.realtor.com/realestateandhomes-detail/14273-Greenleaf-St_Sherman-Oaks_CA_91423_M24362-60520" TargetMode="External"/><Relationship Id="rId842" Type="http://schemas.openxmlformats.org/officeDocument/2006/relationships/hyperlink" Target="https://www.realtor.com/realestateandhomes-detail/10652-Whipple-St_North-Hollywood_CA_91602_M20612-30597" TargetMode="External"/><Relationship Id="rId1058" Type="http://schemas.openxmlformats.org/officeDocument/2006/relationships/hyperlink" Target="https://www.realtor.com/realestateandhomes-detail/14412-Killion-St-Unit-205_Sherman-Oaks_CA_91401_M11452-65491" TargetMode="External"/><Relationship Id="rId1265" Type="http://schemas.openxmlformats.org/officeDocument/2006/relationships/hyperlink" Target="https://www.realtor.com/realestateandhomes-detail/632-W-Romneya-Dr_Anaheim_CA_92801_M22325-23638" TargetMode="External"/><Relationship Id="rId1472" Type="http://schemas.openxmlformats.org/officeDocument/2006/relationships/hyperlink" Target="https://www.realtor.com/realestateandhomes-detail/135-Del-Mar-Ave_Costa-Mesa_CA_92627_M19457-78323" TargetMode="External"/><Relationship Id="rId2109" Type="http://schemas.openxmlformats.org/officeDocument/2006/relationships/hyperlink" Target="https://www.realtor.com/realestateandhomes-detail/732-N-Kingsley-Dr_Los-Angeles_CA_90029_M91481-38139" TargetMode="External"/><Relationship Id="rId2316" Type="http://schemas.openxmlformats.org/officeDocument/2006/relationships/hyperlink" Target="https://www.realtor.com/realestateandhomes-detail/3500-Tuller-Ave_Los-Angeles_CA_90034_M22820-18008" TargetMode="External"/><Relationship Id="rId2523" Type="http://schemas.openxmlformats.org/officeDocument/2006/relationships/hyperlink" Target="https://www.realtor.com/realestateandhomes-detail/20321-W-Aberdeen-Ln_Porter-Ranch_CA_91326_M94002-04991" TargetMode="External"/><Relationship Id="rId702" Type="http://schemas.openxmlformats.org/officeDocument/2006/relationships/hyperlink" Target="https://www.realtor.com/realestateandhomes-detail/1290-Angelo-Dr_Beverly-Hills_CA_90210_M25590-83900" TargetMode="External"/><Relationship Id="rId1125" Type="http://schemas.openxmlformats.org/officeDocument/2006/relationships/hyperlink" Target="https://www.realtor.com/realestateandhomes-detail/1007-Sanborn-Ave_Los-Angeles_CA_90029_M25376-20032" TargetMode="External"/><Relationship Id="rId1332" Type="http://schemas.openxmlformats.org/officeDocument/2006/relationships/hyperlink" Target="https://www.realtor.com/realestateandhomes-detail/6344-Orange-Ave_Cypress_CA_90630_M22747-07402" TargetMode="External"/><Relationship Id="rId1777" Type="http://schemas.openxmlformats.org/officeDocument/2006/relationships/hyperlink" Target="https://www.realtor.com/realestateandhomes-detail/12542-Brooklake-St_Los-Angeles_CA_90066_M20478-76091" TargetMode="External"/><Relationship Id="rId1984" Type="http://schemas.openxmlformats.org/officeDocument/2006/relationships/hyperlink" Target="https://www.realtor.com/realestateandhomes-detail/1036-W-95th-St_Los-Angeles_CA_90044_M13149-32772" TargetMode="External"/><Relationship Id="rId69" Type="http://schemas.openxmlformats.org/officeDocument/2006/relationships/hyperlink" Target="https://www.realtor.com/realestateandhomes-detail/2220-Avenue-of-the-Stars-Unit-1802_Los-Angeles_CA_90067_M17571-05930" TargetMode="External"/><Relationship Id="rId1637" Type="http://schemas.openxmlformats.org/officeDocument/2006/relationships/hyperlink" Target="https://www.realtor.com/realestateandhomes-detail/5139-Balboa-Blvd-Unit-2_Encino_CA_91316_M20921-09542" TargetMode="External"/><Relationship Id="rId1844" Type="http://schemas.openxmlformats.org/officeDocument/2006/relationships/hyperlink" Target="https://www.realtor.com/realestateandhomes-detail/325-N-Stanley-Ave_Los-Angeles_CA_90036_M23609-68093" TargetMode="External"/><Relationship Id="rId1704" Type="http://schemas.openxmlformats.org/officeDocument/2006/relationships/hyperlink" Target="https://www.realtor.com/realestateandhomes-detail/1628-Laraine-Cir_San-Pedro_CA_90732_M16887-58021" TargetMode="External"/><Relationship Id="rId285" Type="http://schemas.openxmlformats.org/officeDocument/2006/relationships/hyperlink" Target="https://www.realtor.com/realestateandhomes-detail/33611-Dana-Vista-Dr-Unit-B_Dana-Point_CA_92629_M24260-50323" TargetMode="External"/><Relationship Id="rId1911" Type="http://schemas.openxmlformats.org/officeDocument/2006/relationships/hyperlink" Target="https://www.realtor.com/realestateandhomes-detail/6030-Madden-Ave_Los-Angeles_CA_90043_M20379-71574" TargetMode="External"/><Relationship Id="rId492" Type="http://schemas.openxmlformats.org/officeDocument/2006/relationships/hyperlink" Target="https://www.realtor.com/realestateandhomes-detail/2552-E-Terrace-St_Anaheim_CA_92806_M28562-37359" TargetMode="External"/><Relationship Id="rId797" Type="http://schemas.openxmlformats.org/officeDocument/2006/relationships/hyperlink" Target="https://www.realtor.com/realestateandhomes-detail/595-S-Avenida-Faro_Anaheim_CA_92807_M22378-72204" TargetMode="External"/><Relationship Id="rId2173" Type="http://schemas.openxmlformats.org/officeDocument/2006/relationships/hyperlink" Target="https://www.realtor.com/realestateandhomes-detail/3612-S-Gramercy-Pl_Los-Angeles_CA_90018_M29180-01731" TargetMode="External"/><Relationship Id="rId2380" Type="http://schemas.openxmlformats.org/officeDocument/2006/relationships/hyperlink" Target="https://www.realtor.com/realestateandhomes-detail/49-Winterhaven_Irvine_CA_92614_M14599-51951" TargetMode="External"/><Relationship Id="rId2478" Type="http://schemas.openxmlformats.org/officeDocument/2006/relationships/hyperlink" Target="https://www.realtor.com/realestateandhomes-detail/1018-Stanford-Ave_Fullerton_CA_92831_M18297-11633" TargetMode="External"/><Relationship Id="rId145" Type="http://schemas.openxmlformats.org/officeDocument/2006/relationships/hyperlink" Target="https://www.realtor.com/realestateandhomes-detail/6537-W-84th-Pl_Los-Angeles_CA_90045_M14071-85486" TargetMode="External"/><Relationship Id="rId352" Type="http://schemas.openxmlformats.org/officeDocument/2006/relationships/hyperlink" Target="https://www.realtor.com/realestateandhomes-detail/3700-S-Bentley-Ave_Los-Angeles_CA_90034_M22440-44012" TargetMode="External"/><Relationship Id="rId1287" Type="http://schemas.openxmlformats.org/officeDocument/2006/relationships/hyperlink" Target="https://www.realtor.com/realestateandhomes-detail/8135-Keith-Grn_Buena-Park_CA_90621_M22416-37990" TargetMode="External"/><Relationship Id="rId2033" Type="http://schemas.openxmlformats.org/officeDocument/2006/relationships/hyperlink" Target="https://www.realtor.com/realestateandhomes-detail/620-W-41st_Los-Angeles_CA_90037_M95463-89739" TargetMode="External"/><Relationship Id="rId2240" Type="http://schemas.openxmlformats.org/officeDocument/2006/relationships/hyperlink" Target="https://www.realtor.com/realestateandhomes-detail/990-S-Scripps-Cir_Anaheim_CA_92807_M23195-21884" TargetMode="External"/><Relationship Id="rId212" Type="http://schemas.openxmlformats.org/officeDocument/2006/relationships/hyperlink" Target="https://www.realtor.com/realestateandhomes-detail/267-Avenida-Lobeiro-Apt-E_San-Clemente_CA_92672_M29888-24508" TargetMode="External"/><Relationship Id="rId657" Type="http://schemas.openxmlformats.org/officeDocument/2006/relationships/hyperlink" Target="https://www.realtor.com/realestateandhomes-detail/265-Shoveler_Irvine_CA_92618_M95259-64969" TargetMode="External"/><Relationship Id="rId864" Type="http://schemas.openxmlformats.org/officeDocument/2006/relationships/hyperlink" Target="https://www.realtor.com/realestateandhomes-detail/91-Martinique-St-300_Laguna-Niguel_CA_92677_M12644-48244" TargetMode="External"/><Relationship Id="rId1494" Type="http://schemas.openxmlformats.org/officeDocument/2006/relationships/hyperlink" Target="https://www.realtor.com/realestateandhomes-detail/13121-Oak-Hills-Dr-Apt-233J_Seal-Beach_CA_90740_M93822-41231" TargetMode="External"/><Relationship Id="rId1799" Type="http://schemas.openxmlformats.org/officeDocument/2006/relationships/hyperlink" Target="https://www.realtor.com/realestateandhomes-detail/1500-E-Spruce-St-Unit-D_Placentia_CA_92870_M26701-48971" TargetMode="External"/><Relationship Id="rId2100" Type="http://schemas.openxmlformats.org/officeDocument/2006/relationships/hyperlink" Target="https://www.realtor.com/realestateandhomes-detail/7410-Avalon-Blvd_Los-Angeles_CA_90003_M92228-01588" TargetMode="External"/><Relationship Id="rId2338" Type="http://schemas.openxmlformats.org/officeDocument/2006/relationships/hyperlink" Target="https://www.realtor.com/realestateandhomes-detail/Norwalk-Ave_Eagle-Rock_CA_90041_M98912-16033" TargetMode="External"/><Relationship Id="rId2545" Type="http://schemas.openxmlformats.org/officeDocument/2006/relationships/hyperlink" Target="https://www.realtor.com/realestateandhomes-detail/7812-12th-St_Westminster_CA_92683_M17446-48008" TargetMode="External"/><Relationship Id="rId517" Type="http://schemas.openxmlformats.org/officeDocument/2006/relationships/hyperlink" Target="https://www.realtor.com/realestateandhomes-detail/1545-Kelton-Ave_Los-Angeles_CA_90024_M24096-79754" TargetMode="External"/><Relationship Id="rId724" Type="http://schemas.openxmlformats.org/officeDocument/2006/relationships/hyperlink" Target="https://www.realtor.com/realestateandhomes-detail/3-Island-Vis_Newport-Coast_CA_92657_M29796-53478" TargetMode="External"/><Relationship Id="rId931" Type="http://schemas.openxmlformats.org/officeDocument/2006/relationships/hyperlink" Target="https://www.realtor.com/realestateandhomes-detail/5914-Satsuma-Ave_North-Hollywood_CA_91601_M18681-18483" TargetMode="External"/><Relationship Id="rId1147" Type="http://schemas.openxmlformats.org/officeDocument/2006/relationships/hyperlink" Target="https://www.realtor.com/realestateandhomes-detail/2617-Sierra-St_Los-Angeles_CA_90031_M14613-27826" TargetMode="External"/><Relationship Id="rId1354" Type="http://schemas.openxmlformats.org/officeDocument/2006/relationships/hyperlink" Target="https://www.realtor.com/realestateandhomes-detail/17905-Bullock-St_Encino_CA_91316_M13994-96107" TargetMode="External"/><Relationship Id="rId1561" Type="http://schemas.openxmlformats.org/officeDocument/2006/relationships/hyperlink" Target="https://www.realtor.com/realestateandhomes-detail/30502-Shelter-Canyon-Rd_Trabuco-Canyon_CA_92679_M27458-73000" TargetMode="External"/><Relationship Id="rId2405" Type="http://schemas.openxmlformats.org/officeDocument/2006/relationships/hyperlink" Target="https://www.realtor.com/realestateandhomes-detail/1146-N-Puente-St_Brea_CA_92821_M28925-83025" TargetMode="External"/><Relationship Id="rId60" Type="http://schemas.openxmlformats.org/officeDocument/2006/relationships/hyperlink" Target="https://www.realtor.com/realestateandhomes-detail/553-Peninsula_Irvine_CA_92602_M98319-28874" TargetMode="External"/><Relationship Id="rId1007" Type="http://schemas.openxmlformats.org/officeDocument/2006/relationships/hyperlink" Target="https://www.realtor.com/realestateandhomes-detail/5224-Woodlake-Ave_Woodland-Hills_CA_91367_M18693-67855" TargetMode="External"/><Relationship Id="rId1214" Type="http://schemas.openxmlformats.org/officeDocument/2006/relationships/hyperlink" Target="https://www.realtor.com/realestateandhomes-detail/3884-Fredonia-Dr-Apt-F_Los-Angeles_CA_90068_M20974-15827" TargetMode="External"/><Relationship Id="rId1421" Type="http://schemas.openxmlformats.org/officeDocument/2006/relationships/hyperlink" Target="https://www.realtor.com/realestateandhomes-detail/11305-Valley-Spring-Ln_Studio-City_CA_91602_M10497-21119" TargetMode="External"/><Relationship Id="rId1659" Type="http://schemas.openxmlformats.org/officeDocument/2006/relationships/hyperlink" Target="https://www.realtor.com/realestateandhomes-detail/358-S-Miraleste-Dr-Unit-333_San-Pedro_CA_90732_M16979-62709" TargetMode="External"/><Relationship Id="rId1866" Type="http://schemas.openxmlformats.org/officeDocument/2006/relationships/hyperlink" Target="https://www.realtor.com/realestateandhomes-detail/517-N-Edinburgh-Ave_Los-Angeles_CA_90048_M28495-08396" TargetMode="External"/><Relationship Id="rId1519" Type="http://schemas.openxmlformats.org/officeDocument/2006/relationships/hyperlink" Target="https://www.realtor.com/realestateandhomes-detail/48-Gingham-St_Trabuco-Canyon_CA_92679_M17181-04507" TargetMode="External"/><Relationship Id="rId1726" Type="http://schemas.openxmlformats.org/officeDocument/2006/relationships/hyperlink" Target="https://www.realtor.com/realestateandhomes-detail/664-Las-Lomas-Ave_Pacific-Palisades_CA_90272_M29019-88748" TargetMode="External"/><Relationship Id="rId1933" Type="http://schemas.openxmlformats.org/officeDocument/2006/relationships/hyperlink" Target="https://www.realtor.com/realestateandhomes-detail/350-N-Hayworth-Ave_Los-Angeles_CA_90048_M23373-78751" TargetMode="External"/><Relationship Id="rId18" Type="http://schemas.openxmlformats.org/officeDocument/2006/relationships/hyperlink" Target="https://www.realtor.com/realestateandhomes-detail/14357-Herron-St_Sylmar_CA_91342_M14983-91694" TargetMode="External"/><Relationship Id="rId2195" Type="http://schemas.openxmlformats.org/officeDocument/2006/relationships/hyperlink" Target="https://www.realtor.com/realestateandhomes-detail/1216-W-River-Ln_Santa-Ana_CA_92706_M26729-50859" TargetMode="External"/><Relationship Id="rId167" Type="http://schemas.openxmlformats.org/officeDocument/2006/relationships/hyperlink" Target="https://www.realtor.com/realestateandhomes-detail/24722-Del-Prado-206_Dana-Point_CA_92629_M98499-49834" TargetMode="External"/><Relationship Id="rId374" Type="http://schemas.openxmlformats.org/officeDocument/2006/relationships/hyperlink" Target="https://www.realtor.com/realestateandhomes-detail/30802-Coast-Hwy-K53_Laguna-Beach_CA_92651_M92479-18368" TargetMode="External"/><Relationship Id="rId581" Type="http://schemas.openxmlformats.org/officeDocument/2006/relationships/hyperlink" Target="https://www.realtor.com/realestateandhomes-detail/12215-San-Fernando-Rd_Sylmar_CA_91342_M15363-47408" TargetMode="External"/><Relationship Id="rId2055" Type="http://schemas.openxmlformats.org/officeDocument/2006/relationships/hyperlink" Target="https://www.realtor.com/realestateandhomes-detail/7868-Electra-Dr_Los-Angeles_CA_90046_M11490-31004" TargetMode="External"/><Relationship Id="rId2262" Type="http://schemas.openxmlformats.org/officeDocument/2006/relationships/hyperlink" Target="https://www.realtor.com/realestateandhomes-detail/237-Pinnacle_Irvine_CA_92602_M95895-69635" TargetMode="External"/><Relationship Id="rId234" Type="http://schemas.openxmlformats.org/officeDocument/2006/relationships/hyperlink" Target="https://www.realtor.com/realestateandhomes-detail/4411-Roma-Ct_Marina-Del-Rey_CA_90292_M15702-64399" TargetMode="External"/><Relationship Id="rId679" Type="http://schemas.openxmlformats.org/officeDocument/2006/relationships/hyperlink" Target="https://www.realtor.com/realestateandhomes-detail/4063-Abourne-Rd-Apt-B_Los-Angeles_CA_90008_M25971-79231" TargetMode="External"/><Relationship Id="rId886" Type="http://schemas.openxmlformats.org/officeDocument/2006/relationships/hyperlink" Target="https://www.realtor.com/realestateandhomes-detail/3049-Scholarship_Irvine_CA_92612_M23240-31429" TargetMode="External"/><Relationship Id="rId2" Type="http://schemas.openxmlformats.org/officeDocument/2006/relationships/hyperlink" Target="https://www.realtor.com/realestateandhomes-detail/16630-Oldham-Pl_Encino_CA_91436_M94759-38992" TargetMode="External"/><Relationship Id="rId441" Type="http://schemas.openxmlformats.org/officeDocument/2006/relationships/hyperlink" Target="https://www.realtor.com/realestateandhomes-detail/10950-Bellagio-Rd_Los-Angeles_CA_90077_M16309-96513" TargetMode="External"/><Relationship Id="rId539" Type="http://schemas.openxmlformats.org/officeDocument/2006/relationships/hyperlink" Target="https://www.realtor.com/realestateandhomes-detail/77-Calle-Aragon-Unit-C_Laguna-Woods_CA_92637_M90167-15619" TargetMode="External"/><Relationship Id="rId746" Type="http://schemas.openxmlformats.org/officeDocument/2006/relationships/hyperlink" Target="https://www.realtor.com/realestateandhomes-detail/17215-Buttonwood-St_Fountain-Valley_CA_92708_M14674-67076" TargetMode="External"/><Relationship Id="rId1071" Type="http://schemas.openxmlformats.org/officeDocument/2006/relationships/hyperlink" Target="https://www.realtor.com/realestateandhomes-detail/939-E-88th-Pl_Los-Angeles_CA_90002_M17751-76519" TargetMode="External"/><Relationship Id="rId1169" Type="http://schemas.openxmlformats.org/officeDocument/2006/relationships/hyperlink" Target="https://www.realtor.com/realestateandhomes-detail/1613-E-1st-St_Los-Angeles_CA_90033_M10209-18917" TargetMode="External"/><Relationship Id="rId1376" Type="http://schemas.openxmlformats.org/officeDocument/2006/relationships/hyperlink" Target="https://www.realtor.com/realestateandhomes-detail/10147-Janetta-Way_Sunland_CA_91040_M25056-15588" TargetMode="External"/><Relationship Id="rId1583" Type="http://schemas.openxmlformats.org/officeDocument/2006/relationships/hyperlink" Target="https://www.realtor.com/realestateandhomes-detail/188-Valley-View-Ter_Mission-Viejo_CA_92692_M24893-00442" TargetMode="External"/><Relationship Id="rId2122" Type="http://schemas.openxmlformats.org/officeDocument/2006/relationships/hyperlink" Target="https://www.realtor.com/realestateandhomes-detail/903-Muirfield-Dr_Newport-Beach_CA_92660_M19227-20425" TargetMode="External"/><Relationship Id="rId2427" Type="http://schemas.openxmlformats.org/officeDocument/2006/relationships/hyperlink" Target="https://www.realtor.com/realestateandhomes-detail/17-Water-Prt_Newport-Coast_CA_92657_M24142-88684" TargetMode="External"/><Relationship Id="rId301" Type="http://schemas.openxmlformats.org/officeDocument/2006/relationships/hyperlink" Target="https://www.realtor.com/realestateandhomes-detail/726-Hartford-Ave_Los-Angeles_CA_90017_M29143-75562" TargetMode="External"/><Relationship Id="rId953" Type="http://schemas.openxmlformats.org/officeDocument/2006/relationships/hyperlink" Target="https://www.realtor.com/realestateandhomes-detail/609-Broadway-St_Venice_CA_90291_M17609-28333" TargetMode="External"/><Relationship Id="rId1029" Type="http://schemas.openxmlformats.org/officeDocument/2006/relationships/hyperlink" Target="https://www.realtor.com/realestateandhomes-detail/2431-Benedict-Canyon-Dr_Beverly-Hills_CA_90210_M24085-87670" TargetMode="External"/><Relationship Id="rId1236" Type="http://schemas.openxmlformats.org/officeDocument/2006/relationships/hyperlink" Target="https://www.realtor.com/realestateandhomes-detail/1410-W-Camden-Pl_Santa-Ana_CA_92704_M20659-90304" TargetMode="External"/><Relationship Id="rId1790" Type="http://schemas.openxmlformats.org/officeDocument/2006/relationships/hyperlink" Target="https://www.realtor.com/realestateandhomes-detail/8346-Manitoba-St-Apt-11_Playa-Del-Rey_CA_90293_M21087-12390" TargetMode="External"/><Relationship Id="rId1888" Type="http://schemas.openxmlformats.org/officeDocument/2006/relationships/hyperlink" Target="https://www.realtor.com/realestateandhomes-detail/15-Reef-St_Marina-Del-Rey_CA_90292_M16156-91583" TargetMode="External"/><Relationship Id="rId82" Type="http://schemas.openxmlformats.org/officeDocument/2006/relationships/hyperlink" Target="https://www.realtor.com/realestateandhomes-detail/1736-Kilbourn-St_Los-Angeles_CA_90065_M10597-53178" TargetMode="External"/><Relationship Id="rId606" Type="http://schemas.openxmlformats.org/officeDocument/2006/relationships/hyperlink" Target="https://www.realtor.com/realestateandhomes-detail/877-Francisco-St-Apt-2811_Los-Angeles_CA_90017_M94689-82368" TargetMode="External"/><Relationship Id="rId813" Type="http://schemas.openxmlformats.org/officeDocument/2006/relationships/hyperlink" Target="https://www.realtor.com/realestateandhomes-detail/12411-Osborne-St-Unit-128_Pacoima_CA_91331_M24184-87815" TargetMode="External"/><Relationship Id="rId1443" Type="http://schemas.openxmlformats.org/officeDocument/2006/relationships/hyperlink" Target="https://www.realtor.com/realestateandhomes-detail/3633-Richardson-Dr_Glassell-Park_CA_90065_M11867-51412" TargetMode="External"/><Relationship Id="rId1650" Type="http://schemas.openxmlformats.org/officeDocument/2006/relationships/hyperlink" Target="https://www.realtor.com/realestateandhomes-detail/1738-Chastain-Pkwy-E_Pacific-Palisades_CA_90272_M11818-93267" TargetMode="External"/><Relationship Id="rId1748" Type="http://schemas.openxmlformats.org/officeDocument/2006/relationships/hyperlink" Target="https://www.realtor.com/realestateandhomes-detail/2940-N-Beachwood-Dr_Los-Angeles_CA_90068_M13140-81863" TargetMode="External"/><Relationship Id="rId1303" Type="http://schemas.openxmlformats.org/officeDocument/2006/relationships/hyperlink" Target="https://www.realtor.com/realestateandhomes-detail/450-E-4th-St-Apt-107_Santa-Ana_CA_92701_M22547-48601" TargetMode="External"/><Relationship Id="rId1510" Type="http://schemas.openxmlformats.org/officeDocument/2006/relationships/hyperlink" Target="https://www.realtor.com/realestateandhomes-detail/2-Thomas-Rd_Ladera-Ranch_CA_92694_M19300-84286" TargetMode="External"/><Relationship Id="rId1955" Type="http://schemas.openxmlformats.org/officeDocument/2006/relationships/hyperlink" Target="https://www.realtor.com/realestateandhomes-detail/126-E-89th-St_Los-Angeles_CA_90003_M17418-98032" TargetMode="External"/><Relationship Id="rId1608" Type="http://schemas.openxmlformats.org/officeDocument/2006/relationships/hyperlink" Target="https://www.realtor.com/realestateandhomes-detail/5426-Compton-Ave_Los-Angeles_CA_90011_M22591-27271" TargetMode="External"/><Relationship Id="rId1815" Type="http://schemas.openxmlformats.org/officeDocument/2006/relationships/hyperlink" Target="https://www.realtor.com/realestateandhomes-detail/2523-S-Orange-Dr_Los-Angeles_CA_90016_M10854-74902" TargetMode="External"/><Relationship Id="rId189" Type="http://schemas.openxmlformats.org/officeDocument/2006/relationships/hyperlink" Target="https://www.realtor.com/realestateandhomes-detail/11378-Ovada-Pl_Los-Angeles_CA_90049_M23363-67741" TargetMode="External"/><Relationship Id="rId396" Type="http://schemas.openxmlformats.org/officeDocument/2006/relationships/hyperlink" Target="https://www.realtor.com/realestateandhomes-detail/818-N-Curson-Ave_Los-Angeles_CA_90046_M23283-97659" TargetMode="External"/><Relationship Id="rId2077" Type="http://schemas.openxmlformats.org/officeDocument/2006/relationships/hyperlink" Target="https://www.realtor.com/realestateandhomes-detail/433-S-Arden-Blvd_Los-Angeles_CA_90020_M18717-03533" TargetMode="External"/><Relationship Id="rId2284" Type="http://schemas.openxmlformats.org/officeDocument/2006/relationships/hyperlink" Target="https://www.realtor.com/realestateandhomes-detail/19421-Sierra-Lago-Rd_Irvine_CA_92603_M22630-03970" TargetMode="External"/><Relationship Id="rId2491" Type="http://schemas.openxmlformats.org/officeDocument/2006/relationships/hyperlink" Target="https://www.realtor.com/realestateandhomes-detail/1018-N-Wright-St_Santa-Ana_CA_92701_M17790-42547" TargetMode="External"/><Relationship Id="rId256" Type="http://schemas.openxmlformats.org/officeDocument/2006/relationships/hyperlink" Target="https://www.realtor.com/realestateandhomes-detail/4854-Brewster-Dr_Tarzana_CA_91356_M20527-30813" TargetMode="External"/><Relationship Id="rId463" Type="http://schemas.openxmlformats.org/officeDocument/2006/relationships/hyperlink" Target="https://www.realtor.com/realestateandhomes-detail/5711-Marmion-Way_Los-Angeles_CA_90042_M92574-70065" TargetMode="External"/><Relationship Id="rId670" Type="http://schemas.openxmlformats.org/officeDocument/2006/relationships/hyperlink" Target="https://www.realtor.com/realestateandhomes-detail/2275-W-25th-St-Spc-12_San-Pedro_CA_90732_M10884-32208" TargetMode="External"/><Relationship Id="rId1093" Type="http://schemas.openxmlformats.org/officeDocument/2006/relationships/hyperlink" Target="https://www.realtor.com/realestateandhomes-detail/544-Grand-Blvd_Venice_CA_90291_M18279-69764" TargetMode="External"/><Relationship Id="rId2144" Type="http://schemas.openxmlformats.org/officeDocument/2006/relationships/hyperlink" Target="https://www.realtor.com/realestateandhomes-detail/126-E-95th-St_Los-Angeles_CA_90003_M20785-95823" TargetMode="External"/><Relationship Id="rId2351" Type="http://schemas.openxmlformats.org/officeDocument/2006/relationships/hyperlink" Target="https://www.realtor.com/realestateandhomes-detail/1160-S-Tamarisk-Dr_Anaheim_CA_92807_M23444-15533" TargetMode="External"/><Relationship Id="rId116" Type="http://schemas.openxmlformats.org/officeDocument/2006/relationships/hyperlink" Target="https://www.realtor.com/realestateandhomes-detail/1737-S-Longwood-Ave_Los-Angeles_CA_90019_M16243-77697" TargetMode="External"/><Relationship Id="rId323" Type="http://schemas.openxmlformats.org/officeDocument/2006/relationships/hyperlink" Target="https://www.realtor.com/realestateandhomes-detail/3215-Betty-Dr_Los-Angeles_CA_90032_M98066-17369" TargetMode="External"/><Relationship Id="rId530" Type="http://schemas.openxmlformats.org/officeDocument/2006/relationships/hyperlink" Target="https://www.realtor.com/realestateandhomes-detail/534-S-Coronado-St_Los-Angeles_CA_90057_M26607-06199" TargetMode="External"/><Relationship Id="rId768" Type="http://schemas.openxmlformats.org/officeDocument/2006/relationships/hyperlink" Target="https://www.realtor.com/realestateandhomes-detail/10377-Morning-Glory-Ave_Fountain-Valley_CA_92708_M29527-72597" TargetMode="External"/><Relationship Id="rId975" Type="http://schemas.openxmlformats.org/officeDocument/2006/relationships/hyperlink" Target="https://www.realtor.com/realestateandhomes-detail/5257-Radford-Ave-Unit-212_Valley-Village_CA_91607_M16060-87025" TargetMode="External"/><Relationship Id="rId1160" Type="http://schemas.openxmlformats.org/officeDocument/2006/relationships/hyperlink" Target="https://www.realtor.com/realestateandhomes-detail/1542-2nd-Ave_Los-Angeles_CA_90019_M17624-85279" TargetMode="External"/><Relationship Id="rId1398" Type="http://schemas.openxmlformats.org/officeDocument/2006/relationships/hyperlink" Target="https://www.realtor.com/realestateandhomes-detail/5040-W-Slauson-Ave_Los-Angeles_CA_90056_M28106-41850" TargetMode="External"/><Relationship Id="rId2004" Type="http://schemas.openxmlformats.org/officeDocument/2006/relationships/hyperlink" Target="https://www.realtor.com/realestateandhomes-detail/144-W-45th-St_Los-Angeles_CA_90037_M24688-98485" TargetMode="External"/><Relationship Id="rId2211" Type="http://schemas.openxmlformats.org/officeDocument/2006/relationships/hyperlink" Target="https://www.realtor.com/realestateandhomes-detail/1021-W-48th-St_Los-Angeles_CA_90037_M17110-93312" TargetMode="External"/><Relationship Id="rId2449" Type="http://schemas.openxmlformats.org/officeDocument/2006/relationships/hyperlink" Target="https://www.realtor.com/realestateandhomes-detail/10361-Garden-Grove-Blvd-Apt-12_Garden-Grove_CA_92843_M21785-39748" TargetMode="External"/><Relationship Id="rId628" Type="http://schemas.openxmlformats.org/officeDocument/2006/relationships/hyperlink" Target="https://www.realtor.com/realestateandhomes-detail/11408-Calvert-St_North-Hollywood_CA_91606_M95436-31563" TargetMode="External"/><Relationship Id="rId835" Type="http://schemas.openxmlformats.org/officeDocument/2006/relationships/hyperlink" Target="https://www.realtor.com/realestateandhomes-detail/10354-Owensmouth-Ave_Chatsworth_CA_91311_M21711-68276" TargetMode="External"/><Relationship Id="rId1258" Type="http://schemas.openxmlformats.org/officeDocument/2006/relationships/hyperlink" Target="https://www.realtor.com/realestateandhomes-detail/318-N-Claudina-St_Anaheim_CA_92805_M29486-58823" TargetMode="External"/><Relationship Id="rId1465" Type="http://schemas.openxmlformats.org/officeDocument/2006/relationships/hyperlink" Target="https://www.realtor.com/realestateandhomes-detail/1630-Del-Mar-Ave_Laguna-Beach_CA_92651_M14790-54858" TargetMode="External"/><Relationship Id="rId1672" Type="http://schemas.openxmlformats.org/officeDocument/2006/relationships/hyperlink" Target="https://www.realtor.com/realestateandhomes-detail/360-W-Avenue-26-Apt-318_Los-Angeles_CA_90031_M14205-18836" TargetMode="External"/><Relationship Id="rId2309" Type="http://schemas.openxmlformats.org/officeDocument/2006/relationships/hyperlink" Target="https://www.realtor.com/realestateandhomes-detail/2929-Amethyst-St_Los-Angeles_CA_90032_M14748-98589" TargetMode="External"/><Relationship Id="rId2516" Type="http://schemas.openxmlformats.org/officeDocument/2006/relationships/hyperlink" Target="https://www.realtor.com/realestateandhomes-detail/718-Kenoak-Dr_Placentia_CA_92870_M21686-80721" TargetMode="External"/><Relationship Id="rId1020" Type="http://schemas.openxmlformats.org/officeDocument/2006/relationships/hyperlink" Target="https://www.realtor.com/realestateandhomes-detail/28004-S-Western-Ave-Unit-319_San-Pedro_CA_90732_M25671-01764" TargetMode="External"/><Relationship Id="rId1118" Type="http://schemas.openxmlformats.org/officeDocument/2006/relationships/hyperlink" Target="https://www.realtor.com/realestateandhomes-detail/1036-W-98th-St_Los-Angeles_CA_90044_M21731-02253" TargetMode="External"/><Relationship Id="rId1325" Type="http://schemas.openxmlformats.org/officeDocument/2006/relationships/hyperlink" Target="https://www.realtor.com/realestateandhomes-detail/5470-Copper-Canyon-Rd_Yorba-Linda_CA_92887_M29618-39624" TargetMode="External"/><Relationship Id="rId1532" Type="http://schemas.openxmlformats.org/officeDocument/2006/relationships/hyperlink" Target="https://www.realtor.com/realestateandhomes-detail/2894-Player-Ln_Tustin_CA_92782_M29056-77189" TargetMode="External"/><Relationship Id="rId1977" Type="http://schemas.openxmlformats.org/officeDocument/2006/relationships/hyperlink" Target="https://www.realtor.com/realestateandhomes-detail/906-W-59th_Los-Angeles_CA_90044_M96695-35485" TargetMode="External"/><Relationship Id="rId902" Type="http://schemas.openxmlformats.org/officeDocument/2006/relationships/hyperlink" Target="https://www.realtor.com/realestateandhomes-detail/6-Midsummer_Newport-Coast_CA_92657_M14444-77442" TargetMode="External"/><Relationship Id="rId1837" Type="http://schemas.openxmlformats.org/officeDocument/2006/relationships/hyperlink" Target="https://www.realtor.com/realestateandhomes-detail/500-Molino-St-Apt-214_Los-Angeles_CA_90013_M28207-17566" TargetMode="External"/><Relationship Id="rId31" Type="http://schemas.openxmlformats.org/officeDocument/2006/relationships/hyperlink" Target="https://www.realtor.com/realestateandhomes-detail/20183-Allentown-Dr_Woodland-Hills_CA_91364_M16205-57678" TargetMode="External"/><Relationship Id="rId2099" Type="http://schemas.openxmlformats.org/officeDocument/2006/relationships/hyperlink" Target="https://www.realtor.com/realestateandhomes-detail/3364-Clerendon-Rd_Beverly-Hills_CA_90210_M28930-60940" TargetMode="External"/><Relationship Id="rId180" Type="http://schemas.openxmlformats.org/officeDocument/2006/relationships/hyperlink" Target="https://www.realtor.com/realestateandhomes-detail/1738-Nichols-Canyon-Rd_Los-Angeles_CA_90046_M27762-97021" TargetMode="External"/><Relationship Id="rId278" Type="http://schemas.openxmlformats.org/officeDocument/2006/relationships/hyperlink" Target="https://www.realtor.com/realestateandhomes-detail/120-Via-Trieste_Newport-Beach_CA_92663_M27173-61713" TargetMode="External"/><Relationship Id="rId1904" Type="http://schemas.openxmlformats.org/officeDocument/2006/relationships/hyperlink" Target="https://www.realtor.com/realestateandhomes-detail/5845-W-74th-St_Los-Angeles_CA_90045_M11962-22985" TargetMode="External"/><Relationship Id="rId485" Type="http://schemas.openxmlformats.org/officeDocument/2006/relationships/hyperlink" Target="https://www.realtor.com/realestateandhomes-detail/3105-Scholarship_Irvine_CA_92612_M15586-26235" TargetMode="External"/><Relationship Id="rId692" Type="http://schemas.openxmlformats.org/officeDocument/2006/relationships/hyperlink" Target="https://www.realtor.com/realestateandhomes-detail/9-Macarthur-Pl-Unit-403_Santa-Ana_CA_92707_M96306-31140" TargetMode="External"/><Relationship Id="rId2166" Type="http://schemas.openxmlformats.org/officeDocument/2006/relationships/hyperlink" Target="https://www.realtor.com/realestateandhomes-detail/4012-S-Budlong-Ave_Los-Angeles_CA_90037_M23324-41977" TargetMode="External"/><Relationship Id="rId2373" Type="http://schemas.openxmlformats.org/officeDocument/2006/relationships/hyperlink" Target="https://www.realtor.com/realestateandhomes-detail/2682-Pala-Mesa-Ct_Costa-Mesa_CA_92627_M23476-89861" TargetMode="External"/><Relationship Id="rId138" Type="http://schemas.openxmlformats.org/officeDocument/2006/relationships/hyperlink" Target="https://www.realtor.com/realestateandhomes-detail/712-K-Thanga-Dr_Corona-Del-Mar_CA_92625_M19638-57654" TargetMode="External"/><Relationship Id="rId345" Type="http://schemas.openxmlformats.org/officeDocument/2006/relationships/hyperlink" Target="https://www.realtor.com/realestateandhomes-detail/639-Channel-Way_Costa-Mesa_CA_92627_M21416-25705" TargetMode="External"/><Relationship Id="rId552" Type="http://schemas.openxmlformats.org/officeDocument/2006/relationships/hyperlink" Target="https://www.realtor.com/realestateandhomes-detail/753-Spring-Gdn_Irvine_CA_92618_M98062-93524" TargetMode="External"/><Relationship Id="rId997" Type="http://schemas.openxmlformats.org/officeDocument/2006/relationships/hyperlink" Target="https://www.realtor.com/realestateandhomes-detail/1459-W-85th-St_Los-Angeles_CA_90047_M15792-32193" TargetMode="External"/><Relationship Id="rId1182" Type="http://schemas.openxmlformats.org/officeDocument/2006/relationships/hyperlink" Target="https://www.realtor.com/realestateandhomes-detail/4750-Templeton-St-Apt-1104_Los-Angeles_CA_90032_M15360-08774" TargetMode="External"/><Relationship Id="rId2026" Type="http://schemas.openxmlformats.org/officeDocument/2006/relationships/hyperlink" Target="https://www.realtor.com/realestateandhomes-detail/4303-San-Rafael-Ave_Los-Angeles_CA_90042_M13116-70949" TargetMode="External"/><Relationship Id="rId2233" Type="http://schemas.openxmlformats.org/officeDocument/2006/relationships/hyperlink" Target="https://www.realtor.com/realestateandhomes-detail/222-S-Central-Ave-Apt-242_Los-Angeles_CA_90012_M10504-33543" TargetMode="External"/><Relationship Id="rId2440" Type="http://schemas.openxmlformats.org/officeDocument/2006/relationships/hyperlink" Target="https://www.realtor.com/realestateandhomes-detail/649-S-Glenhurst-Dr_Anaheim_CA_92808_M13353-71905" TargetMode="External"/><Relationship Id="rId205" Type="http://schemas.openxmlformats.org/officeDocument/2006/relationships/hyperlink" Target="https://www.realtor.com/realestateandhomes-detail/2919-Waverly-Dr-Unit-308_Los-Angeles_CA_90039_M98244-90021" TargetMode="External"/><Relationship Id="rId412" Type="http://schemas.openxmlformats.org/officeDocument/2006/relationships/hyperlink" Target="https://www.realtor.com/realestateandhomes-detail/2011-S-Shenandoah-St_Los-Angeles_CA_90034_M11800-40028" TargetMode="External"/><Relationship Id="rId857" Type="http://schemas.openxmlformats.org/officeDocument/2006/relationships/hyperlink" Target="https://www.realtor.com/realestateandhomes-detail/6360-Maryland-Dr_Los-Angeles_CA_90048_M19095-65731" TargetMode="External"/><Relationship Id="rId1042" Type="http://schemas.openxmlformats.org/officeDocument/2006/relationships/hyperlink" Target="https://www.realtor.com/realestateandhomes-detail/1123-W-18th-St_Los-Angeles_CA_90015_M16129-12626" TargetMode="External"/><Relationship Id="rId1487" Type="http://schemas.openxmlformats.org/officeDocument/2006/relationships/hyperlink" Target="https://www.realtor.com/realestateandhomes-detail/30781-Via-Conquista_San-Juan-Capistrano_CA_92675_M16458-94483" TargetMode="External"/><Relationship Id="rId1694" Type="http://schemas.openxmlformats.org/officeDocument/2006/relationships/hyperlink" Target="https://www.realtor.com/realestateandhomes-detail/751-Hartzell-St_Pacific-Palisades_CA_90272_M23125-45112" TargetMode="External"/><Relationship Id="rId2300" Type="http://schemas.openxmlformats.org/officeDocument/2006/relationships/hyperlink" Target="https://www.realtor.com/realestateandhomes-detail/1558-Hauser-Blvd_Los-Angeles_CA_90019_M16559-41950" TargetMode="External"/><Relationship Id="rId2538" Type="http://schemas.openxmlformats.org/officeDocument/2006/relationships/hyperlink" Target="https://www.realtor.com/realestateandhomes-detail/92-New-Season_Irvine_CA_92602_M29597-15465" TargetMode="External"/><Relationship Id="rId717" Type="http://schemas.openxmlformats.org/officeDocument/2006/relationships/hyperlink" Target="https://www.realtor.com/realestateandhomes-detail/12157-Memphis-Ave_Sylmar_CA_91342_M18127-55813" TargetMode="External"/><Relationship Id="rId924" Type="http://schemas.openxmlformats.org/officeDocument/2006/relationships/hyperlink" Target="https://www.realtor.com/realestateandhomes-detail/7268-Ellington-Dr_Huntington-Beach_CA_92647_M98361-50467" TargetMode="External"/><Relationship Id="rId1347" Type="http://schemas.openxmlformats.org/officeDocument/2006/relationships/hyperlink" Target="https://www.realtor.com/realestateandhomes-detail/602-W-Vernon-Ave_Los-Angeles_CA_90037_M22966-29406" TargetMode="External"/><Relationship Id="rId1554" Type="http://schemas.openxmlformats.org/officeDocument/2006/relationships/hyperlink" Target="https://www.realtor.com/realestateandhomes-detail/6240-Hazeltine-Ave_Van-Nuys_CA_91401_M14985-37609" TargetMode="External"/><Relationship Id="rId1761" Type="http://schemas.openxmlformats.org/officeDocument/2006/relationships/hyperlink" Target="https://www.realtor.com/realestateandhomes-detail/2641-Hutton-Dr_Beverly-Hills_CA_90210_M24229-72323" TargetMode="External"/><Relationship Id="rId1999" Type="http://schemas.openxmlformats.org/officeDocument/2006/relationships/hyperlink" Target="https://www.realtor.com/realestateandhomes-detail/2822-S-LA-Salle-Ave_Los-Angeles_CA_90018_M12561-52919" TargetMode="External"/><Relationship Id="rId53" Type="http://schemas.openxmlformats.org/officeDocument/2006/relationships/hyperlink" Target="https://www.realtor.com/realestateandhomes-detail/1105-Skyline-Dr_Laguna-Beach_CA_92651_M97427-51081" TargetMode="External"/><Relationship Id="rId1207" Type="http://schemas.openxmlformats.org/officeDocument/2006/relationships/hyperlink" Target="https://www.realtor.com/realestateandhomes-detail/27-Alessio_Lake-Forest_CA_92630_M96936-89461" TargetMode="External"/><Relationship Id="rId1414" Type="http://schemas.openxmlformats.org/officeDocument/2006/relationships/hyperlink" Target="https://www.realtor.com/realestateandhomes-detail/20123-Haynes-St_Winnetka_CA_91306_M26376-31152" TargetMode="External"/><Relationship Id="rId1621" Type="http://schemas.openxmlformats.org/officeDocument/2006/relationships/hyperlink" Target="https://www.realtor.com/realestateandhomes-detail/850-W-Martin-Luther-King-Jr-Blvd_Los-Angeles_CA_90037_M22713-25831" TargetMode="External"/><Relationship Id="rId1859" Type="http://schemas.openxmlformats.org/officeDocument/2006/relationships/hyperlink" Target="https://www.realtor.com/realestateandhomes-detail/1361-Kelton-Ave-403_Los-Angeles_CA_90024_M93405-77301" TargetMode="External"/><Relationship Id="rId1719" Type="http://schemas.openxmlformats.org/officeDocument/2006/relationships/hyperlink" Target="https://www.realtor.com/realestateandhomes-detail/8221-Langdon-Ave-Unit-201_Van-Nuys_CA_91406_M29947-19711" TargetMode="External"/><Relationship Id="rId1926" Type="http://schemas.openxmlformats.org/officeDocument/2006/relationships/hyperlink" Target="https://www.realtor.com/realestateandhomes-detail/15321-DE-Pauw-St_Pacific-Palisades_CA_90272_M29454-40837" TargetMode="External"/><Relationship Id="rId2090" Type="http://schemas.openxmlformats.org/officeDocument/2006/relationships/hyperlink" Target="https://www.realtor.com/realestateandhomes-detail/5910-W-77th-Pl_Los-Angeles_CA_90045_M12248-43229" TargetMode="External"/><Relationship Id="rId2188" Type="http://schemas.openxmlformats.org/officeDocument/2006/relationships/hyperlink" Target="https://www.realtor.com/realestateandhomes-detail/34291-Via-Lopez_Dana-Point_CA_92624_M13383-26064" TargetMode="External"/><Relationship Id="rId2395" Type="http://schemas.openxmlformats.org/officeDocument/2006/relationships/hyperlink" Target="https://www.realtor.com/realestateandhomes-detail/13181-Del-Monte-Dr-M12-38E_Seal-Beach_CA_90740_M96346-75707" TargetMode="External"/><Relationship Id="rId367" Type="http://schemas.openxmlformats.org/officeDocument/2006/relationships/hyperlink" Target="https://www.realtor.com/realestateandhomes-detail/125-Kings-Pl_Newport-Beach_CA_92663_M17663-10893" TargetMode="External"/><Relationship Id="rId574" Type="http://schemas.openxmlformats.org/officeDocument/2006/relationships/hyperlink" Target="https://www.realtor.com/realestateandhomes-detail/1354-E-108th-St_Los-Angeles_CA_90059_M25215-01549" TargetMode="External"/><Relationship Id="rId2048" Type="http://schemas.openxmlformats.org/officeDocument/2006/relationships/hyperlink" Target="https://www.realtor.com/realestateandhomes-detail/4632-Abner-St_Los-Angeles_CA_90032_M16555-57918" TargetMode="External"/><Relationship Id="rId2255" Type="http://schemas.openxmlformats.org/officeDocument/2006/relationships/hyperlink" Target="https://www.realtor.com/realestateandhomes-detail/14429-Califa-St_Van-Nuys_CA_91401_M13632-64929" TargetMode="External"/><Relationship Id="rId227" Type="http://schemas.openxmlformats.org/officeDocument/2006/relationships/hyperlink" Target="https://www.realtor.com/realestateandhomes-detail/11601-Bellagio-Rd_Los-Angeles_CA_90049_M17598-62142" TargetMode="External"/><Relationship Id="rId781" Type="http://schemas.openxmlformats.org/officeDocument/2006/relationships/hyperlink" Target="https://www.realtor.com/realestateandhomes-detail/1305-S-Cabrillo-Ave_San-Pedro_CA_90731_M29269-41705" TargetMode="External"/><Relationship Id="rId879" Type="http://schemas.openxmlformats.org/officeDocument/2006/relationships/hyperlink" Target="https://www.realtor.com/realestateandhomes-detail/32101-Coast-Hwy_Laguna-Beach_CA_92651_M24049-81125" TargetMode="External"/><Relationship Id="rId2462" Type="http://schemas.openxmlformats.org/officeDocument/2006/relationships/hyperlink" Target="https://www.realtor.com/realestateandhomes-detail/1320-E-Trenton-Ave_Orange_CA_92867_M15135-67921" TargetMode="External"/><Relationship Id="rId434" Type="http://schemas.openxmlformats.org/officeDocument/2006/relationships/hyperlink" Target="https://www.realtor.com/realestateandhomes-detail/215-W-7th-St-Apt-1302_Los-Angeles_CA_90014_M29826-60831" TargetMode="External"/><Relationship Id="rId641" Type="http://schemas.openxmlformats.org/officeDocument/2006/relationships/hyperlink" Target="https://www.realtor.com/realestateandhomes-detail/8621-Lookout-Mountain-Ave_Los-Angeles_CA_90046_M12107-27202" TargetMode="External"/><Relationship Id="rId739" Type="http://schemas.openxmlformats.org/officeDocument/2006/relationships/hyperlink" Target="https://www.realtor.com/realestateandhomes-detail/3630-S-Bear-St-67_Santa-Ana_CA_92704_M29846-83585" TargetMode="External"/><Relationship Id="rId1064" Type="http://schemas.openxmlformats.org/officeDocument/2006/relationships/hyperlink" Target="https://www.realtor.com/realestateandhomes-detail/10490-Wilshire-Blvd-Ph-4_Los-Angeles_CA_90024_M25274-40132" TargetMode="External"/><Relationship Id="rId1271" Type="http://schemas.openxmlformats.org/officeDocument/2006/relationships/hyperlink" Target="https://www.realtor.com/realestateandhomes-detail/3051-Madeira-Ave_Costa-Mesa_CA_92626_M25779-03109" TargetMode="External"/><Relationship Id="rId1369" Type="http://schemas.openxmlformats.org/officeDocument/2006/relationships/hyperlink" Target="https://www.realtor.com/realestateandhomes-detail/3851-Beverly-Ridge-Dr_Sherman-Oaks_CA_91423_M25837-21855" TargetMode="External"/><Relationship Id="rId1576" Type="http://schemas.openxmlformats.org/officeDocument/2006/relationships/hyperlink" Target="https://www.realtor.com/realestateandhomes-detail/220-Carnation-Ave_Corona-Del-Mar_CA_92625_M90563-79617" TargetMode="External"/><Relationship Id="rId2115" Type="http://schemas.openxmlformats.org/officeDocument/2006/relationships/hyperlink" Target="https://www.realtor.com/realestateandhomes-detail/1380-Summitridge-Pl_Beverly-Hills_CA_90210_M22474-51202" TargetMode="External"/><Relationship Id="rId2322" Type="http://schemas.openxmlformats.org/officeDocument/2006/relationships/hyperlink" Target="https://www.realtor.com/realestateandhomes-detail/1319-Douglas-St_Los-Angeles_CA_90026_M15017-05122" TargetMode="External"/><Relationship Id="rId501" Type="http://schemas.openxmlformats.org/officeDocument/2006/relationships/hyperlink" Target="https://www.realtor.com/realestateandhomes-detail/139-S-Manhattan-Pl_Los-Angeles_CA_90004_M20400-33796" TargetMode="External"/><Relationship Id="rId946" Type="http://schemas.openxmlformats.org/officeDocument/2006/relationships/hyperlink" Target="https://www.realtor.com/realestateandhomes-detail/104-N-Harper-Ave_Los-Angeles_CA_90048_M19145-96633" TargetMode="External"/><Relationship Id="rId1131" Type="http://schemas.openxmlformats.org/officeDocument/2006/relationships/hyperlink" Target="https://www.realtor.com/realestateandhomes-detail/980-Yale-St_Los-Angeles_CA_90012_M29425-61820" TargetMode="External"/><Relationship Id="rId1229" Type="http://schemas.openxmlformats.org/officeDocument/2006/relationships/hyperlink" Target="https://www.realtor.com/realestateandhomes-detail/360-W-Avenue-26-Apt-215_Los-Angeles_CA_90031_M10513-36699" TargetMode="External"/><Relationship Id="rId1783" Type="http://schemas.openxmlformats.org/officeDocument/2006/relationships/hyperlink" Target="https://www.realtor.com/realestateandhomes-detail/4735-La-Villa-Marina-Unit-D_Marina-Del-Rey_CA_90292_M13209-29350" TargetMode="External"/><Relationship Id="rId1990" Type="http://schemas.openxmlformats.org/officeDocument/2006/relationships/hyperlink" Target="https://www.realtor.com/realestateandhomes-detail/337-Museum-Dr_Los-Angeles_CA_90065_M12405-30265" TargetMode="External"/><Relationship Id="rId75" Type="http://schemas.openxmlformats.org/officeDocument/2006/relationships/hyperlink" Target="https://www.realtor.com/realestateandhomes-detail/250-S-Rockingham-Ave_Los-Angeles_CA_90049_M12218-47340" TargetMode="External"/><Relationship Id="rId806" Type="http://schemas.openxmlformats.org/officeDocument/2006/relationships/hyperlink" Target="https://www.realtor.com/realestateandhomes-detail/18912-Pasadero-Dr_Tarzana_CA_91356_M20579-10779" TargetMode="External"/><Relationship Id="rId1436" Type="http://schemas.openxmlformats.org/officeDocument/2006/relationships/hyperlink" Target="https://www.realtor.com/realestateandhomes-detail/465-Panorama-Dr_Laguna-Beach_CA_92651_M17341-56407" TargetMode="External"/><Relationship Id="rId1643" Type="http://schemas.openxmlformats.org/officeDocument/2006/relationships/hyperlink" Target="https://www.realtor.com/realestateandhomes-detail/519-Narcissus-Ave-B_Corona-Del-Mar_CA_92625_M97393-07101" TargetMode="External"/><Relationship Id="rId1850" Type="http://schemas.openxmlformats.org/officeDocument/2006/relationships/hyperlink" Target="https://www.realtor.com/realestateandhomes-detail/2914-Castle-Heights-Ave_Los-Angeles_CA_90034_M19425-88431" TargetMode="External"/><Relationship Id="rId1503" Type="http://schemas.openxmlformats.org/officeDocument/2006/relationships/hyperlink" Target="https://www.realtor.com/realestateandhomes-detail/13-Hideaway-Loop_Mission-Viejo_CA_92692_M94779-30095" TargetMode="External"/><Relationship Id="rId1710" Type="http://schemas.openxmlformats.org/officeDocument/2006/relationships/hyperlink" Target="https://www.realtor.com/realestateandhomes-detail/3115-Curts-Ave_Los-Angeles_CA_90034_M19627-49306" TargetMode="External"/><Relationship Id="rId1948" Type="http://schemas.openxmlformats.org/officeDocument/2006/relationships/hyperlink" Target="https://www.realtor.com/realestateandhomes-detail/7325-Rindge-Ave_Playa-Del-Rey_CA_90293_M17806-53389" TargetMode="External"/><Relationship Id="rId291" Type="http://schemas.openxmlformats.org/officeDocument/2006/relationships/hyperlink" Target="https://www.realtor.com/realestateandhomes-detail/16864-Calle-Bellevista_Pacific-Palisades_CA_90272_M12360-03416" TargetMode="External"/><Relationship Id="rId1808" Type="http://schemas.openxmlformats.org/officeDocument/2006/relationships/hyperlink" Target="https://www.realtor.com/realestateandhomes-detail/4503-Tobias-Ave_Sherman-Oaks_CA_91403_M24132-67434" TargetMode="External"/><Relationship Id="rId151" Type="http://schemas.openxmlformats.org/officeDocument/2006/relationships/hyperlink" Target="https://www.realtor.com/realestateandhomes-detail/852-N-Oxford-Ave_Los-Angeles_CA_90029_M24795-17963" TargetMode="External"/><Relationship Id="rId389" Type="http://schemas.openxmlformats.org/officeDocument/2006/relationships/hyperlink" Target="https://www.realtor.com/realestateandhomes-detail/134-S-Pritchard-Ave_Fullerton_CA_92833_M90100-96977" TargetMode="External"/><Relationship Id="rId596" Type="http://schemas.openxmlformats.org/officeDocument/2006/relationships/hyperlink" Target="https://www.realtor.com/realestateandhomes-detail/1333-S-Beverly-Glen-Blvd-Ph-A_Los-Angeles_CA_90024_M27736-82197" TargetMode="External"/><Relationship Id="rId2277" Type="http://schemas.openxmlformats.org/officeDocument/2006/relationships/hyperlink" Target="https://www.realtor.com/realestateandhomes-detail/3836-Oak-Hill-Ave_Los-Angeles_CA_90032_M18599-50240" TargetMode="External"/><Relationship Id="rId2484" Type="http://schemas.openxmlformats.org/officeDocument/2006/relationships/hyperlink" Target="https://www.realtor.com/realestateandhomes-detail/500-Brower-Ave_Placentia_CA_92870_M18120-45651" TargetMode="External"/><Relationship Id="rId249" Type="http://schemas.openxmlformats.org/officeDocument/2006/relationships/hyperlink" Target="https://www.realtor.com/realestateandhomes-detail/23301-Ridge-Route-Dr-Spc-94_Laguna-Hills_CA_92653_M22759-43534" TargetMode="External"/><Relationship Id="rId456" Type="http://schemas.openxmlformats.org/officeDocument/2006/relationships/hyperlink" Target="https://www.realtor.com/realestateandhomes-detail/7449-7451-Alabama-Ave_Canoga-Park_CA_91303_M94077-05456" TargetMode="External"/><Relationship Id="rId663" Type="http://schemas.openxmlformats.org/officeDocument/2006/relationships/hyperlink" Target="https://www.realtor.com/realestateandhomes-detail/7681-Willow-Glen-Rd_Los-Angeles_CA_90046_M10886-60177" TargetMode="External"/><Relationship Id="rId870" Type="http://schemas.openxmlformats.org/officeDocument/2006/relationships/hyperlink" Target="https://www.realtor.com/realestateandhomes-detail/2313-Via-Puerta-Unit-Q_Laguna-Woods_CA_92637_M18357-04449" TargetMode="External"/><Relationship Id="rId1086" Type="http://schemas.openxmlformats.org/officeDocument/2006/relationships/hyperlink" Target="https://www.realtor.com/realestateandhomes-detail/3222-S-Barrington-Ave_Los-Angeles_CA_90066_M98827-57928" TargetMode="External"/><Relationship Id="rId1293" Type="http://schemas.openxmlformats.org/officeDocument/2006/relationships/hyperlink" Target="https://www.realtor.com/realestateandhomes-detail/1001-W-Macarthur-Blvd-Unit-110_Santa-Ana_CA_92707_M17275-10046" TargetMode="External"/><Relationship Id="rId2137" Type="http://schemas.openxmlformats.org/officeDocument/2006/relationships/hyperlink" Target="https://www.realtor.com/realestateandhomes-detail/1442-W-219th-St_Torrance_CA_90501_M18021-92401" TargetMode="External"/><Relationship Id="rId2344" Type="http://schemas.openxmlformats.org/officeDocument/2006/relationships/hyperlink" Target="https://www.realtor.com/realestateandhomes-detail/19000-Dorlon-Dr_Tarzana_CA_91356_M20759-47495" TargetMode="External"/><Relationship Id="rId109" Type="http://schemas.openxmlformats.org/officeDocument/2006/relationships/hyperlink" Target="https://www.realtor.com/realestateandhomes-detail/30951-Via-Errecarte_San-Juan-Capistrano_CA_92675_M22203-48987" TargetMode="External"/><Relationship Id="rId316" Type="http://schemas.openxmlformats.org/officeDocument/2006/relationships/hyperlink" Target="https://www.realtor.com/realestateandhomes-detail/3667-Mentone-Ave-Apt-3_Los-Angeles_CA_90034_M20571-06672" TargetMode="External"/><Relationship Id="rId523" Type="http://schemas.openxmlformats.org/officeDocument/2006/relationships/hyperlink" Target="https://www.realtor.com/realestateandhomes-detail/24008-Schoenborn-St_West-Hills_CA_91304_M15797-83690" TargetMode="External"/><Relationship Id="rId968" Type="http://schemas.openxmlformats.org/officeDocument/2006/relationships/hyperlink" Target="https://www.realtor.com/realestateandhomes-detail/860-Via-De-La-Paz_Pacific-Palisades_CA_90272_M97560-88904" TargetMode="External"/><Relationship Id="rId1153" Type="http://schemas.openxmlformats.org/officeDocument/2006/relationships/hyperlink" Target="https://www.realtor.com/realestateandhomes-detail/1147-Charleston-St_Costa-Mesa_CA_92626_M29185-88356" TargetMode="External"/><Relationship Id="rId1598" Type="http://schemas.openxmlformats.org/officeDocument/2006/relationships/hyperlink" Target="https://www.realtor.com/realestateandhomes-detail/4935-W-20th-St_Los-Angeles_CA_90016_M14970-39971" TargetMode="External"/><Relationship Id="rId2204" Type="http://schemas.openxmlformats.org/officeDocument/2006/relationships/hyperlink" Target="https://www.realtor.com/realestateandhomes-detail/7041-Indiana-Ave_Buena-Park_CA_90621_M24235-33055" TargetMode="External"/><Relationship Id="rId97" Type="http://schemas.openxmlformats.org/officeDocument/2006/relationships/hyperlink" Target="https://www.realtor.com/realestateandhomes-detail/17228-Otsego-St_Encino_CA_91316_M20628-55777" TargetMode="External"/><Relationship Id="rId730" Type="http://schemas.openxmlformats.org/officeDocument/2006/relationships/hyperlink" Target="https://www.realtor.com/realestateandhomes-detail/1938-Phillips-Way_Los-Angeles_CA_90042_M19826-98722" TargetMode="External"/><Relationship Id="rId828" Type="http://schemas.openxmlformats.org/officeDocument/2006/relationships/hyperlink" Target="https://www.realtor.com/realestateandhomes-detail/1811-Effie-St_Los-Angeles_CA_90026_M23890-77986" TargetMode="External"/><Relationship Id="rId1013" Type="http://schemas.openxmlformats.org/officeDocument/2006/relationships/hyperlink" Target="https://www.realtor.com/realestateandhomes-detail/13607-S-Menlo-Ave_Gardena_CA_90247_M13789-53646" TargetMode="External"/><Relationship Id="rId1360" Type="http://schemas.openxmlformats.org/officeDocument/2006/relationships/hyperlink" Target="https://www.realtor.com/realestateandhomes-detail/5460-White-Oak-Ave-Unit-A204_Encino_CA_91316_M20190-31029" TargetMode="External"/><Relationship Id="rId1458" Type="http://schemas.openxmlformats.org/officeDocument/2006/relationships/hyperlink" Target="https://www.realtor.com/realestateandhomes-detail/Silverado-Canyon-Rd_Silverado-Canyon_CA_92676_M94407-22520" TargetMode="External"/><Relationship Id="rId1665" Type="http://schemas.openxmlformats.org/officeDocument/2006/relationships/hyperlink" Target="https://www.realtor.com/realestateandhomes-detail/782-Ranch-Ln_Pacific-Palisades_CA_90272_M27674-58695" TargetMode="External"/><Relationship Id="rId1872" Type="http://schemas.openxmlformats.org/officeDocument/2006/relationships/hyperlink" Target="https://www.realtor.com/realestateandhomes-detail/1877-Rising-Glen-Rd_Los-Angeles_CA_90069_M23248-37490" TargetMode="External"/><Relationship Id="rId2411" Type="http://schemas.openxmlformats.org/officeDocument/2006/relationships/hyperlink" Target="https://www.realtor.com/realestateandhomes-detail/5142-Warner-Ave-Apt-209_Huntington-Beach_CA_92649_M13319-57960" TargetMode="External"/><Relationship Id="rId2509" Type="http://schemas.openxmlformats.org/officeDocument/2006/relationships/hyperlink" Target="https://www.realtor.com/realestateandhomes-detail/19-Sorbonne-St_Westminster_CA_92683_M25373-40491" TargetMode="External"/><Relationship Id="rId1220" Type="http://schemas.openxmlformats.org/officeDocument/2006/relationships/hyperlink" Target="https://www.realtor.com/realestateandhomes-detail/357-Cornwell-St_Los-Angeles_CA_90033_M10345-20986" TargetMode="External"/><Relationship Id="rId1318" Type="http://schemas.openxmlformats.org/officeDocument/2006/relationships/hyperlink" Target="https://www.realtor.com/realestateandhomes-detail/400-N-Acacia-Ave-Unit-D35_Fullerton_CA_92831_M25601-94999" TargetMode="External"/><Relationship Id="rId1525" Type="http://schemas.openxmlformats.org/officeDocument/2006/relationships/hyperlink" Target="https://www.realtor.com/realestateandhomes-detail/802-Avenida-Presidio_San-Clemente_CA_92672_M21446-72007" TargetMode="External"/><Relationship Id="rId1732" Type="http://schemas.openxmlformats.org/officeDocument/2006/relationships/hyperlink" Target="https://www.realtor.com/realestateandhomes-detail/800-N-Formosa-Ave_Los-Angeles_CA_90046_M22351-58271" TargetMode="External"/><Relationship Id="rId24" Type="http://schemas.openxmlformats.org/officeDocument/2006/relationships/hyperlink" Target="https://www.realtor.com/realestateandhomes-detail/718-12-Poinsettia_Corona-Del-Mar_CA_92625_M90799-08309" TargetMode="External"/><Relationship Id="rId2299" Type="http://schemas.openxmlformats.org/officeDocument/2006/relationships/hyperlink" Target="https://www.realtor.com/realestateandhomes-detail/2819-S-Flower-St_Los-Angeles_CA_90007_M93359-65927" TargetMode="External"/><Relationship Id="rId173" Type="http://schemas.openxmlformats.org/officeDocument/2006/relationships/hyperlink" Target="https://www.realtor.com/realestateandhomes-detail/1301-Lasso-Way-Unit-205_Rancho-Mission-Viejo_CA_92694_M92474-62773" TargetMode="External"/><Relationship Id="rId380" Type="http://schemas.openxmlformats.org/officeDocument/2006/relationships/hyperlink" Target="https://www.realtor.com/realestateandhomes-detail/19-Rosana-Way_Coto-De-Caza_CA_92679_M22752-28299" TargetMode="External"/><Relationship Id="rId2061" Type="http://schemas.openxmlformats.org/officeDocument/2006/relationships/hyperlink" Target="https://www.realtor.com/realestateandhomes-detail/4854-Alonzo-Ave_Encino_CA_91316_M21765-28274" TargetMode="External"/><Relationship Id="rId240" Type="http://schemas.openxmlformats.org/officeDocument/2006/relationships/hyperlink" Target="https://www.realtor.com/realestateandhomes-detail/2819-S-Canfield-Ave_Los-Angeles_CA_90034_M16989-06433" TargetMode="External"/><Relationship Id="rId478" Type="http://schemas.openxmlformats.org/officeDocument/2006/relationships/hyperlink" Target="https://www.realtor.com/realestateandhomes-detail/2869-W-Stonybrook-Dr_Anaheim_CA_92804_M13483-50603" TargetMode="External"/><Relationship Id="rId685" Type="http://schemas.openxmlformats.org/officeDocument/2006/relationships/hyperlink" Target="https://www.realtor.com/realestateandhomes-detail/225-W-Adams-Blvd_Los-Angeles_CA_90007_M27601-69092" TargetMode="External"/><Relationship Id="rId892" Type="http://schemas.openxmlformats.org/officeDocument/2006/relationships/hyperlink" Target="https://www.realtor.com/realestateandhomes-detail/1632-Doheny-Way_Dana-Point_CA_92629_M91302-94417" TargetMode="External"/><Relationship Id="rId2159" Type="http://schemas.openxmlformats.org/officeDocument/2006/relationships/hyperlink" Target="https://www.realtor.com/realestateandhomes-detail/9623-Bandera-St_Los-Angeles_CA_90002_M19278-55085" TargetMode="External"/><Relationship Id="rId2366" Type="http://schemas.openxmlformats.org/officeDocument/2006/relationships/hyperlink" Target="https://www.realtor.com/realestateandhomes-detail/9173-Burnet-Ave_North-Hills_CA_91343_M27895-55870" TargetMode="External"/><Relationship Id="rId100" Type="http://schemas.openxmlformats.org/officeDocument/2006/relationships/hyperlink" Target="https://www.realtor.com/realestateandhomes-detail/115-Hollow-Tree_Irvine_CA_92618_M94447-64800" TargetMode="External"/><Relationship Id="rId338" Type="http://schemas.openxmlformats.org/officeDocument/2006/relationships/hyperlink" Target="https://www.realtor.com/realestateandhomes-detail/3122-Ruth-Elaine-Dr_Rossmoor_CA_90720_M12865-00511" TargetMode="External"/><Relationship Id="rId545" Type="http://schemas.openxmlformats.org/officeDocument/2006/relationships/hyperlink" Target="https://www.realtor.com/realestateandhomes-detail/2214-Rutgers-Dr_Costa-Mesa_CA_92627_M23528-32805" TargetMode="External"/><Relationship Id="rId752" Type="http://schemas.openxmlformats.org/officeDocument/2006/relationships/hyperlink" Target="https://www.realtor.com/realestateandhomes-detail/1420-N-Sacramento-St_Orange_CA_92867_M28890-94548" TargetMode="External"/><Relationship Id="rId1175" Type="http://schemas.openxmlformats.org/officeDocument/2006/relationships/hyperlink" Target="https://www.realtor.com/realestateandhomes-detail/1619-242nd-Pl-Unit-F_Harbor-City_CA_90710_M23586-36082" TargetMode="External"/><Relationship Id="rId1382" Type="http://schemas.openxmlformats.org/officeDocument/2006/relationships/hyperlink" Target="https://www.realtor.com/realestateandhomes-detail/6232-Morse-Ave_North-Hollywood_CA_91606_M20768-93665" TargetMode="External"/><Relationship Id="rId2019" Type="http://schemas.openxmlformats.org/officeDocument/2006/relationships/hyperlink" Target="https://www.realtor.com/realestateandhomes-detail/4635-Bellflower-Ave_North-Hollywood_CA_91602_M27250-97468" TargetMode="External"/><Relationship Id="rId2226" Type="http://schemas.openxmlformats.org/officeDocument/2006/relationships/hyperlink" Target="https://www.realtor.com/realestateandhomes-detail/13075-Pacific-Promenade-Apt-115_Playa-Vista_CA_90094_M16505-94760" TargetMode="External"/><Relationship Id="rId2433" Type="http://schemas.openxmlformats.org/officeDocument/2006/relationships/hyperlink" Target="https://www.realtor.com/realestateandhomes-detail/4280-Via-Arbolada-Unit-140_Los-Angeles_CA_90042_M18650-92940" TargetMode="External"/><Relationship Id="rId405" Type="http://schemas.openxmlformats.org/officeDocument/2006/relationships/hyperlink" Target="https://www.realtor.com/realestateandhomes-detail/10445-Wilshire-Blvd-Apt-1806_Los-Angeles_CA_90024_M23119-95814" TargetMode="External"/><Relationship Id="rId612" Type="http://schemas.openxmlformats.org/officeDocument/2006/relationships/hyperlink" Target="https://www.realtor.com/realestateandhomes-detail/1000-N-Norman-Pl_Los-Angeles_CA_90049_M25823-97492" TargetMode="External"/><Relationship Id="rId1035" Type="http://schemas.openxmlformats.org/officeDocument/2006/relationships/hyperlink" Target="https://www.realtor.com/realestateandhomes-detail/909-Rivas-Canyon-Rd_Pacific-Palisades_CA_90272_M27678-68621" TargetMode="External"/><Relationship Id="rId1242" Type="http://schemas.openxmlformats.org/officeDocument/2006/relationships/hyperlink" Target="https://www.realtor.com/realestateandhomes-detail/9820-High-Top-Dr_Tujunga_CA_91042_M91031-21271" TargetMode="External"/><Relationship Id="rId1687" Type="http://schemas.openxmlformats.org/officeDocument/2006/relationships/hyperlink" Target="https://www.realtor.com/realestateandhomes-detail/1268-Queen-Anne-Pl_Los-Angeles_CA_90019_M19936-45921" TargetMode="External"/><Relationship Id="rId1894" Type="http://schemas.openxmlformats.org/officeDocument/2006/relationships/hyperlink" Target="https://www.realtor.com/realestateandhomes-detail/11432-Aqua-Vista-St_Studio-City_CA_91604_M11841-02108" TargetMode="External"/><Relationship Id="rId2500" Type="http://schemas.openxmlformats.org/officeDocument/2006/relationships/hyperlink" Target="https://www.realtor.com/realestateandhomes-detail/1449-1447-W-83rd_Los-Angeles_CA_90047_M93945-32954" TargetMode="External"/><Relationship Id="rId917" Type="http://schemas.openxmlformats.org/officeDocument/2006/relationships/hyperlink" Target="https://www.realtor.com/realestateandhomes-detail/27871-Country-Lane-Rd_Laguna-Niguel_CA_92677_M10436-76852" TargetMode="External"/><Relationship Id="rId1102" Type="http://schemas.openxmlformats.org/officeDocument/2006/relationships/hyperlink" Target="https://www.realtor.com/realestateandhomes-detail/244-S-La-Fayette-Park-Pl-Apt-301_Los-Angeles_CA_90057_M29723-98634" TargetMode="External"/><Relationship Id="rId1547" Type="http://schemas.openxmlformats.org/officeDocument/2006/relationships/hyperlink" Target="https://www.realtor.com/realestateandhomes-detail/1112-W-64th-St_Los-Angeles_CA_90044_M29509-65643" TargetMode="External"/><Relationship Id="rId1754" Type="http://schemas.openxmlformats.org/officeDocument/2006/relationships/hyperlink" Target="https://www.realtor.com/realestateandhomes-detail/16788-Charmel-Ln_Pacific-Palisades_CA_90272_M10225-44097" TargetMode="External"/><Relationship Id="rId1961" Type="http://schemas.openxmlformats.org/officeDocument/2006/relationships/hyperlink" Target="https://www.realtor.com/realestateandhomes-detail/3699-Alta-Mesa-Dr_Studio-City_CA_91604_M29912-90815" TargetMode="External"/><Relationship Id="rId46" Type="http://schemas.openxmlformats.org/officeDocument/2006/relationships/hyperlink" Target="https://www.realtor.com/realestateandhomes-detail/2220-Avenue-of-the-Stars-Unit-1802_Los-Angeles_CA_90067_M17571-05930" TargetMode="External"/><Relationship Id="rId1407" Type="http://schemas.openxmlformats.org/officeDocument/2006/relationships/hyperlink" Target="https://www.realtor.com/realestateandhomes-detail/15057-Paddock-St_Sylmar_CA_91342_M15700-05464" TargetMode="External"/><Relationship Id="rId1614" Type="http://schemas.openxmlformats.org/officeDocument/2006/relationships/hyperlink" Target="https://www.realtor.com/realestateandhomes-detail/1520-S-Beverly-Glen-Blvd-Apt-507_Los-Angeles_CA_90024_M25753-64134" TargetMode="External"/><Relationship Id="rId1821" Type="http://schemas.openxmlformats.org/officeDocument/2006/relationships/hyperlink" Target="https://www.realtor.com/realestateandhomes-detail/423-Sycamore-Rd_Santa-Monica_CA_90402_M27979-79502" TargetMode="External"/><Relationship Id="rId195" Type="http://schemas.openxmlformats.org/officeDocument/2006/relationships/hyperlink" Target="https://www.realtor.com/realestateandhomes-detail/16444-Bolsa-Chica-St-Spc-51_Huntington-Beach_CA_92649_M10158-00062" TargetMode="External"/><Relationship Id="rId1919" Type="http://schemas.openxmlformats.org/officeDocument/2006/relationships/hyperlink" Target="https://www.realtor.com/realestateandhomes-detail/18330-Hanan-Ct_Tarzana_CA_91356_M14539-78915" TargetMode="External"/><Relationship Id="rId2083" Type="http://schemas.openxmlformats.org/officeDocument/2006/relationships/hyperlink" Target="https://www.realtor.com/realestateandhomes-detail/1030-N-Kenter-Ave_Los-Angeles_CA_90049_M18456-74236" TargetMode="External"/><Relationship Id="rId2290" Type="http://schemas.openxmlformats.org/officeDocument/2006/relationships/hyperlink" Target="https://www.realtor.com/realestateandhomes-detail/2111-S-Bronson-Ave_Los-Angeles_CA_90018_M13915-40088" TargetMode="External"/><Relationship Id="rId2388" Type="http://schemas.openxmlformats.org/officeDocument/2006/relationships/hyperlink" Target="https://www.realtor.com/realestateandhomes-detail/16781-Scotsdale-Cir_Huntington-Beach_CA_92647_M26990-66061" TargetMode="External"/><Relationship Id="rId262" Type="http://schemas.openxmlformats.org/officeDocument/2006/relationships/hyperlink" Target="https://www.realtor.com/realestateandhomes-detail/11231-Otsego-St_North-Hollywood_CA_91601_M26288-40333" TargetMode="External"/><Relationship Id="rId567" Type="http://schemas.openxmlformats.org/officeDocument/2006/relationships/hyperlink" Target="https://www.realtor.com/realestateandhomes-detail/9-Leesbury-Ct_Newport-Beach_CA_92660_M12712-82708" TargetMode="External"/><Relationship Id="rId1197" Type="http://schemas.openxmlformats.org/officeDocument/2006/relationships/hyperlink" Target="https://www.realtor.com/realestateandhomes-detail/13691-Gavina-Ave-Unit-609_Sylmar_CA_91342_M98120-74447" TargetMode="External"/><Relationship Id="rId2150" Type="http://schemas.openxmlformats.org/officeDocument/2006/relationships/hyperlink" Target="https://www.realtor.com/realestateandhomes-detail/13101-Oak-Hills-Dr-Apt-234F_Seal-Beach_CA_90740_M15355-35566" TargetMode="External"/><Relationship Id="rId2248" Type="http://schemas.openxmlformats.org/officeDocument/2006/relationships/hyperlink" Target="https://www.realtor.com/realestateandhomes-detail/4499-Via-Marisol-Apt-244_Los-Angeles_CA_90042_M29819-16122" TargetMode="External"/><Relationship Id="rId122" Type="http://schemas.openxmlformats.org/officeDocument/2006/relationships/hyperlink" Target="https://www.realtor.com/realestateandhomes-detail/2303-Hillhurst-Ave_Los-Angeles_CA_90027_M14675-05749" TargetMode="External"/><Relationship Id="rId774" Type="http://schemas.openxmlformats.org/officeDocument/2006/relationships/hyperlink" Target="https://www.realtor.com/realestateandhomes-detail/506-W-Oceanfront_Newport-Beach_CA_92661_M15520-31723" TargetMode="External"/><Relationship Id="rId981" Type="http://schemas.openxmlformats.org/officeDocument/2006/relationships/hyperlink" Target="https://www.realtor.com/realestateandhomes-detail/3860-Kingswood-Rd_Sherman-Oaks_CA_91403_M28536-76342" TargetMode="External"/><Relationship Id="rId1057" Type="http://schemas.openxmlformats.org/officeDocument/2006/relationships/hyperlink" Target="https://www.realtor.com/realestateandhomes-detail/1133-Somera-Rd_Los-Angeles_CA_90077_M18797-09413" TargetMode="External"/><Relationship Id="rId2010" Type="http://schemas.openxmlformats.org/officeDocument/2006/relationships/hyperlink" Target="https://www.realtor.com/realestateandhomes-detail/16918-Marquez-Ave_Pacific-Palisades_CA_90272_M29094-04670" TargetMode="External"/><Relationship Id="rId2455" Type="http://schemas.openxmlformats.org/officeDocument/2006/relationships/hyperlink" Target="https://www.realtor.com/realestateandhomes-detail/11662-Pickett-Ln_Garden-Grove_CA_92840_M15351-01613" TargetMode="External"/><Relationship Id="rId427" Type="http://schemas.openxmlformats.org/officeDocument/2006/relationships/hyperlink" Target="https://www.realtor.com/realestateandhomes-detail/224-Quadro-Vecchio-Dr_Pacific-Palisades_CA_90272_M29923-58658" TargetMode="External"/><Relationship Id="rId634" Type="http://schemas.openxmlformats.org/officeDocument/2006/relationships/hyperlink" Target="https://www.realtor.com/realestateandhomes-detail/714-N-LA-Jolla-Ave_Los-Angeles_CA_90046_M24165-31613" TargetMode="External"/><Relationship Id="rId841" Type="http://schemas.openxmlformats.org/officeDocument/2006/relationships/hyperlink" Target="https://www.realtor.com/realestateandhomes-detail/7826-Topanga-Canyon-Blvd-Apt-308_Canoga-Park_CA_91304_M93121-30894" TargetMode="External"/><Relationship Id="rId1264" Type="http://schemas.openxmlformats.org/officeDocument/2006/relationships/hyperlink" Target="https://www.realtor.com/realestateandhomes-detail/824-S-Dune-St_Anaheim_CA_92806_M99305-81753" TargetMode="External"/><Relationship Id="rId1471" Type="http://schemas.openxmlformats.org/officeDocument/2006/relationships/hyperlink" Target="https://www.realtor.com/realestateandhomes-detail/3611-Daffodil-Ave-38_Corona-del-Mar_CA_92625_M15940-76878" TargetMode="External"/><Relationship Id="rId1569" Type="http://schemas.openxmlformats.org/officeDocument/2006/relationships/hyperlink" Target="https://www.realtor.com/realestateandhomes-detail/23405-Via-San-Pablo_Aliso-Viejo_CA_92656_M24834-20647" TargetMode="External"/><Relationship Id="rId2108" Type="http://schemas.openxmlformats.org/officeDocument/2006/relationships/hyperlink" Target="https://www.realtor.com/realestateandhomes-detail/801-E-108th-St-Apt-A_Los-Angeles_CA_90059_M20380-50477" TargetMode="External"/><Relationship Id="rId2315" Type="http://schemas.openxmlformats.org/officeDocument/2006/relationships/hyperlink" Target="https://www.realtor.com/realestateandhomes-detail/5128-Avenida-Hacienda_Tarzana_CA_91356_M14966-11153" TargetMode="External"/><Relationship Id="rId2522" Type="http://schemas.openxmlformats.org/officeDocument/2006/relationships/hyperlink" Target="https://www.realtor.com/realestateandhomes-detail/7-Waltham-Rd_Ladera-Ranch_CA_92694_M27558-29305" TargetMode="External"/><Relationship Id="rId701" Type="http://schemas.openxmlformats.org/officeDocument/2006/relationships/hyperlink" Target="https://www.realtor.com/realestateandhomes-detail/11222-Bellagio-Rd_Los-Angeles_CA_90049_M17124-22598" TargetMode="External"/><Relationship Id="rId939" Type="http://schemas.openxmlformats.org/officeDocument/2006/relationships/hyperlink" Target="https://www.realtor.com/realestateandhomes-detail/325-Museum-Dr_Los-Angeles_CA_90065_M12374-74458" TargetMode="External"/><Relationship Id="rId1124" Type="http://schemas.openxmlformats.org/officeDocument/2006/relationships/hyperlink" Target="https://www.realtor.com/realestateandhomes-detail/1778-Viewmont-Dr_Los-Angeles_CA_90069_M16553-14389" TargetMode="External"/><Relationship Id="rId1331" Type="http://schemas.openxmlformats.org/officeDocument/2006/relationships/hyperlink" Target="https://www.realtor.com/realestateandhomes-detail/9-Macarthur-Pl-Unit-403_Santa-Ana_CA_92707_M96306-31140" TargetMode="External"/><Relationship Id="rId1776" Type="http://schemas.openxmlformats.org/officeDocument/2006/relationships/hyperlink" Target="https://www.realtor.com/realestateandhomes-detail/3450-Vinton-Ave_Los-Angeles_CA_90034_M20654-91509" TargetMode="External"/><Relationship Id="rId1983" Type="http://schemas.openxmlformats.org/officeDocument/2006/relationships/hyperlink" Target="https://www.realtor.com/realestateandhomes-detail/10747-Valleyheart-Dr_Studio-City_CA_91604_M28915-03533" TargetMode="External"/><Relationship Id="rId68" Type="http://schemas.openxmlformats.org/officeDocument/2006/relationships/hyperlink" Target="https://www.realtor.com/realestateandhomes-detail/7081-Fulton-Way_Stanton_CA_90680_M20432-85899" TargetMode="External"/><Relationship Id="rId1429" Type="http://schemas.openxmlformats.org/officeDocument/2006/relationships/hyperlink" Target="https://www.realtor.com/realestateandhomes-detail/132-N-Normandie-Ave_Los-Angeles_CA_90004_M95311-89383" TargetMode="External"/><Relationship Id="rId1636" Type="http://schemas.openxmlformats.org/officeDocument/2006/relationships/hyperlink" Target="https://www.realtor.com/realestateandhomes-detail/10411-Hickory-St_Los-Angeles_CA_90002_M12976-21597" TargetMode="External"/><Relationship Id="rId1843" Type="http://schemas.openxmlformats.org/officeDocument/2006/relationships/hyperlink" Target="https://www.realtor.com/realestateandhomes-detail/6356-W-5th-St_Los-Angeles_CA_90048_M18858-64592" TargetMode="External"/><Relationship Id="rId1703" Type="http://schemas.openxmlformats.org/officeDocument/2006/relationships/hyperlink" Target="https://www.realtor.com/realestateandhomes-detail/850-Rome-Dr_Los-Angeles_CA_90065_M11734-88834" TargetMode="External"/><Relationship Id="rId1910" Type="http://schemas.openxmlformats.org/officeDocument/2006/relationships/hyperlink" Target="https://www.realtor.com/realestateandhomes-detail/3254-Oakdell-Rd_Studio-City_CA_91604_M13699-47363" TargetMode="External"/><Relationship Id="rId284" Type="http://schemas.openxmlformats.org/officeDocument/2006/relationships/hyperlink" Target="https://www.realtor.com/realestateandhomes-detail/1-Promesa-Ave_Rancho-Mission-Viejo_CA_92694_M96691-05599" TargetMode="External"/><Relationship Id="rId491" Type="http://schemas.openxmlformats.org/officeDocument/2006/relationships/hyperlink" Target="https://www.realtor.com/realestateandhomes-detail/607-Murfield-Ct_Fullerton_CA_92835_M10860-15763" TargetMode="External"/><Relationship Id="rId2172" Type="http://schemas.openxmlformats.org/officeDocument/2006/relationships/hyperlink" Target="https://www.realtor.com/realestateandhomes-detail/5142-Warner-Ave-Apt-209_Huntington-Beach_CA_92649_M13319-57960" TargetMode="External"/><Relationship Id="rId144" Type="http://schemas.openxmlformats.org/officeDocument/2006/relationships/hyperlink" Target="https://www.realtor.com/realestateandhomes-detail/8032-Willow-Glen-Rd_Los-Angeles_CA_90046_M10851-19912" TargetMode="External"/><Relationship Id="rId589" Type="http://schemas.openxmlformats.org/officeDocument/2006/relationships/hyperlink" Target="https://www.realtor.com/realestateandhomes-detail/7080-Mulholland-Dr_Los-Angeles_CA_90068_M26576-42350" TargetMode="External"/><Relationship Id="rId796" Type="http://schemas.openxmlformats.org/officeDocument/2006/relationships/hyperlink" Target="https://www.realtor.com/realestateandhomes-detail/4561-Warner-Ave-Apt-203_Huntington-Beach_CA_92649_M17822-27822" TargetMode="External"/><Relationship Id="rId2477" Type="http://schemas.openxmlformats.org/officeDocument/2006/relationships/hyperlink" Target="https://www.realtor.com/realestateandhomes-detail/608-W-52nd_Los-Angeles_CA_90037_M99731-45551" TargetMode="External"/><Relationship Id="rId351" Type="http://schemas.openxmlformats.org/officeDocument/2006/relationships/hyperlink" Target="https://www.realtor.com/realestateandhomes-detail/14273-Greenleaf-St_Sherman-Oaks_CA_91423_M24362-60520" TargetMode="External"/><Relationship Id="rId449" Type="http://schemas.openxmlformats.org/officeDocument/2006/relationships/hyperlink" Target="https://www.realtor.com/realestateandhomes-detail/1225-Rimmer-Ave_Pacific-Palisades_CA_90272_M10470-27822" TargetMode="External"/><Relationship Id="rId656" Type="http://schemas.openxmlformats.org/officeDocument/2006/relationships/hyperlink" Target="https://www.realtor.com/realestateandhomes-detail/Schick-Ave_Los-Angeles-City_CA_90063_M24228-51077" TargetMode="External"/><Relationship Id="rId863" Type="http://schemas.openxmlformats.org/officeDocument/2006/relationships/hyperlink" Target="https://www.realtor.com/realestateandhomes-detail/9001-Cerise-Ln-Apt-109_Cypress_CA_90630_M95976-35069" TargetMode="External"/><Relationship Id="rId1079" Type="http://schemas.openxmlformats.org/officeDocument/2006/relationships/hyperlink" Target="https://www.realtor.com/realestateandhomes-detail/4099-Mandeville-Canyon-Rd_Los-Angeles_CA_90049_M25039-15874" TargetMode="External"/><Relationship Id="rId1286" Type="http://schemas.openxmlformats.org/officeDocument/2006/relationships/hyperlink" Target="https://www.realtor.com/realestateandhomes-detail/2112-Tidewater-Cir_Costa-Mesa_CA_92627_M20371-45270" TargetMode="External"/><Relationship Id="rId1493" Type="http://schemas.openxmlformats.org/officeDocument/2006/relationships/hyperlink" Target="https://www.realtor.com/realestateandhomes-detail/898-Ronda-Sevilla-Unit-N_Laguna-Woods_CA_92637_M22113-56551" TargetMode="External"/><Relationship Id="rId2032" Type="http://schemas.openxmlformats.org/officeDocument/2006/relationships/hyperlink" Target="https://www.realtor.com/realestateandhomes-detail/1858-Blue-Heights-Dr_Los-Angeles_CA_90069_M96548-95945" TargetMode="External"/><Relationship Id="rId2337" Type="http://schemas.openxmlformats.org/officeDocument/2006/relationships/hyperlink" Target="https://www.realtor.com/realestateandhomes-detail/5851-Troost-Ave_North-Hollywood_CA_91601_M22975-45311" TargetMode="External"/><Relationship Id="rId2544" Type="http://schemas.openxmlformats.org/officeDocument/2006/relationships/hyperlink" Target="https://www.realtor.com/realestateandhomes-detail/8222-Prestwick-Cir_Huntington-Beach_CA_92646_M21563-02130" TargetMode="External"/><Relationship Id="rId211" Type="http://schemas.openxmlformats.org/officeDocument/2006/relationships/hyperlink" Target="https://www.realtor.com/realestateandhomes-detail/2201-N-Hobart-Blvd_Los-Angeles_CA_90027_M14790-20925" TargetMode="External"/><Relationship Id="rId309" Type="http://schemas.openxmlformats.org/officeDocument/2006/relationships/hyperlink" Target="https://www.realtor.com/realestateandhomes-detail/3643-Ballina-Canyon-Rd_Encino_CA_91436_M11596-29756" TargetMode="External"/><Relationship Id="rId516" Type="http://schemas.openxmlformats.org/officeDocument/2006/relationships/hyperlink" Target="https://www.realtor.com/realestateandhomes-detail/4195-Alonzo-Ave_Encino_CA_91316_M22029-12561" TargetMode="External"/><Relationship Id="rId1146" Type="http://schemas.openxmlformats.org/officeDocument/2006/relationships/hyperlink" Target="https://www.realtor.com/realestateandhomes-detail/1234-Wilshire-Blvd-Apt-421_Los-Angeles_CA_90017_M13008-21027" TargetMode="External"/><Relationship Id="rId1798" Type="http://schemas.openxmlformats.org/officeDocument/2006/relationships/hyperlink" Target="https://www.realtor.com/realestateandhomes-detail/5012-Enfield-Ave_Encino_CA_91316_M21271-88166" TargetMode="External"/><Relationship Id="rId723" Type="http://schemas.openxmlformats.org/officeDocument/2006/relationships/hyperlink" Target="https://www.realtor.com/realestateandhomes-detail/1038-W-21st-St_Los-Angeles_CA_90007_M27355-36304" TargetMode="External"/><Relationship Id="rId930" Type="http://schemas.openxmlformats.org/officeDocument/2006/relationships/hyperlink" Target="https://www.realtor.com/realestateandhomes-detail/1978-Bonsallo-Ave_Los-Angeles_CA_90007_M27899-81846" TargetMode="External"/><Relationship Id="rId1006" Type="http://schemas.openxmlformats.org/officeDocument/2006/relationships/hyperlink" Target="https://www.realtor.com/realestateandhomes-detail/11350-Foothill-Blvd-Unit-15_Sylmar_CA_91342_M22532-87892" TargetMode="External"/><Relationship Id="rId1353" Type="http://schemas.openxmlformats.org/officeDocument/2006/relationships/hyperlink" Target="https://www.realtor.com/realestateandhomes-detail/12040-Maxwellton-Rd_Studio-City_CA_91604_M11918-16158" TargetMode="External"/><Relationship Id="rId1560" Type="http://schemas.openxmlformats.org/officeDocument/2006/relationships/hyperlink" Target="https://www.realtor.com/realestateandhomes-detail/22-Songbird-Ln_Aliso-Viejo_CA_92656_M25201-27600" TargetMode="External"/><Relationship Id="rId1658" Type="http://schemas.openxmlformats.org/officeDocument/2006/relationships/hyperlink" Target="https://www.realtor.com/realestateandhomes-detail/132-N-Swall-Dr-Unit-202_Los-Angeles_CA_90048_M93167-72148" TargetMode="External"/><Relationship Id="rId1865" Type="http://schemas.openxmlformats.org/officeDocument/2006/relationships/hyperlink" Target="https://www.realtor.com/realestateandhomes-detail/838-N-Ridgewood-Pl_Los-Angeles_CA_90038_M25058-20810" TargetMode="External"/><Relationship Id="rId2404" Type="http://schemas.openxmlformats.org/officeDocument/2006/relationships/hyperlink" Target="https://www.realtor.com/realestateandhomes-detail/212-S-Kraemer-Blvd-Unit-709_Placentia_CA_92870_M21150-75848" TargetMode="External"/><Relationship Id="rId1213" Type="http://schemas.openxmlformats.org/officeDocument/2006/relationships/hyperlink" Target="https://www.realtor.com/realestateandhomes-detail/3814-Portola-Ave_Los-Angeles_CA_90032_M20142-19778" TargetMode="External"/><Relationship Id="rId1420" Type="http://schemas.openxmlformats.org/officeDocument/2006/relationships/hyperlink" Target="https://www.realtor.com/realestateandhomes-detail/12753-Halkirk-St_Studio-City_CA_91604_M14191-38407" TargetMode="External"/><Relationship Id="rId1518" Type="http://schemas.openxmlformats.org/officeDocument/2006/relationships/hyperlink" Target="https://www.realtor.com/realestateandhomes-detail/31655-Williams-Way_Rancho-Mission-Viejo_CA_92694_M93609-09241" TargetMode="External"/><Relationship Id="rId1725" Type="http://schemas.openxmlformats.org/officeDocument/2006/relationships/hyperlink" Target="https://www.realtor.com/realestateandhomes-detail/18073-Sandy-Cape-Dr_Pacific-Palisades_CA_90272_M12886-22927" TargetMode="External"/><Relationship Id="rId1932" Type="http://schemas.openxmlformats.org/officeDocument/2006/relationships/hyperlink" Target="https://www.realtor.com/realestateandhomes-detail/21435-Iglesia-Dr_Woodland-Hills_CA_91364_M99241-12486" TargetMode="External"/><Relationship Id="rId17" Type="http://schemas.openxmlformats.org/officeDocument/2006/relationships/hyperlink" Target="https://www.realtor.com/realestateandhomes-detail/705-Broadway-St_Venice_CA_90291_M18053-49337" TargetMode="External"/><Relationship Id="rId2194" Type="http://schemas.openxmlformats.org/officeDocument/2006/relationships/hyperlink" Target="https://www.realtor.com/realestateandhomes-detail/6651-Beck-Ave_North-Hollywood_CA_91606_M16893-27863" TargetMode="External"/><Relationship Id="rId166" Type="http://schemas.openxmlformats.org/officeDocument/2006/relationships/hyperlink" Target="https://www.realtor.com/realestateandhomes-detail/1563-E-108th-St_Los-Angeles_CA_90059_M23873-06891" TargetMode="External"/><Relationship Id="rId373" Type="http://schemas.openxmlformats.org/officeDocument/2006/relationships/hyperlink" Target="https://www.realtor.com/realestateandhomes-detail/2123-Ronda-Granada-Unit-G_Laguna-Woods_CA_92637_M17328-67843" TargetMode="External"/><Relationship Id="rId580" Type="http://schemas.openxmlformats.org/officeDocument/2006/relationships/hyperlink" Target="https://www.realtor.com/realestateandhomes-detail/1850-E-Industrial-St-Apt-211_Los-Angeles_CA_90021_M14720-92974" TargetMode="External"/><Relationship Id="rId2054" Type="http://schemas.openxmlformats.org/officeDocument/2006/relationships/hyperlink" Target="https://www.realtor.com/realestateandhomes-detail/2041-N-Vermont-Ave-Apt-103_Los-Angeles_CA_90027_M13298-21020" TargetMode="External"/><Relationship Id="rId2261" Type="http://schemas.openxmlformats.org/officeDocument/2006/relationships/hyperlink" Target="https://www.realtor.com/realestateandhomes-detail/530-S-Hewitt-St-Unit-146_Los-Angeles_CA_90013_M10197-89656" TargetMode="External"/><Relationship Id="rId2499" Type="http://schemas.openxmlformats.org/officeDocument/2006/relationships/hyperlink" Target="https://www.realtor.com/realestateandhomes-detail/18440-Tamarind-St_Fountain-Valley_CA_92708_M25138-68848" TargetMode="External"/><Relationship Id="rId1" Type="http://schemas.openxmlformats.org/officeDocument/2006/relationships/hyperlink" Target="https://www.realtor.com/realestateandhomes-detail/111-S-LA-Senda-Dr_Laguna-Beach_CA_92651_M20880-27775" TargetMode="External"/><Relationship Id="rId233" Type="http://schemas.openxmlformats.org/officeDocument/2006/relationships/hyperlink" Target="https://www.realtor.com/realestateandhomes-detail/724-N-Croft-Ave-Apt-307_Los-Angeles_CA_90069_M99292-46505" TargetMode="External"/><Relationship Id="rId440" Type="http://schemas.openxmlformats.org/officeDocument/2006/relationships/hyperlink" Target="https://www.realtor.com/realestateandhomes-detail/1000-Stradella-Rd_Los-Angeles_CA_90077_M23153-40058" TargetMode="External"/><Relationship Id="rId678" Type="http://schemas.openxmlformats.org/officeDocument/2006/relationships/hyperlink" Target="https://www.realtor.com/realestateandhomes-detail/4343-Forman-Ave_Toluca-Lake_CA_91602_M20948-81743" TargetMode="External"/><Relationship Id="rId885" Type="http://schemas.openxmlformats.org/officeDocument/2006/relationships/hyperlink" Target="https://www.realtor.com/realestateandhomes-detail/5001-Siesta-Ln_Yorba-Linda_CA_92886_M94552-69191" TargetMode="External"/><Relationship Id="rId1070" Type="http://schemas.openxmlformats.org/officeDocument/2006/relationships/hyperlink" Target="https://www.realtor.com/realestateandhomes-detail/2510-3rd-Ave_Los-Angeles_CA_90018_M14122-97218" TargetMode="External"/><Relationship Id="rId2121" Type="http://schemas.openxmlformats.org/officeDocument/2006/relationships/hyperlink" Target="https://www.realtor.com/realestateandhomes-detail/12062-W-Edinger-Ave-Spc-19_Santa-Ana_CA_92704_M24021-04496" TargetMode="External"/><Relationship Id="rId2359" Type="http://schemas.openxmlformats.org/officeDocument/2006/relationships/hyperlink" Target="https://www.realtor.com/realestateandhomes-detail/13513-Polk-St_Sylmar_CA_91342_M13116-77950" TargetMode="External"/><Relationship Id="rId300" Type="http://schemas.openxmlformats.org/officeDocument/2006/relationships/hyperlink" Target="https://www.realtor.com/realestateandhomes-detail/2011-S-Shenandoah-St_Los-Angeles_CA_90034_M11800-40028" TargetMode="External"/><Relationship Id="rId538" Type="http://schemas.openxmlformats.org/officeDocument/2006/relationships/hyperlink" Target="https://www.realtor.com/realestateandhomes-detail/28291-Williams-Canyon-Rd_Silverado_CA_92676_M92754-57936" TargetMode="External"/><Relationship Id="rId745" Type="http://schemas.openxmlformats.org/officeDocument/2006/relationships/hyperlink" Target="https://www.realtor.com/realestateandhomes-detail/12837-N-Watt-Ln-Unit-A_Sylmar_CA_91342_M96467-52724" TargetMode="External"/><Relationship Id="rId952" Type="http://schemas.openxmlformats.org/officeDocument/2006/relationships/hyperlink" Target="https://www.realtor.com/realestateandhomes-detail/15328-DE-Pauw-St_Pacific-Palisades_CA_90272_M28401-64549" TargetMode="External"/><Relationship Id="rId1168" Type="http://schemas.openxmlformats.org/officeDocument/2006/relationships/hyperlink" Target="https://www.realtor.com/realestateandhomes-detail/10443-Corfu-Ln_Los-Angeles_CA_90077_M18021-96253" TargetMode="External"/><Relationship Id="rId1375" Type="http://schemas.openxmlformats.org/officeDocument/2006/relationships/hyperlink" Target="https://www.realtor.com/realestateandhomes-detail/7826-Winnetka-Ave_Winnetka_CA_91306_M11786-69504" TargetMode="External"/><Relationship Id="rId1582" Type="http://schemas.openxmlformats.org/officeDocument/2006/relationships/hyperlink" Target="https://www.realtor.com/realestateandhomes-detail/14-Ritz-Cove-Dr_Dana-Point_CA_92629_M25856-67021" TargetMode="External"/><Relationship Id="rId2219" Type="http://schemas.openxmlformats.org/officeDocument/2006/relationships/hyperlink" Target="https://www.realtor.com/realestateandhomes-detail/Apn-4371-042-004_Los-Angeles_CA_90077_M99261-84555" TargetMode="External"/><Relationship Id="rId2426" Type="http://schemas.openxmlformats.org/officeDocument/2006/relationships/hyperlink" Target="https://www.realtor.com/realestateandhomes-detail/12747-Pacific-Ave-Apt-4_Los-Angeles_CA_90066_M28564-99872" TargetMode="External"/><Relationship Id="rId81" Type="http://schemas.openxmlformats.org/officeDocument/2006/relationships/hyperlink" Target="https://www.realtor.com/realestateandhomes-detail/16630-Oldham-Pl_Encino_CA_91436_M94759-38992" TargetMode="External"/><Relationship Id="rId605" Type="http://schemas.openxmlformats.org/officeDocument/2006/relationships/hyperlink" Target="https://www.realtor.com/realestateandhomes-detail/1912-W-Liberty-Ct_Los-Angeles_CA_90026_M15386-22493" TargetMode="External"/><Relationship Id="rId812" Type="http://schemas.openxmlformats.org/officeDocument/2006/relationships/hyperlink" Target="https://www.realtor.com/realestateandhomes-detail/2119-S-Union-Ave_Los-Angeles_CA_90007_M27195-86480" TargetMode="External"/><Relationship Id="rId1028" Type="http://schemas.openxmlformats.org/officeDocument/2006/relationships/hyperlink" Target="https://www.realtor.com/realestateandhomes-detail/1274-W-Court-St_Los-Angeles_CA_90026_M10673-52281" TargetMode="External"/><Relationship Id="rId1235" Type="http://schemas.openxmlformats.org/officeDocument/2006/relationships/hyperlink" Target="https://www.realtor.com/realestateandhomes-detail/14642-Birch-St_Westminster_CA_92683_M13784-02450" TargetMode="External"/><Relationship Id="rId1442" Type="http://schemas.openxmlformats.org/officeDocument/2006/relationships/hyperlink" Target="https://www.realtor.com/realestateandhomes-detail/6360-Maryland-Dr_Los-Angeles_CA_90048_M19095-65731" TargetMode="External"/><Relationship Id="rId1887" Type="http://schemas.openxmlformats.org/officeDocument/2006/relationships/hyperlink" Target="https://www.realtor.com/realestateandhomes-detail/15147-Otsego-St_Sherman-Oaks_CA_91403_M22243-66372" TargetMode="External"/><Relationship Id="rId1302" Type="http://schemas.openxmlformats.org/officeDocument/2006/relationships/hyperlink" Target="https://www.realtor.com/realestateandhomes-detail/14851-Jeffrey-Rd-Spc-199_Irvine_CA_92618_M18193-16758" TargetMode="External"/><Relationship Id="rId1747" Type="http://schemas.openxmlformats.org/officeDocument/2006/relationships/hyperlink" Target="https://www.realtor.com/realestateandhomes-detail/547-Loring-Ave_Los-Angeles_CA_90024_M14946-03164" TargetMode="External"/><Relationship Id="rId1954" Type="http://schemas.openxmlformats.org/officeDocument/2006/relationships/hyperlink" Target="https://www.realtor.com/realestateandhomes-detail/147-N-Chicago-St_Los-Angeles_CA_90033_M12484-27496" TargetMode="External"/><Relationship Id="rId39" Type="http://schemas.openxmlformats.org/officeDocument/2006/relationships/hyperlink" Target="https://www.realtor.com/realestateandhomes-detail/133-S-Mapleton-Dr_Los-Angeles_CA_90024_M13515-76476" TargetMode="External"/><Relationship Id="rId1607" Type="http://schemas.openxmlformats.org/officeDocument/2006/relationships/hyperlink" Target="https://www.realtor.com/realestateandhomes-detail/3700-Lowry-Rd_Los-Angeles_CA_90027_M15349-57104" TargetMode="External"/><Relationship Id="rId1814" Type="http://schemas.openxmlformats.org/officeDocument/2006/relationships/hyperlink" Target="https://www.realtor.com/realestateandhomes-detail/8325-Delgany-Ave_Playa-Del-Rey_CA_90293_M17909-12896" TargetMode="External"/><Relationship Id="rId188" Type="http://schemas.openxmlformats.org/officeDocument/2006/relationships/hyperlink" Target="https://www.realtor.com/realestateandhomes-detail/12650-S-Western-Ave_Los-Angeles_CA_90047_M91060-07290" TargetMode="External"/><Relationship Id="rId395" Type="http://schemas.openxmlformats.org/officeDocument/2006/relationships/hyperlink" Target="https://www.realtor.com/realestateandhomes-detail/332-Culver-Blvd_Playa-del-Rey_CA_90293_M17690-63681" TargetMode="External"/><Relationship Id="rId2076" Type="http://schemas.openxmlformats.org/officeDocument/2006/relationships/hyperlink" Target="https://www.realtor.com/realestateandhomes-detail/1261-Exposition-Blvd_Los-Angeles_CA_90007_M28046-01467" TargetMode="External"/><Relationship Id="rId2283" Type="http://schemas.openxmlformats.org/officeDocument/2006/relationships/hyperlink" Target="https://www.realtor.com/realestateandhomes-detail/27576-Hillstone_San-Pedro_CA_90732_M90498-33749" TargetMode="External"/><Relationship Id="rId2490" Type="http://schemas.openxmlformats.org/officeDocument/2006/relationships/hyperlink" Target="https://www.realtor.com/realestateandhomes-detail/33856-Pequito-Dr_Dana-Point_CA_92629_M14885-62289" TargetMode="External"/><Relationship Id="rId255" Type="http://schemas.openxmlformats.org/officeDocument/2006/relationships/hyperlink" Target="https://www.realtor.com/realestateandhomes-detail/1000-W-Macarthur-Blvd-Apt-11_Santa-Ana_CA_92707_M24577-89627" TargetMode="External"/><Relationship Id="rId462" Type="http://schemas.openxmlformats.org/officeDocument/2006/relationships/hyperlink" Target="https://www.realtor.com/realestateandhomes-detail/2026-Louella-Ave_Venice_CA_90291_M18902-41154" TargetMode="External"/><Relationship Id="rId1092" Type="http://schemas.openxmlformats.org/officeDocument/2006/relationships/hyperlink" Target="https://www.realtor.com/realestateandhomes-detail/16857-Colven-Rd_Granada-Hills_CA_91344_M16745-73698" TargetMode="External"/><Relationship Id="rId1397" Type="http://schemas.openxmlformats.org/officeDocument/2006/relationships/hyperlink" Target="https://www.realtor.com/realestateandhomes-detail/16101-Royal-Mount-Dr_Encino_CA_91436_M29856-35045" TargetMode="External"/><Relationship Id="rId2143" Type="http://schemas.openxmlformats.org/officeDocument/2006/relationships/hyperlink" Target="https://www.realtor.com/realestateandhomes-detail/212-W-103rd-St_Los-Angeles_CA_90003_M26869-42982" TargetMode="External"/><Relationship Id="rId2350" Type="http://schemas.openxmlformats.org/officeDocument/2006/relationships/hyperlink" Target="https://www.realtor.com/realestateandhomes-detail/7161-Little-Harbor-Dr_Huntington-Beach_CA_92648_M12486-61058" TargetMode="External"/><Relationship Id="rId115" Type="http://schemas.openxmlformats.org/officeDocument/2006/relationships/hyperlink" Target="https://www.realtor.com/realestateandhomes-detail/2531-Folsom-St_Los-Angeles_CA_90033_M10749-54534" TargetMode="External"/><Relationship Id="rId322" Type="http://schemas.openxmlformats.org/officeDocument/2006/relationships/hyperlink" Target="https://www.realtor.com/realestateandhomes-detail/935-937-W-17th_San-Pedro_CA_90731_M92276-01212" TargetMode="External"/><Relationship Id="rId767" Type="http://schemas.openxmlformats.org/officeDocument/2006/relationships/hyperlink" Target="https://www.realtor.com/realestateandhomes-detail/101-S-Birch-St_Santa-Ana_CA_92701_M29964-16855" TargetMode="External"/><Relationship Id="rId974" Type="http://schemas.openxmlformats.org/officeDocument/2006/relationships/hyperlink" Target="https://www.realtor.com/realestateandhomes-detail/10821-Magnolia-Blvd_North-Hollywood_CA_91601_M19533-33862" TargetMode="External"/><Relationship Id="rId2003" Type="http://schemas.openxmlformats.org/officeDocument/2006/relationships/hyperlink" Target="https://www.realtor.com/realestateandhomes-detail/2236-Griffin-Ave_Los-Angeles_CA_90031_M14171-30418" TargetMode="External"/><Relationship Id="rId2210" Type="http://schemas.openxmlformats.org/officeDocument/2006/relationships/hyperlink" Target="https://www.realtor.com/realestateandhomes-detail/1265-N-Harvard-Blvd_Los-Angeles_CA_90029_M25692-84710" TargetMode="External"/><Relationship Id="rId2448" Type="http://schemas.openxmlformats.org/officeDocument/2006/relationships/hyperlink" Target="https://www.realtor.com/realestateandhomes-detail/17021-Pinehurst-Ln_Huntington-Beach_CA_92647_M21779-81706" TargetMode="External"/><Relationship Id="rId627" Type="http://schemas.openxmlformats.org/officeDocument/2006/relationships/hyperlink" Target="https://www.realtor.com/realestateandhomes-detail/11827-Wagner-St_Culver-City_CA_90230_M11956-78517" TargetMode="External"/><Relationship Id="rId834" Type="http://schemas.openxmlformats.org/officeDocument/2006/relationships/hyperlink" Target="https://www.realtor.com/realestateandhomes-detail/13100-Bromont-Ave-Unit-11_Sylmar_CA_91342_M15200-05941" TargetMode="External"/><Relationship Id="rId1257" Type="http://schemas.openxmlformats.org/officeDocument/2006/relationships/hyperlink" Target="https://www.realtor.com/realestateandhomes-detail/10685-Lynn-Cir_Cypress_CA_90630_M23907-90813" TargetMode="External"/><Relationship Id="rId1464" Type="http://schemas.openxmlformats.org/officeDocument/2006/relationships/hyperlink" Target="https://www.realtor.com/realestateandhomes-detail/24-Spicewood-Way_Irvine_CA_92612_M18347-43759" TargetMode="External"/><Relationship Id="rId1671" Type="http://schemas.openxmlformats.org/officeDocument/2006/relationships/hyperlink" Target="https://www.realtor.com/realestateandhomes-detail/22001-Santa-Susana-Pass-Rd_Chatsworth_CA_91311_M22133-53323" TargetMode="External"/><Relationship Id="rId2308" Type="http://schemas.openxmlformats.org/officeDocument/2006/relationships/hyperlink" Target="https://www.realtor.com/realestateandhomes-detail/1233-N-New-Hampshire-Ave_Los-Angeles_CA_90029_M26372-20524" TargetMode="External"/><Relationship Id="rId2515" Type="http://schemas.openxmlformats.org/officeDocument/2006/relationships/hyperlink" Target="https://www.realtor.com/realestateandhomes-detail/28135-Via-Luis_Laguna-Niguel_CA_92677_M27673-90277" TargetMode="External"/><Relationship Id="rId901" Type="http://schemas.openxmlformats.org/officeDocument/2006/relationships/hyperlink" Target="https://www.realtor.com/realestateandhomes-detail/51-Garcilla-Dr_Rancho-Mission-Viejo_CA_92694_M25616-53230" TargetMode="External"/><Relationship Id="rId1117" Type="http://schemas.openxmlformats.org/officeDocument/2006/relationships/hyperlink" Target="https://www.realtor.com/realestateandhomes-detail/2600-Adkins-Ave_Los-Angeles_CA_90032_M27907-40461" TargetMode="External"/><Relationship Id="rId1324" Type="http://schemas.openxmlformats.org/officeDocument/2006/relationships/hyperlink" Target="https://www.realtor.com/realestateandhomes-detail/33-Basilica-Pl_Ladera-Ranch_CA_92694_M19354-87632" TargetMode="External"/><Relationship Id="rId1531" Type="http://schemas.openxmlformats.org/officeDocument/2006/relationships/hyperlink" Target="https://www.realtor.com/realestateandhomes-detail/21-Promesa-Ave_Rancho-Mission-Viejo_CA_92694_M12815-58689" TargetMode="External"/><Relationship Id="rId1769" Type="http://schemas.openxmlformats.org/officeDocument/2006/relationships/hyperlink" Target="https://www.realtor.com/realestateandhomes-detail/14629-Erwin-St_Van-Nuys_CA_91411_M15283-13097" TargetMode="External"/><Relationship Id="rId1976" Type="http://schemas.openxmlformats.org/officeDocument/2006/relationships/hyperlink" Target="https://www.realtor.com/realestateandhomes-detail/4069-Sawtelle-Blvd_Los-Angeles_CA_90066_M15562-63777" TargetMode="External"/><Relationship Id="rId30" Type="http://schemas.openxmlformats.org/officeDocument/2006/relationships/hyperlink" Target="https://www.realtor.com/realestateandhomes-detail/133-S-Mapleton-Dr_Los-Angeles_CA_90024_M13515-76476" TargetMode="External"/><Relationship Id="rId1629" Type="http://schemas.openxmlformats.org/officeDocument/2006/relationships/hyperlink" Target="https://www.realtor.com/realestateandhomes-detail/1677-S-Harvard-Blvd_Los-Angeles_CA_90006_M18059-37368" TargetMode="External"/><Relationship Id="rId1836" Type="http://schemas.openxmlformats.org/officeDocument/2006/relationships/hyperlink" Target="https://www.realtor.com/realestateandhomes-detail/1328-N-Ogden-Dr_West-Hollywood_CA_90046_M28207-18025" TargetMode="External"/><Relationship Id="rId1903" Type="http://schemas.openxmlformats.org/officeDocument/2006/relationships/hyperlink" Target="https://www.realtor.com/realestateandhomes-detail/1521-S-Cloverdale-Ave_Los-Angeles_CA_90019_M16971-20816" TargetMode="External"/><Relationship Id="rId2098" Type="http://schemas.openxmlformats.org/officeDocument/2006/relationships/hyperlink" Target="https://www.realtor.com/realestateandhomes-detail/2209-6th-Ave_Los-Angeles_CA_90018_M93010-68597" TargetMode="External"/><Relationship Id="rId277" Type="http://schemas.openxmlformats.org/officeDocument/2006/relationships/hyperlink" Target="https://www.realtor.com/realestateandhomes-detail/412-Arenoso-Ln-Unit-105_San-Clemente_CA_92672_M27938-07336" TargetMode="External"/><Relationship Id="rId484" Type="http://schemas.openxmlformats.org/officeDocument/2006/relationships/hyperlink" Target="https://www.realtor.com/realestateandhomes-detail/753-Spring-Gdn_Irvine_CA_92618_M98062-93524" TargetMode="External"/><Relationship Id="rId2165" Type="http://schemas.openxmlformats.org/officeDocument/2006/relationships/hyperlink" Target="https://www.realtor.com/realestateandhomes-detail/2692-Salmon-Dr_Rossmoor_CA_90720_M12399-92614" TargetMode="External"/><Relationship Id="rId137" Type="http://schemas.openxmlformats.org/officeDocument/2006/relationships/hyperlink" Target="https://www.realtor.com/realestateandhomes-detail/502-Sunrise-Rd_Ladera-Ranch_CA_92694_M92924-92390" TargetMode="External"/><Relationship Id="rId344" Type="http://schemas.openxmlformats.org/officeDocument/2006/relationships/hyperlink" Target="https://www.realtor.com/realestateandhomes-detail/67-Canopy_Irvine_CA_92603_M17809-42804" TargetMode="External"/><Relationship Id="rId691" Type="http://schemas.openxmlformats.org/officeDocument/2006/relationships/hyperlink" Target="https://www.realtor.com/realestateandhomes-detail/4411-Los-Feliz-Blvd-Apt-1104_Los-Angeles_CA_90027_M14308-73327" TargetMode="External"/><Relationship Id="rId789" Type="http://schemas.openxmlformats.org/officeDocument/2006/relationships/hyperlink" Target="https://www.realtor.com/realestateandhomes-detail/5522-Mossvale-Cir_Huntington-Beach_CA_92649_M28114-74665" TargetMode="External"/><Relationship Id="rId996" Type="http://schemas.openxmlformats.org/officeDocument/2006/relationships/hyperlink" Target="https://www.realtor.com/realestateandhomes-detail/15263-Mulholland-Dr_Los-Angeles_CA_90077_M27741-50821" TargetMode="External"/><Relationship Id="rId2025" Type="http://schemas.openxmlformats.org/officeDocument/2006/relationships/hyperlink" Target="https://www.realtor.com/realestateandhomes-detail/2350-San-Marco-Dr_Los-Angeles_CA_90068_M12101-09884" TargetMode="External"/><Relationship Id="rId2372" Type="http://schemas.openxmlformats.org/officeDocument/2006/relationships/hyperlink" Target="https://www.realtor.com/realestateandhomes-detail/705-Bradshawe-Ave_Los-Angeles_CA_90022_M16410-22274" TargetMode="External"/><Relationship Id="rId551" Type="http://schemas.openxmlformats.org/officeDocument/2006/relationships/hyperlink" Target="https://www.realtor.com/realestateandhomes-detail/201-E-21st-St-92627_Costa-Mesa_CA_92627_M94221-77237" TargetMode="External"/><Relationship Id="rId649" Type="http://schemas.openxmlformats.org/officeDocument/2006/relationships/hyperlink" Target="https://www.realtor.com/realestateandhomes-detail/10634-Whipple-St_Toluca-Lake_CA_91602_M20658-51574" TargetMode="External"/><Relationship Id="rId856" Type="http://schemas.openxmlformats.org/officeDocument/2006/relationships/hyperlink" Target="https://www.realtor.com/realestateandhomes-detail/3810-San-Antonio-Rd_Yorba-Linda_CA_92886_M11898-01413" TargetMode="External"/><Relationship Id="rId1181" Type="http://schemas.openxmlformats.org/officeDocument/2006/relationships/hyperlink" Target="https://www.realtor.com/realestateandhomes-detail/2942-S-West-View-St_Los-Angeles_CA_90016_M99463-25595" TargetMode="External"/><Relationship Id="rId1279" Type="http://schemas.openxmlformats.org/officeDocument/2006/relationships/hyperlink" Target="https://www.realtor.com/realestateandhomes-detail/1881-Mitchell-Ave-Unit-95_Tustin_CA_92780_M24982-18375" TargetMode="External"/><Relationship Id="rId1486" Type="http://schemas.openxmlformats.org/officeDocument/2006/relationships/hyperlink" Target="https://www.realtor.com/realestateandhomes-detail/10763-El-Centro-Ave_Fountain-Valley_CA_92708_M19041-12125" TargetMode="External"/><Relationship Id="rId2232" Type="http://schemas.openxmlformats.org/officeDocument/2006/relationships/hyperlink" Target="https://www.realtor.com/realestateandhomes-detail/736-E-Century-Blvd_Los-Angeles_CA_90002_M20129-70498" TargetMode="External"/><Relationship Id="rId2537" Type="http://schemas.openxmlformats.org/officeDocument/2006/relationships/hyperlink" Target="https://www.realtor.com/realestateandhomes-detail/8104-E-Carnation-Way_Anaheim_CA_92808_M25417-80579" TargetMode="External"/><Relationship Id="rId204" Type="http://schemas.openxmlformats.org/officeDocument/2006/relationships/hyperlink" Target="https://www.realtor.com/realestateandhomes-detail/21851-Newland-St-Spc-147_Huntington-Beach_CA_92646_M16279-25726" TargetMode="External"/><Relationship Id="rId411" Type="http://schemas.openxmlformats.org/officeDocument/2006/relationships/hyperlink" Target="https://www.realtor.com/realestateandhomes-detail/1239-W-30th-St_Los-Angeles_CA_90007_M29294-91103" TargetMode="External"/><Relationship Id="rId509" Type="http://schemas.openxmlformats.org/officeDocument/2006/relationships/hyperlink" Target="https://www.realtor.com/realestateandhomes-detail/Mary-Bell-Lot-61_Shadow-Hills_CA_M18844-58327" TargetMode="External"/><Relationship Id="rId1041" Type="http://schemas.openxmlformats.org/officeDocument/2006/relationships/hyperlink" Target="https://www.realtor.com/realestateandhomes-detail/726-Howard-St_Marina-Del-Rey_CA_90292_M14148-02259" TargetMode="External"/><Relationship Id="rId1139" Type="http://schemas.openxmlformats.org/officeDocument/2006/relationships/hyperlink" Target="https://www.realtor.com/realestateandhomes-detail/2339-Jupiter-Dr_Los-Angeles_CA_90046_M11396-02720" TargetMode="External"/><Relationship Id="rId1346" Type="http://schemas.openxmlformats.org/officeDocument/2006/relationships/hyperlink" Target="https://www.realtor.com/realestateandhomes-detail/23227-Burbank-Blvd_Woodland-Hills_CA_91367_M18861-37529" TargetMode="External"/><Relationship Id="rId1693" Type="http://schemas.openxmlformats.org/officeDocument/2006/relationships/hyperlink" Target="https://www.realtor.com/realestateandhomes-detail/2401-S-Denison-Ave_San-Pedro_CA_90731_M95850-15177" TargetMode="External"/><Relationship Id="rId1998" Type="http://schemas.openxmlformats.org/officeDocument/2006/relationships/hyperlink" Target="https://www.realtor.com/realestateandhomes-detail/2842-W-Avenue-33_Los-Angeles_CA_90065_M10693-30525" TargetMode="External"/><Relationship Id="rId716" Type="http://schemas.openxmlformats.org/officeDocument/2006/relationships/hyperlink" Target="https://www.realtor.com/realestateandhomes-detail/13044-Sky-Valley-Rd_Los-Angeles_CA_90049_M16905-73383" TargetMode="External"/><Relationship Id="rId923" Type="http://schemas.openxmlformats.org/officeDocument/2006/relationships/hyperlink" Target="https://www.realtor.com/realestateandhomes-detail/222-Marine-Ave_Newport-Beach_CA_92662_M99858-89181" TargetMode="External"/><Relationship Id="rId1553" Type="http://schemas.openxmlformats.org/officeDocument/2006/relationships/hyperlink" Target="https://www.realtor.com/realestateandhomes-detail/590-Diamond-St_Laguna-Beach_CA_92651_M13983-74093" TargetMode="External"/><Relationship Id="rId1760" Type="http://schemas.openxmlformats.org/officeDocument/2006/relationships/hyperlink" Target="https://www.realtor.com/realestateandhomes-detail/3117-Bagley-Ave_Los-Angeles_CA_90034_M20148-09827" TargetMode="External"/><Relationship Id="rId1858" Type="http://schemas.openxmlformats.org/officeDocument/2006/relationships/hyperlink" Target="https://www.realtor.com/realestateandhomes-detail/26251-Vermont-Ave-Unit-202_Harbor-City_CA_90710_M17216-12061" TargetMode="External"/><Relationship Id="rId52" Type="http://schemas.openxmlformats.org/officeDocument/2006/relationships/hyperlink" Target="https://www.realtor.com/realestateandhomes-detail/5941-Kingman-Ave_Buena-Park_CA_90621_M10051-74836" TargetMode="External"/><Relationship Id="rId1206" Type="http://schemas.openxmlformats.org/officeDocument/2006/relationships/hyperlink" Target="https://www.realtor.com/realestateandhomes-detail/402-E-92nd-St_Los-Angeles_CA_90003_M20973-77858" TargetMode="External"/><Relationship Id="rId1413" Type="http://schemas.openxmlformats.org/officeDocument/2006/relationships/hyperlink" Target="https://www.realtor.com/realestateandhomes-detail/5100-Orrville-Ave_Woodland-Hills_CA_91367_M19449-80452" TargetMode="External"/><Relationship Id="rId1620" Type="http://schemas.openxmlformats.org/officeDocument/2006/relationships/hyperlink" Target="https://www.realtor.com/realestateandhomes-detail/1234-Wilshire-Blvd-Apt-321_Los-Angeles_CA_90017_M29106-85193" TargetMode="External"/><Relationship Id="rId1718" Type="http://schemas.openxmlformats.org/officeDocument/2006/relationships/hyperlink" Target="https://www.realtor.com/realestateandhomes-detail/1361-S-Tremaine-Ave-1_Los-Angeles_CA_90019_M13471-31924" TargetMode="External"/><Relationship Id="rId1925" Type="http://schemas.openxmlformats.org/officeDocument/2006/relationships/hyperlink" Target="https://www.realtor.com/realestateandhomes-detail/221-W-10th-St_San-Pedro_CA_90731_M29916-72647" TargetMode="External"/><Relationship Id="rId299" Type="http://schemas.openxmlformats.org/officeDocument/2006/relationships/hyperlink" Target="https://www.realtor.com/realestateandhomes-detail/16881-Oak-View-Dr_Encino_CA_91436_M10841-66222" TargetMode="External"/><Relationship Id="rId2187" Type="http://schemas.openxmlformats.org/officeDocument/2006/relationships/hyperlink" Target="https://www.realtor.com/realestateandhomes-detail/5353-Cumberland-Dr_Cypress_CA_90630_M10152-22119" TargetMode="External"/><Relationship Id="rId2394" Type="http://schemas.openxmlformats.org/officeDocument/2006/relationships/hyperlink" Target="https://www.realtor.com/realestateandhomes-detail/2606-S-Rosewood-Ave-Apt-A_Santa-Ana_CA_92707_M25187-22742" TargetMode="External"/><Relationship Id="rId159" Type="http://schemas.openxmlformats.org/officeDocument/2006/relationships/hyperlink" Target="https://www.realtor.com/realestateandhomes-detail/2917-Durand-Dr_Los-Angeles_CA_90068_M24257-73199" TargetMode="External"/><Relationship Id="rId366" Type="http://schemas.openxmlformats.org/officeDocument/2006/relationships/hyperlink" Target="https://www.realtor.com/realestateandhomes-detail/9831-Sepulveda-Blvd-Unit-26_North-Hills_CA_91343_M10145-82484" TargetMode="External"/><Relationship Id="rId573" Type="http://schemas.openxmlformats.org/officeDocument/2006/relationships/hyperlink" Target="https://www.realtor.com/realestateandhomes-detail/12545-N-Silver-Spur-Ct_Porter-Ranch_CA_91326_M93840-20683" TargetMode="External"/><Relationship Id="rId780" Type="http://schemas.openxmlformats.org/officeDocument/2006/relationships/hyperlink" Target="https://www.realtor.com/realestateandhomes-detail/1837-Kelleher-Pl_Placentia_CA_92870_M18229-64572" TargetMode="External"/><Relationship Id="rId2047" Type="http://schemas.openxmlformats.org/officeDocument/2006/relationships/hyperlink" Target="https://www.realtor.com/realestateandhomes-detail/4743-Purdue-Ave_Culver-City_CA_90230_M92256-55148" TargetMode="External"/><Relationship Id="rId2254" Type="http://schemas.openxmlformats.org/officeDocument/2006/relationships/hyperlink" Target="https://www.realtor.com/realestateandhomes-detail/2229-Shoredale-Ave_Los-Angeles_CA_90031_M29435-95209" TargetMode="External"/><Relationship Id="rId2461" Type="http://schemas.openxmlformats.org/officeDocument/2006/relationships/hyperlink" Target="https://www.realtor.com/realestateandhomes-detail/972-N-Big-Sky-Ln_Orange_CA_92869_M29430-55633" TargetMode="External"/><Relationship Id="rId226" Type="http://schemas.openxmlformats.org/officeDocument/2006/relationships/hyperlink" Target="https://www.realtor.com/realestateandhomes-detail/51-Thornton-Ave_Venice_CA_90291_M26716-85312" TargetMode="External"/><Relationship Id="rId433" Type="http://schemas.openxmlformats.org/officeDocument/2006/relationships/hyperlink" Target="https://www.realtor.com/realestateandhomes-detail/403-E-91st-St_Los-Angeles_CA_90003_M17730-52360" TargetMode="External"/><Relationship Id="rId878" Type="http://schemas.openxmlformats.org/officeDocument/2006/relationships/hyperlink" Target="https://www.realtor.com/realestateandhomes-detail/28935-Paseo-Theresa_Mission-Viejo_CA_92692_M29157-83261" TargetMode="External"/><Relationship Id="rId1063" Type="http://schemas.openxmlformats.org/officeDocument/2006/relationships/hyperlink" Target="https://www.realtor.com/realestateandhomes-detail/7716-Grove-St_Tujunga_CA_91042_M28192-08494" TargetMode="External"/><Relationship Id="rId1270" Type="http://schemas.openxmlformats.org/officeDocument/2006/relationships/hyperlink" Target="https://www.realtor.com/realestateandhomes-detail/4117-W-McFadden-Ave-Spc-525_Santa-Ana_CA_92704_M21397-36514" TargetMode="External"/><Relationship Id="rId2114" Type="http://schemas.openxmlformats.org/officeDocument/2006/relationships/hyperlink" Target="https://www.realtor.com/realestateandhomes-detail/320-N-Alta-Vista-Blvd_Los-Angeles_CA_90036_M23307-08147" TargetMode="External"/><Relationship Id="rId640" Type="http://schemas.openxmlformats.org/officeDocument/2006/relationships/hyperlink" Target="https://www.realtor.com/realestateandhomes-detail/8000-Oceanus-Dr_Los-Angeles_CA_90046_M95110-33948" TargetMode="External"/><Relationship Id="rId738" Type="http://schemas.openxmlformats.org/officeDocument/2006/relationships/hyperlink" Target="https://www.realtor.com/realestateandhomes-detail/510-S-Hewitt-St-Unit-107_Los-Angeles_CA_90013_M22017-60129" TargetMode="External"/><Relationship Id="rId945" Type="http://schemas.openxmlformats.org/officeDocument/2006/relationships/hyperlink" Target="https://www.realtor.com/realestateandhomes-detail/8951-St-Ives-Dr_Los-Angeles_CA_90069_M29568-87779" TargetMode="External"/><Relationship Id="rId1368" Type="http://schemas.openxmlformats.org/officeDocument/2006/relationships/hyperlink" Target="https://www.realtor.com/realestateandhomes-detail/4918-Cahuenga-Blvd_North-Hollywood_CA_91601_M19905-25273" TargetMode="External"/><Relationship Id="rId1575" Type="http://schemas.openxmlformats.org/officeDocument/2006/relationships/hyperlink" Target="https://www.realtor.com/realestateandhomes-detail/Close-to-Beverly-Glen-Blvd-Lot-112_Los-Angeles_CA_90077_M11394-39103" TargetMode="External"/><Relationship Id="rId1782" Type="http://schemas.openxmlformats.org/officeDocument/2006/relationships/hyperlink" Target="https://www.realtor.com/realestateandhomes-detail/898-Temple-Ter-Unit-125_Los-Angeles_CA_90042_M17590-71334" TargetMode="External"/><Relationship Id="rId2321" Type="http://schemas.openxmlformats.org/officeDocument/2006/relationships/hyperlink" Target="https://www.realtor.com/realestateandhomes-detail/3144-Johnston-St_Los-Angeles_CA_90031_M25770-51708" TargetMode="External"/><Relationship Id="rId2419" Type="http://schemas.openxmlformats.org/officeDocument/2006/relationships/hyperlink" Target="https://www.realtor.com/realestateandhomes-detail/17470-Rockrose-Cir_Yorba-Linda_CA_92886_M25323-96319" TargetMode="External"/><Relationship Id="rId74" Type="http://schemas.openxmlformats.org/officeDocument/2006/relationships/hyperlink" Target="https://www.realtor.com/realestateandhomes-detail/717-Moreno-Ave_Los-Angeles_CA_90049_M18745-42590" TargetMode="External"/><Relationship Id="rId500" Type="http://schemas.openxmlformats.org/officeDocument/2006/relationships/hyperlink" Target="https://www.realtor.com/realestateandhomes-detail/923-E-97th-St_Los-Angeles_CA_90002_M25631-08255" TargetMode="External"/><Relationship Id="rId805" Type="http://schemas.openxmlformats.org/officeDocument/2006/relationships/hyperlink" Target="https://www.realtor.com/realestateandhomes-detail/3734-Lavell-Dr_Los-Angeles_CA_90065_M28899-43194" TargetMode="External"/><Relationship Id="rId1130" Type="http://schemas.openxmlformats.org/officeDocument/2006/relationships/hyperlink" Target="https://www.realtor.com/realestateandhomes-detail/115-S-Fresno-St_Los-Angeles_CA_90063_M11952-11730" TargetMode="External"/><Relationship Id="rId1228" Type="http://schemas.openxmlformats.org/officeDocument/2006/relationships/hyperlink" Target="https://www.realtor.com/realestateandhomes-detail/4140-Edenhurst-Ave_Los-Angeles_CA_90039_M15728-56568" TargetMode="External"/><Relationship Id="rId1435" Type="http://schemas.openxmlformats.org/officeDocument/2006/relationships/hyperlink" Target="https://www.realtor.com/realestateandhomes-detail/19918-Acre-St_Northridge_CA_91324_M28864-88042" TargetMode="External"/><Relationship Id="rId1642" Type="http://schemas.openxmlformats.org/officeDocument/2006/relationships/hyperlink" Target="https://www.realtor.com/realestateandhomes-detail/13331-Moorpark-St-Apt-110_Sherman-Oaks_CA_91423_M29365-81692" TargetMode="External"/><Relationship Id="rId1947" Type="http://schemas.openxmlformats.org/officeDocument/2006/relationships/hyperlink" Target="https://www.realtor.com/realestateandhomes-detail/23442-Burbank-Blvd_Woodland-Hills_CA_91367_M19190-06090" TargetMode="External"/><Relationship Id="rId1502" Type="http://schemas.openxmlformats.org/officeDocument/2006/relationships/hyperlink" Target="https://www.realtor.com/realestateandhomes-detail/10065-Hidden-Village-Rd_Garden-Grove_CA_92840_M13283-12898" TargetMode="External"/><Relationship Id="rId1807" Type="http://schemas.openxmlformats.org/officeDocument/2006/relationships/hyperlink" Target="https://www.realtor.com/realestateandhomes-detail/2314-Pacific-Ave_Venice_CA_90291_M13556-98475" TargetMode="External"/><Relationship Id="rId290" Type="http://schemas.openxmlformats.org/officeDocument/2006/relationships/hyperlink" Target="https://www.realtor.com/realestateandhomes-detail/800-W-1st-St-Apt-1210_Los-Angeles_CA_90012_M28721-15983" TargetMode="External"/><Relationship Id="rId388" Type="http://schemas.openxmlformats.org/officeDocument/2006/relationships/hyperlink" Target="https://www.realtor.com/realestateandhomes-detail/4328-Wilkinson-Ave_Studio-City_CA_91604_M10598-20189" TargetMode="External"/><Relationship Id="rId2069" Type="http://schemas.openxmlformats.org/officeDocument/2006/relationships/hyperlink" Target="https://www.realtor.com/realestateandhomes-detail/3007-Belden-Dr_Los-Angeles_CA_90068_M13438-94617" TargetMode="External"/><Relationship Id="rId150" Type="http://schemas.openxmlformats.org/officeDocument/2006/relationships/hyperlink" Target="https://www.realtor.com/realestateandhomes-detail/877-Francisco-St-Apt-827_Los-Angeles_CA_90017_M99656-47791" TargetMode="External"/><Relationship Id="rId595" Type="http://schemas.openxmlformats.org/officeDocument/2006/relationships/hyperlink" Target="https://www.realtor.com/realestateandhomes-detail/8217-Billowvista-Dr_Playa-Del-Rey_CA_90293_M18005-64775" TargetMode="External"/><Relationship Id="rId2276" Type="http://schemas.openxmlformats.org/officeDocument/2006/relationships/hyperlink" Target="https://www.realtor.com/realestateandhomes-detail/3874-W-Point-Dr_Los-Angeles_CA_90065_M93193-53491" TargetMode="External"/><Relationship Id="rId2483" Type="http://schemas.openxmlformats.org/officeDocument/2006/relationships/hyperlink" Target="https://www.realtor.com/realestateandhomes-detail/9-Bonsall_Irvine_CA_92602_M16122-77300" TargetMode="External"/><Relationship Id="rId248" Type="http://schemas.openxmlformats.org/officeDocument/2006/relationships/hyperlink" Target="https://www.realtor.com/realestateandhomes-detail/600-W-3rd-St-Apt-A115_Santa-Ana_CA_92701_M23180-63437" TargetMode="External"/><Relationship Id="rId455" Type="http://schemas.openxmlformats.org/officeDocument/2006/relationships/hyperlink" Target="https://www.realtor.com/realestateandhomes-detail/10132-Hollow-Glen-Cir_Los-Angeles_CA_90077_M23784-39522" TargetMode="External"/><Relationship Id="rId662" Type="http://schemas.openxmlformats.org/officeDocument/2006/relationships/hyperlink" Target="https://www.realtor.com/realestateandhomes-detail/16472-W-Sunset-Blvd_Pacific-Palisades_CA_90272_M28379-28592" TargetMode="External"/><Relationship Id="rId1085" Type="http://schemas.openxmlformats.org/officeDocument/2006/relationships/hyperlink" Target="https://www.realtor.com/realestateandhomes-detail/19025-Bassett-St_Reseda_CA_91335_M24902-44350" TargetMode="External"/><Relationship Id="rId1292" Type="http://schemas.openxmlformats.org/officeDocument/2006/relationships/hyperlink" Target="https://www.realtor.com/realestateandhomes-detail/12905-Paxton-St_Pacoima_CA_91331_M21542-35017" TargetMode="External"/><Relationship Id="rId2136" Type="http://schemas.openxmlformats.org/officeDocument/2006/relationships/hyperlink" Target="https://www.realtor.com/realestateandhomes-detail/517-S-Grand-Ave_San-Pedro_CA_90731_M29143-08550" TargetMode="External"/><Relationship Id="rId2343" Type="http://schemas.openxmlformats.org/officeDocument/2006/relationships/hyperlink" Target="https://www.realtor.com/realestateandhomes-detail/3451-Estrada-St_Los-Angeles_CA_90023_M13769-20466" TargetMode="External"/><Relationship Id="rId2550" Type="http://schemas.openxmlformats.org/officeDocument/2006/relationships/hyperlink" Target="https://www.realtor.com/realestateandhomes-detail/17-Calle-Viviana_San-Clemente_CA_92673_M15063-39458" TargetMode="External"/><Relationship Id="rId108" Type="http://schemas.openxmlformats.org/officeDocument/2006/relationships/hyperlink" Target="https://www.realtor.com/realestateandhomes-detail/13265-Del-Monte-Dr-M12-35E_Seal-Beach_CA_90740_M99571-96697" TargetMode="External"/><Relationship Id="rId315" Type="http://schemas.openxmlformats.org/officeDocument/2006/relationships/hyperlink" Target="https://www.realtor.com/realestateandhomes-detail/1785-Bel-Air-Rd_Los-Angeles_CA_90077_M19717-93557" TargetMode="External"/><Relationship Id="rId522" Type="http://schemas.openxmlformats.org/officeDocument/2006/relationships/hyperlink" Target="https://www.realtor.com/realestateandhomes-detail/12800-N-Watt-Ln-Unit-D_Sylmar_CA_91342_M99200-81047" TargetMode="External"/><Relationship Id="rId967" Type="http://schemas.openxmlformats.org/officeDocument/2006/relationships/hyperlink" Target="https://www.realtor.com/realestateandhomes-detail/14413-Valley-Vista-Blvd_Sherman-Oaks_CA_91423_M24490-05472" TargetMode="External"/><Relationship Id="rId1152" Type="http://schemas.openxmlformats.org/officeDocument/2006/relationships/hyperlink" Target="https://www.realtor.com/realestateandhomes-detail/856-Diamond-St_Laguna-Beach_CA_92651_M20675-69720" TargetMode="External"/><Relationship Id="rId1597" Type="http://schemas.openxmlformats.org/officeDocument/2006/relationships/hyperlink" Target="https://www.realtor.com/realestateandhomes-detail/433-N-Norton-Ave_Los-Angeles_CA_90004_M22173-45150" TargetMode="External"/><Relationship Id="rId2203" Type="http://schemas.openxmlformats.org/officeDocument/2006/relationships/hyperlink" Target="https://www.realtor.com/realestateandhomes-detail/35-Garrison-Loop_Ladera-Ranch_CA_92694_M27879-43133" TargetMode="External"/><Relationship Id="rId2410" Type="http://schemas.openxmlformats.org/officeDocument/2006/relationships/hyperlink" Target="https://www.realtor.com/realestateandhomes-detail/151-S-Parker-St_Orange_CA_92868_M13210-81379" TargetMode="External"/><Relationship Id="rId96" Type="http://schemas.openxmlformats.org/officeDocument/2006/relationships/hyperlink" Target="https://www.realtor.com/realestateandhomes-detail/11348-Reseda-Blvd_Porter-Ranch_CA_91326_M13210-72116" TargetMode="External"/><Relationship Id="rId827" Type="http://schemas.openxmlformats.org/officeDocument/2006/relationships/hyperlink" Target="https://www.realtor.com/realestateandhomes-detail/13383-Contour-Dr_Sherman-Oaks_CA_91423_M12384-35852" TargetMode="External"/><Relationship Id="rId1012" Type="http://schemas.openxmlformats.org/officeDocument/2006/relationships/hyperlink" Target="https://www.realtor.com/realestateandhomes-detail/1409-Dolphin-Ter_Corona-Del-Mar_CA_92625_M20012-72660" TargetMode="External"/><Relationship Id="rId1457" Type="http://schemas.openxmlformats.org/officeDocument/2006/relationships/hyperlink" Target="https://www.realtor.com/realestateandhomes-detail/2501-S-El-Camino-Real-Unit-309_San-Clemente_CA_92672_M21939-74419" TargetMode="External"/><Relationship Id="rId1664" Type="http://schemas.openxmlformats.org/officeDocument/2006/relationships/hyperlink" Target="https://www.realtor.com/realestateandhomes-detail/2035-Castle-Heights-Ave_Los-Angeles_CA_90034_M18895-58995" TargetMode="External"/><Relationship Id="rId1871" Type="http://schemas.openxmlformats.org/officeDocument/2006/relationships/hyperlink" Target="https://www.realtor.com/realestateandhomes-detail/2980-Hollyridge-Dr_Los-Angeles_CA_90068_M13439-69149" TargetMode="External"/><Relationship Id="rId2508" Type="http://schemas.openxmlformats.org/officeDocument/2006/relationships/hyperlink" Target="https://www.realtor.com/realestateandhomes-detail/542-W-Dunton-Ave-29_Orange_CA_92865_M15280-25025" TargetMode="External"/><Relationship Id="rId1317" Type="http://schemas.openxmlformats.org/officeDocument/2006/relationships/hyperlink" Target="https://www.realtor.com/realestateandhomes-detail/27658-Heartwood-Dr_San-Pedro_CA_90732_M94405-09962" TargetMode="External"/><Relationship Id="rId1524" Type="http://schemas.openxmlformats.org/officeDocument/2006/relationships/hyperlink" Target="https://www.realtor.com/realestateandhomes-detail/28-Albany-St_Ladera-Ranch_CA_92694_M20044-15320" TargetMode="External"/><Relationship Id="rId1731" Type="http://schemas.openxmlformats.org/officeDocument/2006/relationships/hyperlink" Target="https://www.realtor.com/realestateandhomes-detail/1054-W-81st-Pl_Los-Angeles_CA_90044_M15087-62296" TargetMode="External"/><Relationship Id="rId1969" Type="http://schemas.openxmlformats.org/officeDocument/2006/relationships/hyperlink" Target="https://www.realtor.com/realestateandhomes-detail/7218-Hillside-Ave-Unit-202_Los-Angeles_CA_90046_M11786-94694" TargetMode="External"/><Relationship Id="rId23" Type="http://schemas.openxmlformats.org/officeDocument/2006/relationships/hyperlink" Target="https://www.realtor.com/realestateandhomes-detail/649-N-Las-Casas-Ave_Pacific-Palisades_CA_90272_M28770-57832" TargetMode="External"/><Relationship Id="rId1829" Type="http://schemas.openxmlformats.org/officeDocument/2006/relationships/hyperlink" Target="https://www.realtor.com/realestateandhomes-detail/3855-S-Centinela-Ave_Los-Angeles_CA_90066_M94425-09050" TargetMode="External"/><Relationship Id="rId2298" Type="http://schemas.openxmlformats.org/officeDocument/2006/relationships/hyperlink" Target="https://www.realtor.com/realestateandhomes-detail/100-S-Alameda-St-Unit-107_Los-Angeles_CA_90012_M20558-84446" TargetMode="External"/><Relationship Id="rId172" Type="http://schemas.openxmlformats.org/officeDocument/2006/relationships/hyperlink" Target="https://www.realtor.com/realestateandhomes-detail/175-Patria_Rancho-Mission-Viejo_CA_92694_M20252-20168" TargetMode="External"/><Relationship Id="rId477" Type="http://schemas.openxmlformats.org/officeDocument/2006/relationships/hyperlink" Target="https://www.realtor.com/realestateandhomes-detail/105-Lugo-Ln_Mission-Viejo_CA_92692_M90187-23925" TargetMode="External"/><Relationship Id="rId684" Type="http://schemas.openxmlformats.org/officeDocument/2006/relationships/hyperlink" Target="https://www.realtor.com/realestateandhomes-detail/6763-Case-Ave_North-Hollywood_CA_91606_M16512-42069" TargetMode="External"/><Relationship Id="rId2060" Type="http://schemas.openxmlformats.org/officeDocument/2006/relationships/hyperlink" Target="https://www.realtor.com/realestateandhomes-detail/2018-Griffith-Park-Blvd-Apt-318_Los-Angeles_CA_90039_M25842-39726" TargetMode="External"/><Relationship Id="rId2158" Type="http://schemas.openxmlformats.org/officeDocument/2006/relationships/hyperlink" Target="https://www.realtor.com/realestateandhomes-detail/2214-Edna-Dr_Santa-Ana_CA_92706_M17164-73029" TargetMode="External"/><Relationship Id="rId2365" Type="http://schemas.openxmlformats.org/officeDocument/2006/relationships/hyperlink" Target="https://www.realtor.com/realestateandhomes-detail/13513-Polk-St_Sylmar_CA_91342_M13116-77950" TargetMode="External"/><Relationship Id="rId337" Type="http://schemas.openxmlformats.org/officeDocument/2006/relationships/hyperlink" Target="https://www.realtor.com/realestateandhomes-detail/13265-Del-Monte-Dr-M12-35E_Seal-Beach_CA_90740_M99571-96697" TargetMode="External"/><Relationship Id="rId891" Type="http://schemas.openxmlformats.org/officeDocument/2006/relationships/hyperlink" Target="https://www.realtor.com/realestateandhomes-detail/21642-Montbury-Dr_Lake-Forest_CA_92630_M17877-40033" TargetMode="External"/><Relationship Id="rId989" Type="http://schemas.openxmlformats.org/officeDocument/2006/relationships/hyperlink" Target="https://www.realtor.com/realestateandhomes-detail/2473-LA-Condesa-Dr_Los-Angeles_CA_90049_M16606-11565" TargetMode="External"/><Relationship Id="rId2018" Type="http://schemas.openxmlformats.org/officeDocument/2006/relationships/hyperlink" Target="https://www.realtor.com/realestateandhomes-detail/6001-Carlton-Way-Apt-102_Los-Angeles_CA_90028_M11828-29561" TargetMode="External"/><Relationship Id="rId544" Type="http://schemas.openxmlformats.org/officeDocument/2006/relationships/hyperlink" Target="https://www.realtor.com/realestateandhomes-detail/115-Della_Irvine_CA_92602_M90153-47492" TargetMode="External"/><Relationship Id="rId751" Type="http://schemas.openxmlformats.org/officeDocument/2006/relationships/hyperlink" Target="https://www.realtor.com/realestateandhomes-detail/2137-Miramar-Dr_Newport-Beach_CA_92661_M17184-98689" TargetMode="External"/><Relationship Id="rId849" Type="http://schemas.openxmlformats.org/officeDocument/2006/relationships/hyperlink" Target="https://www.realtor.com/realestateandhomes-detail/14157-Terra-Bella-St_Arleta_CA_91331_M26240-72647" TargetMode="External"/><Relationship Id="rId1174" Type="http://schemas.openxmlformats.org/officeDocument/2006/relationships/hyperlink" Target="https://www.realtor.com/realestateandhomes-detail/2929-Buckingham-Rd_Los-Angeles_CA_90016_M11798-32268" TargetMode="External"/><Relationship Id="rId1381" Type="http://schemas.openxmlformats.org/officeDocument/2006/relationships/hyperlink" Target="https://www.realtor.com/realestateandhomes-detail/2340-Thomas-St_Los-Angeles_CA_90031_M14889-79155" TargetMode="External"/><Relationship Id="rId1479" Type="http://schemas.openxmlformats.org/officeDocument/2006/relationships/hyperlink" Target="https://www.realtor.com/realestateandhomes-detail/10449-Apache-River-Ave_Fountain-Valley_CA_92708_M24767-14703" TargetMode="External"/><Relationship Id="rId1686" Type="http://schemas.openxmlformats.org/officeDocument/2006/relationships/hyperlink" Target="https://www.realtor.com/realestateandhomes-detail/613-N-Plymouth-Blvd_Los-Angeles_CA_90004_M22280-77742" TargetMode="External"/><Relationship Id="rId2225" Type="http://schemas.openxmlformats.org/officeDocument/2006/relationships/hyperlink" Target="https://www.realtor.com/realestateandhomes-detail/15809-Kingsbury-St_Granada-Hills_CA_91344_M12411-22148" TargetMode="External"/><Relationship Id="rId2432" Type="http://schemas.openxmlformats.org/officeDocument/2006/relationships/hyperlink" Target="https://www.realtor.com/realestateandhomes-detail/Jackson-Ranch-Rd-S_Silverado-Canyon_CA_92676_M99630-26604" TargetMode="External"/><Relationship Id="rId404" Type="http://schemas.openxmlformats.org/officeDocument/2006/relationships/hyperlink" Target="https://www.realtor.com/realestateandhomes-detail/1785-Summitridge-Dr_Beverly-Hills_CA_90210_M19936-21951" TargetMode="External"/><Relationship Id="rId611" Type="http://schemas.openxmlformats.org/officeDocument/2006/relationships/hyperlink" Target="https://www.realtor.com/realestateandhomes-detail/20340-W-Aberdeen-Ln_Porter-Ranch_CA_91326_M94914-71217" TargetMode="External"/><Relationship Id="rId1034" Type="http://schemas.openxmlformats.org/officeDocument/2006/relationships/hyperlink" Target="https://www.realtor.com/realestateandhomes-detail/1311-W-Capitol-Dr-Unit-184_San-Pedro_CA_90732_M26529-25229" TargetMode="External"/><Relationship Id="rId1241" Type="http://schemas.openxmlformats.org/officeDocument/2006/relationships/hyperlink" Target="https://www.realtor.com/realestateandhomes-detail/8310-Faust-Ave_West-Hills_CA_91304_M27802-40455" TargetMode="External"/><Relationship Id="rId1339" Type="http://schemas.openxmlformats.org/officeDocument/2006/relationships/hyperlink" Target="https://www.realtor.com/realestateandhomes-detail/1818-HI-Point-St_Los-Angeles_CA_90035_M15451-13037" TargetMode="External"/><Relationship Id="rId1893" Type="http://schemas.openxmlformats.org/officeDocument/2006/relationships/hyperlink" Target="https://www.realtor.com/realestateandhomes-detail/3242-Dos-Palos-Dr_Los-Angeles_CA_90068_M21837-61016" TargetMode="External"/><Relationship Id="rId709" Type="http://schemas.openxmlformats.org/officeDocument/2006/relationships/hyperlink" Target="https://www.realtor.com/realestateandhomes-detail/1434-Scholarship_Irvine_CA_92612_M22085-10523" TargetMode="External"/><Relationship Id="rId916" Type="http://schemas.openxmlformats.org/officeDocument/2006/relationships/hyperlink" Target="https://www.realtor.com/realestateandhomes-detail/77-Clifford_Irvine_CA_92618_M21496-11989" TargetMode="External"/><Relationship Id="rId1101" Type="http://schemas.openxmlformats.org/officeDocument/2006/relationships/hyperlink" Target="https://www.realtor.com/realestateandhomes-detail/7027-Macapa-Dr_Los-Angeles_CA_90068_M10333-78582" TargetMode="External"/><Relationship Id="rId1546" Type="http://schemas.openxmlformats.org/officeDocument/2006/relationships/hyperlink" Target="https://www.realtor.com/realestateandhomes-detail/53-Sweet-Bay_Irvine_CA_92603_M16102-60415" TargetMode="External"/><Relationship Id="rId1753" Type="http://schemas.openxmlformats.org/officeDocument/2006/relationships/hyperlink" Target="https://www.realtor.com/realestateandhomes-detail/10724-Wilshire-Blvd-Apt-1501_Los-Angeles_CA_90024_M29630-77440" TargetMode="External"/><Relationship Id="rId1960" Type="http://schemas.openxmlformats.org/officeDocument/2006/relationships/hyperlink" Target="https://www.realtor.com/realestateandhomes-detail/22442-Via-Pajaro_Trabuco-Canyon_CA_92679_M22652-43075" TargetMode="External"/><Relationship Id="rId45" Type="http://schemas.openxmlformats.org/officeDocument/2006/relationships/hyperlink" Target="https://www.realtor.com/realestateandhomes-detail/6509-Brynhurst-Ave_Los-Angeles_CA_90043_M20097-98521" TargetMode="External"/><Relationship Id="rId1406" Type="http://schemas.openxmlformats.org/officeDocument/2006/relationships/hyperlink" Target="https://www.realtor.com/realestateandhomes-detail/5075-Hood-Dr_Woodland-Hills_CA_91364_M12963-49387" TargetMode="External"/><Relationship Id="rId1613" Type="http://schemas.openxmlformats.org/officeDocument/2006/relationships/hyperlink" Target="https://www.realtor.com/realestateandhomes-detail/3142-S-Halm-Ave_Los-Angeles_CA_90034_M19550-72522" TargetMode="External"/><Relationship Id="rId1820" Type="http://schemas.openxmlformats.org/officeDocument/2006/relationships/hyperlink" Target="https://www.realtor.com/realestateandhomes-detail/6325-Primrose-Ave_Los-Angeles_CA_90068_M92705-33611" TargetMode="External"/><Relationship Id="rId194" Type="http://schemas.openxmlformats.org/officeDocument/2006/relationships/hyperlink" Target="https://www.realtor.com/realestateandhomes-detail/525-W-85th-St_Los-Angeles_CA_90044_M14985-51427" TargetMode="External"/><Relationship Id="rId1918" Type="http://schemas.openxmlformats.org/officeDocument/2006/relationships/hyperlink" Target="https://www.realtor.com/realestateandhomes-detail/901-S-Flower-St-Unit-513_Los-Angeles_CA_90015_M11365-82527" TargetMode="External"/><Relationship Id="rId2082" Type="http://schemas.openxmlformats.org/officeDocument/2006/relationships/hyperlink" Target="https://www.realtor.com/realestateandhomes-detail/2236-Griffin-Ave_Los-Angeles_CA_90031_M14171-30418" TargetMode="External"/><Relationship Id="rId261" Type="http://schemas.openxmlformats.org/officeDocument/2006/relationships/hyperlink" Target="https://www.realtor.com/realestateandhomes-detail/19970-Greenbriar-Dr_Tarzana_CA_91356_M21313-61952" TargetMode="External"/><Relationship Id="rId499" Type="http://schemas.openxmlformats.org/officeDocument/2006/relationships/hyperlink" Target="https://www.realtor.com/realestateandhomes-detail/1324-W-Balboa-Blvd_Newport-Beach_CA_92661_M26456-90070" TargetMode="External"/><Relationship Id="rId2387" Type="http://schemas.openxmlformats.org/officeDocument/2006/relationships/hyperlink" Target="https://www.realtor.com/realestateandhomes-detail/1001-W-Dorothy-Dr_Brea_CA_92821_M28193-92714" TargetMode="External"/><Relationship Id="rId359" Type="http://schemas.openxmlformats.org/officeDocument/2006/relationships/hyperlink" Target="https://www.realtor.com/realestateandhomes-detail/1515-Blake-Ave_Los-Angeles_CA_90031_M29252-60366" TargetMode="External"/><Relationship Id="rId566" Type="http://schemas.openxmlformats.org/officeDocument/2006/relationships/hyperlink" Target="https://www.realtor.com/realestateandhomes-detail/2408-Watermarke-Pl_Irvine_CA_92612_M20289-50831" TargetMode="External"/><Relationship Id="rId773" Type="http://schemas.openxmlformats.org/officeDocument/2006/relationships/hyperlink" Target="https://www.realtor.com/realestateandhomes-detail/19582-Crestknoll-Dr_Yorba-Linda_CA_92886_M29998-60302" TargetMode="External"/><Relationship Id="rId1196" Type="http://schemas.openxmlformats.org/officeDocument/2006/relationships/hyperlink" Target="https://www.realtor.com/realestateandhomes-detail/2109-Calle-Ola-Verde-134_San-Clemente_CA_92673_M91945-12757" TargetMode="External"/><Relationship Id="rId2247" Type="http://schemas.openxmlformats.org/officeDocument/2006/relationships/hyperlink" Target="https://www.realtor.com/realestateandhomes-detail/3733-Bostwick-St_Los-Angeles_CA_90063_M19182-82813" TargetMode="External"/><Relationship Id="rId2454" Type="http://schemas.openxmlformats.org/officeDocument/2006/relationships/hyperlink" Target="https://www.realtor.com/realestateandhomes-detail/630-S-Knott-Ave-Apt-6_Anaheim_CA_92804_M17073-86437" TargetMode="External"/><Relationship Id="rId121" Type="http://schemas.openxmlformats.org/officeDocument/2006/relationships/hyperlink" Target="https://www.realtor.com/realestateandhomes-detail/804-Mount-Washington-Dr_Los-Angeles_CA_90065_M11869-79106" TargetMode="External"/><Relationship Id="rId219" Type="http://schemas.openxmlformats.org/officeDocument/2006/relationships/hyperlink" Target="https://www.realtor.com/realestateandhomes-detail/420-S-San-Pedro-St-Apt-509_Los-Angeles_CA_90013_M28024-94521" TargetMode="External"/><Relationship Id="rId426" Type="http://schemas.openxmlformats.org/officeDocument/2006/relationships/hyperlink" Target="https://www.realtor.com/realestateandhomes-detail/120-Sumac-Ln_Fountain-Valley_CA_92708_M14058-32660" TargetMode="External"/><Relationship Id="rId633" Type="http://schemas.openxmlformats.org/officeDocument/2006/relationships/hyperlink" Target="https://www.realtor.com/realestateandhomes-detail/1200-Bel-Air-Rd_Los-Angeles_CA_90077_M17839-35941" TargetMode="External"/><Relationship Id="rId980" Type="http://schemas.openxmlformats.org/officeDocument/2006/relationships/hyperlink" Target="https://www.realtor.com/realestateandhomes-detail/2506-Zorada-Dr_Los-Angeles_CA_90046_M11252-92598" TargetMode="External"/><Relationship Id="rId1056" Type="http://schemas.openxmlformats.org/officeDocument/2006/relationships/hyperlink" Target="https://www.realtor.com/realestateandhomes-detail/1716-Brockton-Ave-Apt-101_Los-Angeles_CA_90025_M15187-14991" TargetMode="External"/><Relationship Id="rId1263" Type="http://schemas.openxmlformats.org/officeDocument/2006/relationships/hyperlink" Target="https://www.realtor.com/realestateandhomes-detail/730-N-Adele-St_Orange_CA_92867_M10921-19428" TargetMode="External"/><Relationship Id="rId2107" Type="http://schemas.openxmlformats.org/officeDocument/2006/relationships/hyperlink" Target="https://www.realtor.com/realestateandhomes-detail/1288-Barry-Ave_Los-Angeles_CA_90025_M10095-51123" TargetMode="External"/><Relationship Id="rId2314" Type="http://schemas.openxmlformats.org/officeDocument/2006/relationships/hyperlink" Target="https://www.realtor.com/realestateandhomes-detail/1437-S-Bonnie-Brae-St_Los-Angeles_CA_90006_M17170-52409" TargetMode="External"/><Relationship Id="rId840" Type="http://schemas.openxmlformats.org/officeDocument/2006/relationships/hyperlink" Target="https://www.realtor.com/realestateandhomes-detail/7304-Balboa-Blvd-Unit-C_Van-Nuys_CA_91406_M10107-63688" TargetMode="External"/><Relationship Id="rId938" Type="http://schemas.openxmlformats.org/officeDocument/2006/relationships/hyperlink" Target="https://www.realtor.com/realestateandhomes-detail/7402-Haskell-Ave_Van-Nuys_CA_91406_M23573-42627" TargetMode="External"/><Relationship Id="rId1470" Type="http://schemas.openxmlformats.org/officeDocument/2006/relationships/hyperlink" Target="https://www.realtor.com/realestateandhomes-detail/532-N-Rossmore-Ave-Apt-107_Los-Angeles_CA_90004_M21953-95510" TargetMode="External"/><Relationship Id="rId1568" Type="http://schemas.openxmlformats.org/officeDocument/2006/relationships/hyperlink" Target="https://www.realtor.com/realestateandhomes-detail/21886-Winnebago-Ln_Lake-Forest_CA_92630_M18578-37271" TargetMode="External"/><Relationship Id="rId1775" Type="http://schemas.openxmlformats.org/officeDocument/2006/relationships/hyperlink" Target="https://www.realtor.com/realestateandhomes-detail/12600-Appleton-Way_Los-Angeles_CA_90066_M21561-70920" TargetMode="External"/><Relationship Id="rId2521" Type="http://schemas.openxmlformats.org/officeDocument/2006/relationships/hyperlink" Target="https://www.realtor.com/realestateandhomes-detail/2563-Columbia-Dr_Costa-Mesa_CA_92626_M27753-00807" TargetMode="External"/><Relationship Id="rId67" Type="http://schemas.openxmlformats.org/officeDocument/2006/relationships/hyperlink" Target="https://www.realtor.com/realestateandhomes-detail/17952-Irvine-Blvd_Tustin_CA_92780_M29597-94339" TargetMode="External"/><Relationship Id="rId700" Type="http://schemas.openxmlformats.org/officeDocument/2006/relationships/hyperlink" Target="https://www.realtor.com/realestateandhomes-detail/8118-S-Western-Ave_Los-Angeles_CA_90047_M15442-02207" TargetMode="External"/><Relationship Id="rId1123" Type="http://schemas.openxmlformats.org/officeDocument/2006/relationships/hyperlink" Target="https://www.realtor.com/realestateandhomes-detail/1508-Sanborn-Ave_Los-Angeles_CA_90027_M24925-37933" TargetMode="External"/><Relationship Id="rId1330" Type="http://schemas.openxmlformats.org/officeDocument/2006/relationships/hyperlink" Target="https://www.realtor.com/realestateandhomes-detail/102-Kauai-Ln_Placentia_CA_92870_M23301-16784" TargetMode="External"/><Relationship Id="rId1428" Type="http://schemas.openxmlformats.org/officeDocument/2006/relationships/hyperlink" Target="https://www.realtor.com/realestateandhomes-detail/416-S-Spring-St-Apt-1210_Los-Angeles_CA_90013_M26075-50902" TargetMode="External"/><Relationship Id="rId1635" Type="http://schemas.openxmlformats.org/officeDocument/2006/relationships/hyperlink" Target="https://www.realtor.com/realestateandhomes-detail/234-E-84th-St_Los-Angeles_CA_90003_M14678-81557" TargetMode="External"/><Relationship Id="rId1982" Type="http://schemas.openxmlformats.org/officeDocument/2006/relationships/hyperlink" Target="https://www.realtor.com/realestateandhomes-detail/1628-N-Formosa-Ave-Apt-A_Los-Angeles_CA_90046_M11999-91214" TargetMode="External"/><Relationship Id="rId1842" Type="http://schemas.openxmlformats.org/officeDocument/2006/relationships/hyperlink" Target="https://www.realtor.com/realestateandhomes-detail/1572-W-37th-Pl_Los-Angeles_CA_90018_M28702-64058" TargetMode="External"/><Relationship Id="rId1702" Type="http://schemas.openxmlformats.org/officeDocument/2006/relationships/hyperlink" Target="https://www.realtor.com/realestateandhomes-detail/6546-Colgate-Ave_Los-Angeles_CA_90048_M19059-88201" TargetMode="External"/><Relationship Id="rId283" Type="http://schemas.openxmlformats.org/officeDocument/2006/relationships/hyperlink" Target="https://www.realtor.com/realestateandhomes-detail/22-28th-Ave_Venice_CA_90291_M28169-23441" TargetMode="External"/><Relationship Id="rId490" Type="http://schemas.openxmlformats.org/officeDocument/2006/relationships/hyperlink" Target="https://www.realtor.com/realestateandhomes-detail/10947-Carrillo-Ct_Cypress_CA_90720_M93660-95500" TargetMode="External"/><Relationship Id="rId2171" Type="http://schemas.openxmlformats.org/officeDocument/2006/relationships/hyperlink" Target="https://www.realtor.com/realestateandhomes-detail/12900-S-Figueroa-St_Los-Angeles_CA_90061_M95905-92478" TargetMode="External"/><Relationship Id="rId143" Type="http://schemas.openxmlformats.org/officeDocument/2006/relationships/hyperlink" Target="https://www.realtor.com/realestateandhomes-detail/635-San-Juan-Ave_Venice_CA_90291_M17521-33571" TargetMode="External"/><Relationship Id="rId350" Type="http://schemas.openxmlformats.org/officeDocument/2006/relationships/hyperlink" Target="https://www.realtor.com/realestateandhomes-detail/32822-Brookseed-Dr_Trabuco-Canyon_CA_92679_M28592-24932" TargetMode="External"/><Relationship Id="rId588" Type="http://schemas.openxmlformats.org/officeDocument/2006/relationships/hyperlink" Target="https://www.realtor.com/realestateandhomes-detail/1912-W-Liberty-Ct_Los-Angeles_CA_90026_M15386-22493" TargetMode="External"/><Relationship Id="rId795" Type="http://schemas.openxmlformats.org/officeDocument/2006/relationships/hyperlink" Target="https://www.realtor.com/realestateandhomes-detail/63-Shearwater-Pl_Newport-Beach_CA_92660_M12592-08542" TargetMode="External"/><Relationship Id="rId2031" Type="http://schemas.openxmlformats.org/officeDocument/2006/relationships/hyperlink" Target="https://www.realtor.com/realestateandhomes-detail/4400-Don-Zarembo-Dr_Los-Angeles_CA_90008_M25479-88187" TargetMode="External"/><Relationship Id="rId2269" Type="http://schemas.openxmlformats.org/officeDocument/2006/relationships/hyperlink" Target="https://www.realtor.com/realestateandhomes-detail/2926-Future-St_Los-Angeles_CA_90065_M16290-89344" TargetMode="External"/><Relationship Id="rId2476" Type="http://schemas.openxmlformats.org/officeDocument/2006/relationships/hyperlink" Target="https://www.realtor.com/realestateandhomes-detail/64-Mann-St_Irvine_CA_92612_M17485-47634" TargetMode="External"/><Relationship Id="rId9" Type="http://schemas.openxmlformats.org/officeDocument/2006/relationships/hyperlink" Target="https://www.realtor.com/realestateandhomes-detail/20212-Via-Medici_Porter-Ranch_CA_91326_M18856-73890" TargetMode="External"/><Relationship Id="rId210" Type="http://schemas.openxmlformats.org/officeDocument/2006/relationships/hyperlink" Target="https://www.realtor.com/realestateandhomes-detail/110-Spiral_Irvine_CA_92618_M90632-59768" TargetMode="External"/><Relationship Id="rId448" Type="http://schemas.openxmlformats.org/officeDocument/2006/relationships/hyperlink" Target="https://www.realtor.com/realestateandhomes-detail/1296-Capri-Dr_Pacific-Palisades_CA_90272_M23225-69651" TargetMode="External"/><Relationship Id="rId655" Type="http://schemas.openxmlformats.org/officeDocument/2006/relationships/hyperlink" Target="https://www.realtor.com/realestateandhomes-detail/620-S-Gramercy-Pl-Apt-130_Los-Angeles_CA_90005_M12800-90982" TargetMode="External"/><Relationship Id="rId862" Type="http://schemas.openxmlformats.org/officeDocument/2006/relationships/hyperlink" Target="https://www.realtor.com/realestateandhomes-detail/2243-Martin-Apt-217_Irvine_CA_92612_M23308-61828" TargetMode="External"/><Relationship Id="rId1078" Type="http://schemas.openxmlformats.org/officeDocument/2006/relationships/hyperlink" Target="https://www.realtor.com/realestateandhomes-detail/10727-Wilshire-Blvd-Ph-2_Los-Angeles_CA_90024_M13339-63748" TargetMode="External"/><Relationship Id="rId1285" Type="http://schemas.openxmlformats.org/officeDocument/2006/relationships/hyperlink" Target="https://www.realtor.com/realestateandhomes-detail/2902-E-Winfield-Ave_Anaheim_CA_92806_M26248-75867" TargetMode="External"/><Relationship Id="rId1492" Type="http://schemas.openxmlformats.org/officeDocument/2006/relationships/hyperlink" Target="https://www.realtor.com/realestateandhomes-detail/60-Ritz-Cove-Dr_Dana-Point_CA_92629_M29554-61768" TargetMode="External"/><Relationship Id="rId2129" Type="http://schemas.openxmlformats.org/officeDocument/2006/relationships/hyperlink" Target="https://www.realtor.com/realestateandhomes-detail/2532-Wabash-Ave_Los-Angeles_CA_90033_M92545-76756" TargetMode="External"/><Relationship Id="rId2336" Type="http://schemas.openxmlformats.org/officeDocument/2006/relationships/hyperlink" Target="https://www.realtor.com/realestateandhomes-detail/1805-Outpost-Dr_Los-Angeles_CA_90068_M10309-72099" TargetMode="External"/><Relationship Id="rId2543" Type="http://schemas.openxmlformats.org/officeDocument/2006/relationships/hyperlink" Target="https://www.realtor.com/realestateandhomes-detail/2141-S-Vern-St_Anaheim_CA_92802_M25166-75166" TargetMode="External"/><Relationship Id="rId308" Type="http://schemas.openxmlformats.org/officeDocument/2006/relationships/hyperlink" Target="https://www.realtor.com/realestateandhomes-detail/717-Moreno-Ave_Los-Angeles_CA_90049_M18745-42590" TargetMode="External"/><Relationship Id="rId515" Type="http://schemas.openxmlformats.org/officeDocument/2006/relationships/hyperlink" Target="https://www.realtor.com/realestateandhomes-detail/3833-Goodland-Ave_Studio-City_CA_91604_M14136-60314" TargetMode="External"/><Relationship Id="rId722" Type="http://schemas.openxmlformats.org/officeDocument/2006/relationships/hyperlink" Target="https://www.realtor.com/realestateandhomes-detail/2677-Roseview-Ave_Los-Angeles_CA_90065_M29591-35108" TargetMode="External"/><Relationship Id="rId1145" Type="http://schemas.openxmlformats.org/officeDocument/2006/relationships/hyperlink" Target="https://www.realtor.com/realestateandhomes-detail/433-S-Arden-Blvd_Los-Angeles_CA_90020_M18717-03533" TargetMode="External"/><Relationship Id="rId1352" Type="http://schemas.openxmlformats.org/officeDocument/2006/relationships/hyperlink" Target="https://www.realtor.com/realestateandhomes-detail/13005-Magnolia-Blvd_Sherman-Oaks_CA_91423_M25306-81046" TargetMode="External"/><Relationship Id="rId1797" Type="http://schemas.openxmlformats.org/officeDocument/2006/relationships/hyperlink" Target="https://www.realtor.com/realestateandhomes-detail/8617-Olin-St_Los-Angeles_CA_90034_M15336-72392" TargetMode="External"/><Relationship Id="rId2403" Type="http://schemas.openxmlformats.org/officeDocument/2006/relationships/hyperlink" Target="https://www.realtor.com/realestateandhomes-detail/181-Bright-Poppy_Irvine_CA_92618_M25609-80395" TargetMode="External"/><Relationship Id="rId89" Type="http://schemas.openxmlformats.org/officeDocument/2006/relationships/hyperlink" Target="https://www.realtor.com/realestateandhomes-detail/501-St-Cloud-Rd_Los-Angeles_CA_90077_M14905-03910" TargetMode="External"/><Relationship Id="rId1005" Type="http://schemas.openxmlformats.org/officeDocument/2006/relationships/hyperlink" Target="https://www.realtor.com/realestateandhomes-detail/10328-Cresta-Dr_Los-Angeles_CA_90064_M18872-48506" TargetMode="External"/><Relationship Id="rId1212" Type="http://schemas.openxmlformats.org/officeDocument/2006/relationships/hyperlink" Target="https://www.realtor.com/realestateandhomes-detail/877-Francisco-St-Apt-1720_Los-Angeles_CA_90017_M26147-62303" TargetMode="External"/><Relationship Id="rId1657" Type="http://schemas.openxmlformats.org/officeDocument/2006/relationships/hyperlink" Target="https://www.realtor.com/realestateandhomes-detail/3450-Vinton-Ave_Los-Angeles_CA_90034_M20654-91509" TargetMode="External"/><Relationship Id="rId1864" Type="http://schemas.openxmlformats.org/officeDocument/2006/relationships/hyperlink" Target="https://www.realtor.com/realestateandhomes-detail/1129-S-Citrus-Ave_Los-Angeles_CA_90019_M20037-07725" TargetMode="External"/><Relationship Id="rId1517" Type="http://schemas.openxmlformats.org/officeDocument/2006/relationships/hyperlink" Target="https://www.realtor.com/realestateandhomes-detail/65-Beacon-Bay_Newport-Beach_CA_92660_M13152-71805" TargetMode="External"/><Relationship Id="rId1724" Type="http://schemas.openxmlformats.org/officeDocument/2006/relationships/hyperlink" Target="https://www.realtor.com/realestateandhomes-detail/4036-Sunswept-Dr_Studio-City_CA_91604_M10210-06745" TargetMode="External"/><Relationship Id="rId16" Type="http://schemas.openxmlformats.org/officeDocument/2006/relationships/hyperlink" Target="https://www.realtor.com/realestateandhomes-detail/13524-D-Este-Dr_Pacific-Palisades_CA_90272_M10558-59850" TargetMode="External"/><Relationship Id="rId1931" Type="http://schemas.openxmlformats.org/officeDocument/2006/relationships/hyperlink" Target="https://www.realtor.com/realestateandhomes-detail/1633-N-Bruce-Ct_Los-Angeles_CA_90026_M97262-66140" TargetMode="External"/><Relationship Id="rId2193" Type="http://schemas.openxmlformats.org/officeDocument/2006/relationships/hyperlink" Target="https://www.realtor.com/realestateandhomes-detail/1016-W-51st-Pl_Los-Angeles_CA_90037_M29315-04842" TargetMode="External"/><Relationship Id="rId2498" Type="http://schemas.openxmlformats.org/officeDocument/2006/relationships/hyperlink" Target="https://www.realtor.com/realestateandhomes-detail/411-S-Rosemary-Ln_Anaheim_CA_92808_M13430-85955" TargetMode="External"/><Relationship Id="rId165" Type="http://schemas.openxmlformats.org/officeDocument/2006/relationships/hyperlink" Target="https://www.realtor.com/realestateandhomes-detail/5307-5307-12-Compton-Ave_Los-Angeles_CA_90011_M96600-57127" TargetMode="External"/><Relationship Id="rId372" Type="http://schemas.openxmlformats.org/officeDocument/2006/relationships/hyperlink" Target="https://www.realtor.com/realestateandhomes-detail/20-Highpoint_Trabuco-Canyon_CA_92679_M14203-17161" TargetMode="External"/><Relationship Id="rId677" Type="http://schemas.openxmlformats.org/officeDocument/2006/relationships/hyperlink" Target="https://www.realtor.com/realestateandhomes-detail/1357-N-Las-Palmas-Ave_Los-Angeles_CA_90028_M26641-26534" TargetMode="External"/><Relationship Id="rId2053" Type="http://schemas.openxmlformats.org/officeDocument/2006/relationships/hyperlink" Target="https://www.realtor.com/realestateandhomes-detail/12007-Rochester-Ave-Apt-3_Los-Angeles_CA_90025_M25887-16714" TargetMode="External"/><Relationship Id="rId2260" Type="http://schemas.openxmlformats.org/officeDocument/2006/relationships/hyperlink" Target="https://www.realtor.com/realestateandhomes-detail/305-S-Mott-St_Los-Angeles_CA_90033_M17717-02807" TargetMode="External"/><Relationship Id="rId2358" Type="http://schemas.openxmlformats.org/officeDocument/2006/relationships/hyperlink" Target="https://www.realtor.com/realestateandhomes-detail/1108-N-Kenmore-Ave_Los-Angeles_CA_90029_M94120-74189" TargetMode="External"/><Relationship Id="rId232" Type="http://schemas.openxmlformats.org/officeDocument/2006/relationships/hyperlink" Target="https://www.realtor.com/realestateandhomes-detail/935-937-W-17th_San-Pedro_CA_90731_M92276-01212" TargetMode="External"/><Relationship Id="rId884" Type="http://schemas.openxmlformats.org/officeDocument/2006/relationships/hyperlink" Target="https://www.realtor.com/realestateandhomes-detail/934-Bonnie-Brae-Ave_Laguna-Beach_CA_92651_M12095-44105" TargetMode="External"/><Relationship Id="rId2120" Type="http://schemas.openxmlformats.org/officeDocument/2006/relationships/hyperlink" Target="https://www.realtor.com/realestateandhomes-detail/2643-Glendale-Blvd_Los-Angeles_CA_90039_M28445-05068" TargetMode="External"/><Relationship Id="rId537" Type="http://schemas.openxmlformats.org/officeDocument/2006/relationships/hyperlink" Target="https://www.realtor.com/realestateandhomes-detail/2005-Via-Mariposa-W-Unit-B_Laguna-Woods_CA_92637_M15747-19741" TargetMode="External"/><Relationship Id="rId744" Type="http://schemas.openxmlformats.org/officeDocument/2006/relationships/hyperlink" Target="https://www.realtor.com/realestateandhomes-detail/709-E-Chestnut-Ave_Santa-Ana_CA_92701_M19550-12327" TargetMode="External"/><Relationship Id="rId951" Type="http://schemas.openxmlformats.org/officeDocument/2006/relationships/hyperlink" Target="https://www.realtor.com/realestateandhomes-detail/354-Amalfi-Dr_Santa-Monica_CA_90402_M28254-44502" TargetMode="External"/><Relationship Id="rId1167" Type="http://schemas.openxmlformats.org/officeDocument/2006/relationships/hyperlink" Target="https://www.realtor.com/realestateandhomes-detail/7035-Woodley-Ave-Unit-116_Van-Nuys_CA_91406_M12802-73675" TargetMode="External"/><Relationship Id="rId1374" Type="http://schemas.openxmlformats.org/officeDocument/2006/relationships/hyperlink" Target="https://www.realtor.com/realestateandhomes-detail/18645-Hatteras-St-Unit-187_Tarzana_CA_91356_M12872-88354" TargetMode="External"/><Relationship Id="rId1581" Type="http://schemas.openxmlformats.org/officeDocument/2006/relationships/hyperlink" Target="https://www.realtor.com/realestateandhomes-detail/108-Grassblade_Irvine_CA_92618_M26408-85423" TargetMode="External"/><Relationship Id="rId1679" Type="http://schemas.openxmlformats.org/officeDocument/2006/relationships/hyperlink" Target="https://www.realtor.com/realestateandhomes-detail/3104-W-43rd-Pl_Los-Angeles_CA_90008_M24592-20712" TargetMode="External"/><Relationship Id="rId2218" Type="http://schemas.openxmlformats.org/officeDocument/2006/relationships/hyperlink" Target="https://www.realtor.com/realestateandhomes-detail/430-Wren-Dr_Los-Angeles_CA_90065_M97002-06777" TargetMode="External"/><Relationship Id="rId2425" Type="http://schemas.openxmlformats.org/officeDocument/2006/relationships/hyperlink" Target="https://www.realtor.com/realestateandhomes-detail/4014-Calle-Sonora-Oeste-Unit-3F_Laguna-Woods_CA_92637_M13119-20255" TargetMode="External"/><Relationship Id="rId80" Type="http://schemas.openxmlformats.org/officeDocument/2006/relationships/hyperlink" Target="https://www.realtor.com/realestateandhomes-detail/16222-Monterey-Ln-Spc-367_Huntington-Beach_CA_92649_M93133-95624" TargetMode="External"/><Relationship Id="rId604" Type="http://schemas.openxmlformats.org/officeDocument/2006/relationships/hyperlink" Target="https://www.realtor.com/realestateandhomes-detail/222-N-Manhattan-Pl_Los-Angeles_CA_90004_M93966-47887" TargetMode="External"/><Relationship Id="rId811" Type="http://schemas.openxmlformats.org/officeDocument/2006/relationships/hyperlink" Target="https://www.realtor.com/realestateandhomes-detail/5805-Whitsett-Ave-Apt-201_Valley-Village_CA_91607_M17212-78838" TargetMode="External"/><Relationship Id="rId1027" Type="http://schemas.openxmlformats.org/officeDocument/2006/relationships/hyperlink" Target="https://www.realtor.com/realestateandhomes-detail/1432-Brett-Pl-Unit-77_San-Pedro_CA_90732_M26617-94524" TargetMode="External"/><Relationship Id="rId1234" Type="http://schemas.openxmlformats.org/officeDocument/2006/relationships/hyperlink" Target="https://www.realtor.com/realestateandhomes-detail/37-Caspian_Lake-Forest_CA_92630_M99839-76270" TargetMode="External"/><Relationship Id="rId1441" Type="http://schemas.openxmlformats.org/officeDocument/2006/relationships/hyperlink" Target="https://www.realtor.com/realestateandhomes-detail/2113-W-Court-St_Los-Angeles_CA_90026_M10148-81834" TargetMode="External"/><Relationship Id="rId1886" Type="http://schemas.openxmlformats.org/officeDocument/2006/relationships/hyperlink" Target="https://www.realtor.com/realestateandhomes-detail/2327-S-Budlong-Ave_Los-Angeles_CA_90007_M12964-74668" TargetMode="External"/><Relationship Id="rId909" Type="http://schemas.openxmlformats.org/officeDocument/2006/relationships/hyperlink" Target="https://www.realtor.com/realestateandhomes-detail/26-Montana-Del-Lago-Dr_Rancho-Santa-Margarita_CA_92688_M16340-58435" TargetMode="External"/><Relationship Id="rId1301" Type="http://schemas.openxmlformats.org/officeDocument/2006/relationships/hyperlink" Target="https://www.realtor.com/realestateandhomes-detail/662-Via-Los-Altos-Unit-Q_Laguna-Woods_CA_92637_M29585-24085" TargetMode="External"/><Relationship Id="rId1539" Type="http://schemas.openxmlformats.org/officeDocument/2006/relationships/hyperlink" Target="https://www.realtor.com/realestateandhomes-detail/3-Via-Amor_Rancho-Santa-Margarita_CA_92688_M24154-24824" TargetMode="External"/><Relationship Id="rId1746" Type="http://schemas.openxmlformats.org/officeDocument/2006/relationships/hyperlink" Target="https://www.realtor.com/realestateandhomes-detail/880-W-1st-St-Apt-712_Los-Angeles_CA_90012_M19313-01923" TargetMode="External"/><Relationship Id="rId1953" Type="http://schemas.openxmlformats.org/officeDocument/2006/relationships/hyperlink" Target="https://www.realtor.com/realestateandhomes-detail/1136-W-10th-St_San-Pedro_CA_90731_M29695-73943" TargetMode="External"/><Relationship Id="rId38" Type="http://schemas.openxmlformats.org/officeDocument/2006/relationships/hyperlink" Target="https://www.realtor.com/realestateandhomes-detail/7511-S-Broadway_Los-Angeles_CA_90003_M14371-55525" TargetMode="External"/><Relationship Id="rId1606" Type="http://schemas.openxmlformats.org/officeDocument/2006/relationships/hyperlink" Target="https://www.realtor.com/realestateandhomes-detail/7515-S-Vermont-Ave_Los-Angeles_CA_90044_M95246-73909" TargetMode="External"/><Relationship Id="rId1813" Type="http://schemas.openxmlformats.org/officeDocument/2006/relationships/hyperlink" Target="https://www.realtor.com/realestateandhomes-detail/1804-Echo-Park-Ave_Los-Angeles_CA_90026_M23797-24234" TargetMode="External"/><Relationship Id="rId187" Type="http://schemas.openxmlformats.org/officeDocument/2006/relationships/hyperlink" Target="https://www.realtor.com/realestateandhomes-detail/2289-W-29th-Pl_Los-Angeles_CA_90018_M12104-64873" TargetMode="External"/><Relationship Id="rId394" Type="http://schemas.openxmlformats.org/officeDocument/2006/relationships/hyperlink" Target="https://www.realtor.com/realestateandhomes-detail/111-Bowery_Irvine_CA_92612_M97537-07013" TargetMode="External"/><Relationship Id="rId2075" Type="http://schemas.openxmlformats.org/officeDocument/2006/relationships/hyperlink" Target="https://www.realtor.com/realestateandhomes-detail/4506-Dockweiler-St-Unit-301_Los-Angeles_CA_90019_M94685-02199" TargetMode="External"/><Relationship Id="rId2282" Type="http://schemas.openxmlformats.org/officeDocument/2006/relationships/hyperlink" Target="https://www.realtor.com/realestateandhomes-detail/13946-Chandler-Blvd_Sherman-Oaks_CA_91401_M18071-74145" TargetMode="External"/><Relationship Id="rId254" Type="http://schemas.openxmlformats.org/officeDocument/2006/relationships/hyperlink" Target="https://www.realtor.com/realestateandhomes-detail/120-Lemon-Grv-34_Irvine_CA_92618_M23357-01353" TargetMode="External"/><Relationship Id="rId699" Type="http://schemas.openxmlformats.org/officeDocument/2006/relationships/hyperlink" Target="https://www.realtor.com/realestateandhomes-detail/11531-Orum-Rd_Los-Angeles_CA_90049_M17980-96999" TargetMode="External"/><Relationship Id="rId1091" Type="http://schemas.openxmlformats.org/officeDocument/2006/relationships/hyperlink" Target="https://www.realtor.com/realestateandhomes-detail/701-Nimes-Rd_Los-Angeles_CA_90077_M14521-19989" TargetMode="External"/><Relationship Id="rId114" Type="http://schemas.openxmlformats.org/officeDocument/2006/relationships/hyperlink" Target="https://www.realtor.com/realestateandhomes-detail/1710-San-Remo-Dr_Pacific-Palisades_CA_90272_M11954-20805" TargetMode="External"/><Relationship Id="rId461" Type="http://schemas.openxmlformats.org/officeDocument/2006/relationships/hyperlink" Target="https://www.realtor.com/realestateandhomes-detail/3334-Oak-Glen-Dr_Los-Angeles_CA_90068_M21222-34945" TargetMode="External"/><Relationship Id="rId559" Type="http://schemas.openxmlformats.org/officeDocument/2006/relationships/hyperlink" Target="https://www.realtor.com/realestateandhomes-detail/4825-Galendo-St_Woodland-Hills_CA_91364_M18962-51120" TargetMode="External"/><Relationship Id="rId766" Type="http://schemas.openxmlformats.org/officeDocument/2006/relationships/hyperlink" Target="https://www.realtor.com/realestateandhomes-detail/24701-Raymond-Way-Spc-89_Lake-Forest_CA_92630_M23119-54113" TargetMode="External"/><Relationship Id="rId1189" Type="http://schemas.openxmlformats.org/officeDocument/2006/relationships/hyperlink" Target="https://www.realtor.com/realestateandhomes-detail/1450-W-35th-Pl_Los-Angeles_CA_90018_M28825-24553" TargetMode="External"/><Relationship Id="rId1396" Type="http://schemas.openxmlformats.org/officeDocument/2006/relationships/hyperlink" Target="https://www.realtor.com/realestateandhomes-detail/20101-Greenbriar-Dr_Tarzana_CA_91356_M20949-53126" TargetMode="External"/><Relationship Id="rId2142" Type="http://schemas.openxmlformats.org/officeDocument/2006/relationships/hyperlink" Target="https://www.realtor.com/realestateandhomes-detail/2500-Fairmount-St_Los-Angeles_CA_90033_M11147-91826" TargetMode="External"/><Relationship Id="rId2447" Type="http://schemas.openxmlformats.org/officeDocument/2006/relationships/hyperlink" Target="https://www.realtor.com/realestateandhomes-detail/2482-Tequestra_Tustin_CA_92782_M14011-88360" TargetMode="External"/><Relationship Id="rId321" Type="http://schemas.openxmlformats.org/officeDocument/2006/relationships/hyperlink" Target="https://www.realtor.com/realestateandhomes-detail/143-N-Reno-St_Los-Angeles_CA_90026_M29600-63607" TargetMode="External"/><Relationship Id="rId419" Type="http://schemas.openxmlformats.org/officeDocument/2006/relationships/hyperlink" Target="https://www.realtor.com/realestateandhomes-detail/1742-Preuss-Rd_Los-Angeles_CA_90035_M18139-46397" TargetMode="External"/><Relationship Id="rId626" Type="http://schemas.openxmlformats.org/officeDocument/2006/relationships/hyperlink" Target="https://www.realtor.com/realestateandhomes-detail/4343-Forman-Ave_Toluca-Lake_CA_91602_M20948-81743" TargetMode="External"/><Relationship Id="rId973" Type="http://schemas.openxmlformats.org/officeDocument/2006/relationships/hyperlink" Target="https://www.realtor.com/realestateandhomes-detail/1123-W-18th-St_Los-Angeles_CA_90015_M16129-12626" TargetMode="External"/><Relationship Id="rId1049" Type="http://schemas.openxmlformats.org/officeDocument/2006/relationships/hyperlink" Target="https://www.realtor.com/realestateandhomes-detail/5827-Bowcroft-St-Unit-2_Los-Angeles_CA_90016_M26344-53398" TargetMode="External"/><Relationship Id="rId1256" Type="http://schemas.openxmlformats.org/officeDocument/2006/relationships/hyperlink" Target="https://www.realtor.com/realestateandhomes-detail/311-Duke-Ln_Santa-Ana_CA_92704_M28951-23468" TargetMode="External"/><Relationship Id="rId2002" Type="http://schemas.openxmlformats.org/officeDocument/2006/relationships/hyperlink" Target="https://www.realtor.com/realestateandhomes-detail/1308-N-Ogden-Dr_West-Hollywood_CA_90046_M28348-04551" TargetMode="External"/><Relationship Id="rId2307" Type="http://schemas.openxmlformats.org/officeDocument/2006/relationships/hyperlink" Target="https://www.realtor.com/realestateandhomes-detail/315-Isabel-St_Los-Angeles_CA_90065_M29931-21647" TargetMode="External"/><Relationship Id="rId833" Type="http://schemas.openxmlformats.org/officeDocument/2006/relationships/hyperlink" Target="https://www.realtor.com/realestateandhomes-detail/6001-Oakdale-Ave_Woodland-Hills_CA_91367_M10939-52644" TargetMode="External"/><Relationship Id="rId1116" Type="http://schemas.openxmlformats.org/officeDocument/2006/relationships/hyperlink" Target="https://www.realtor.com/realestateandhomes-detail/5316-Lennox-Ave_Sherman-Oaks_CA_91401_M13953-88171" TargetMode="External"/><Relationship Id="rId1463" Type="http://schemas.openxmlformats.org/officeDocument/2006/relationships/hyperlink" Target="https://www.realtor.com/realestateandhomes-detail/2727-Ocean-Blvd_Corona-Del-Mar_CA_92625_M19653-11026" TargetMode="External"/><Relationship Id="rId1670" Type="http://schemas.openxmlformats.org/officeDocument/2006/relationships/hyperlink" Target="https://www.realtor.com/realestateandhomes-detail/2008-S-Bedford-St_Los-Angeles_CA_90034_M17731-02924" TargetMode="External"/><Relationship Id="rId1768" Type="http://schemas.openxmlformats.org/officeDocument/2006/relationships/hyperlink" Target="https://www.realtor.com/realestateandhomes-detail/1421-W-Sunrise-Ln_San-Pedro_CA_90732_M96453-15019" TargetMode="External"/><Relationship Id="rId2514" Type="http://schemas.openxmlformats.org/officeDocument/2006/relationships/hyperlink" Target="https://www.realtor.com/realestateandhomes-detail/540-W-93rd-St_Los-Angeles_CA_90044_M16943-09423" TargetMode="External"/><Relationship Id="rId900" Type="http://schemas.openxmlformats.org/officeDocument/2006/relationships/hyperlink" Target="https://www.realtor.com/realestateandhomes-detail/1854-Port-Margate-Pl_Newport-Beach_CA_92660_M19099-46431" TargetMode="External"/><Relationship Id="rId1323" Type="http://schemas.openxmlformats.org/officeDocument/2006/relationships/hyperlink" Target="https://www.realtor.com/realestateandhomes-detail/11740-W-Sunset-Blvd-Apt-14_Los-Angeles_CA_90049_M24509-23247" TargetMode="External"/><Relationship Id="rId1530" Type="http://schemas.openxmlformats.org/officeDocument/2006/relationships/hyperlink" Target="https://www.realtor.com/realestateandhomes-detail/27501-Boothill-Ct_Laguna-Hills_CA_92653_M10074-54356" TargetMode="External"/><Relationship Id="rId1628" Type="http://schemas.openxmlformats.org/officeDocument/2006/relationships/hyperlink" Target="https://www.realtor.com/realestateandhomes-detail/889-Francisco-St-Unit-807_Los-Angeles_CA_90017_M29898-11823" TargetMode="External"/><Relationship Id="rId1975" Type="http://schemas.openxmlformats.org/officeDocument/2006/relationships/hyperlink" Target="https://www.realtor.com/realestateandhomes-detail/1321-Via-Sebastian-Unit-12_San-Pedro_CA_90732_M26942-15894" TargetMode="External"/><Relationship Id="rId1835" Type="http://schemas.openxmlformats.org/officeDocument/2006/relationships/hyperlink" Target="https://www.realtor.com/realestateandhomes-detail/13028-S-Main-St_Los-Angeles_CA_90061_M14195-73523" TargetMode="External"/><Relationship Id="rId1902" Type="http://schemas.openxmlformats.org/officeDocument/2006/relationships/hyperlink" Target="https://www.realtor.com/realestateandhomes-detail/1547-Sunset-Plaza-Dr_Los-Angeles_CA_90069_M29538-31971" TargetMode="External"/><Relationship Id="rId2097" Type="http://schemas.openxmlformats.org/officeDocument/2006/relationships/hyperlink" Target="https://www.realtor.com/realestateandhomes-detail/183-Lantana-Dr_Stanton_CA_90680_M90657-82325" TargetMode="External"/><Relationship Id="rId276" Type="http://schemas.openxmlformats.org/officeDocument/2006/relationships/hyperlink" Target="https://www.realtor.com/realestateandhomes-detail/453-Seaward-Rd_Corona-Del-Mar_CA_92625_M22071-61643" TargetMode="External"/><Relationship Id="rId483" Type="http://schemas.openxmlformats.org/officeDocument/2006/relationships/hyperlink" Target="https://www.realtor.com/realestateandhomes-detail/1000-W-Macarthur-Blvd-Apt-11_Santa-Ana_CA_92707_M24577-89627" TargetMode="External"/><Relationship Id="rId690" Type="http://schemas.openxmlformats.org/officeDocument/2006/relationships/hyperlink" Target="https://www.realtor.com/realestateandhomes-detail/620-S-Gramercy-Pl-Apt-135_Los-Angeles_CA_90005_M10062-50199" TargetMode="External"/><Relationship Id="rId2164" Type="http://schemas.openxmlformats.org/officeDocument/2006/relationships/hyperlink" Target="https://www.realtor.com/realestateandhomes-detail/840-N-Lynn-Dr_Orange_CA_92867_M12101-03402" TargetMode="External"/><Relationship Id="rId2371" Type="http://schemas.openxmlformats.org/officeDocument/2006/relationships/hyperlink" Target="https://www.realtor.com/realestateandhomes-detail/5-Curl-Dr_Corona-Del-Mar_CA_92625_M19568-26986" TargetMode="External"/><Relationship Id="rId136" Type="http://schemas.openxmlformats.org/officeDocument/2006/relationships/hyperlink" Target="https://www.realtor.com/realestateandhomes-detail/730-S-Stillwater-Ln_Anaheim_CA_92807_M23510-11605" TargetMode="External"/><Relationship Id="rId343" Type="http://schemas.openxmlformats.org/officeDocument/2006/relationships/hyperlink" Target="https://www.realtor.com/realestateandhomes-detail/8766-Tulare-Dr-Unit-405B_Huntington-Beach_CA_92646_M98963-25428" TargetMode="External"/><Relationship Id="rId550" Type="http://schemas.openxmlformats.org/officeDocument/2006/relationships/hyperlink" Target="https://www.realtor.com/realestateandhomes-detail/804-Mount-Washington-Dr_Los-Angeles_CA_90065_M11869-79106" TargetMode="External"/><Relationship Id="rId788" Type="http://schemas.openxmlformats.org/officeDocument/2006/relationships/hyperlink" Target="https://www.realtor.com/realestateandhomes-detail/501-E-Orangethorpe-Ave-31_Anaheim_CA_92801_M13174-77220" TargetMode="External"/><Relationship Id="rId995" Type="http://schemas.openxmlformats.org/officeDocument/2006/relationships/hyperlink" Target="https://www.realtor.com/realestateandhomes-detail/611-W-109th-St_Los-Angeles_CA_90044_M23170-60589" TargetMode="External"/><Relationship Id="rId1180" Type="http://schemas.openxmlformats.org/officeDocument/2006/relationships/hyperlink" Target="https://www.realtor.com/realestateandhomes-detail/1644-E-110th-St_Los-Angeles_CA_90059_M25313-02491" TargetMode="External"/><Relationship Id="rId2024" Type="http://schemas.openxmlformats.org/officeDocument/2006/relationships/hyperlink" Target="https://www.realtor.com/realestateandhomes-detail/1717-E-122nd-St_Los-Angeles_CA_90059_M18518-95722" TargetMode="External"/><Relationship Id="rId2231" Type="http://schemas.openxmlformats.org/officeDocument/2006/relationships/hyperlink" Target="https://www.realtor.com/realestateandhomes-detail/240-North-Avenue-49_Los-Angeles_CA_90042_M12493-62293" TargetMode="External"/><Relationship Id="rId2469" Type="http://schemas.openxmlformats.org/officeDocument/2006/relationships/hyperlink" Target="https://www.realtor.com/realestateandhomes-detail/5200-Irvine-Blvd-Spc-109_Irvine_CA_92620_M14830-10427" TargetMode="External"/><Relationship Id="rId203" Type="http://schemas.openxmlformats.org/officeDocument/2006/relationships/hyperlink" Target="https://www.realtor.com/realestateandhomes-detail/3470-Bahia-Blanca-W-Unit-B_Laguna-Woods_CA_92637_M15610-25684" TargetMode="External"/><Relationship Id="rId648" Type="http://schemas.openxmlformats.org/officeDocument/2006/relationships/hyperlink" Target="https://www.realtor.com/realestateandhomes-detail/1042-S-Crescent-Heights-Blvd_Los-Angeles_CA_90035_M20992-94868" TargetMode="External"/><Relationship Id="rId855" Type="http://schemas.openxmlformats.org/officeDocument/2006/relationships/hyperlink" Target="https://www.realtor.com/realestateandhomes-detail/1605-S-Bonnie-Brae-St_Los-Angeles_CA_90006_M28335-08466" TargetMode="External"/><Relationship Id="rId1040" Type="http://schemas.openxmlformats.org/officeDocument/2006/relationships/hyperlink" Target="https://www.realtor.com/realestateandhomes-detail/Isla-Playa-De-Novillero-Tecuala-Nayarit-Mexico_CA_90077_M98719-49839" TargetMode="External"/><Relationship Id="rId1278" Type="http://schemas.openxmlformats.org/officeDocument/2006/relationships/hyperlink" Target="https://www.realtor.com/realestateandhomes-detail/1910-W-Palmyra-Ave-Unit-112_Orange_CA_92868_M12156-18762" TargetMode="External"/><Relationship Id="rId1485" Type="http://schemas.openxmlformats.org/officeDocument/2006/relationships/hyperlink" Target="https://www.realtor.com/realestateandhomes-detail/22552-Taranto_Laguna-Hills_CA_92653_M21061-77511" TargetMode="External"/><Relationship Id="rId1692" Type="http://schemas.openxmlformats.org/officeDocument/2006/relationships/hyperlink" Target="https://www.realtor.com/realestateandhomes-detail/3794-Rosewood-Ave_Los-Angeles_CA_90066_M20087-09585" TargetMode="External"/><Relationship Id="rId2329" Type="http://schemas.openxmlformats.org/officeDocument/2006/relationships/hyperlink" Target="https://www.realtor.com/realestateandhomes-detail/26511-Granvia-Dr_Mission-Viejo_CA_92691_M18971-30095" TargetMode="External"/><Relationship Id="rId2536" Type="http://schemas.openxmlformats.org/officeDocument/2006/relationships/hyperlink" Target="https://www.realtor.com/realestateandhomes-detail/2038-Redfield-St_Fullerton_CA_92833_M27417-59746" TargetMode="External"/><Relationship Id="rId410" Type="http://schemas.openxmlformats.org/officeDocument/2006/relationships/hyperlink" Target="https://www.realtor.com/realestateandhomes-detail/608-Westminster-Ave_Venice_CA_90291_M28929-45964" TargetMode="External"/><Relationship Id="rId508" Type="http://schemas.openxmlformats.org/officeDocument/2006/relationships/hyperlink" Target="https://www.realtor.com/realestateandhomes-detail/23755-Clarendon-St_Woodland-Hills_CA_91367_M19453-15845" TargetMode="External"/><Relationship Id="rId715" Type="http://schemas.openxmlformats.org/officeDocument/2006/relationships/hyperlink" Target="https://www.realtor.com/realestateandhomes-detail/1-La-Tuna-Canyon-Rd_Los-Angeles_CA_91352_M94251-12132" TargetMode="External"/><Relationship Id="rId922" Type="http://schemas.openxmlformats.org/officeDocument/2006/relationships/hyperlink" Target="https://www.realtor.com/realestateandhomes-detail/2516-N-Tustin-Ave-Unit-A_Santa-Ana_CA_92705_M21357-05741" TargetMode="External"/><Relationship Id="rId1138" Type="http://schemas.openxmlformats.org/officeDocument/2006/relationships/hyperlink" Target="https://www.realtor.com/realestateandhomes-detail/16708-Chaplin-Ave_Encino_CA_91436_M10473-84737" TargetMode="External"/><Relationship Id="rId1345" Type="http://schemas.openxmlformats.org/officeDocument/2006/relationships/hyperlink" Target="https://www.realtor.com/realestateandhomes-detail/11750-Hatteras-St_Valley-Village_CA_91607_M23474-44408" TargetMode="External"/><Relationship Id="rId1552" Type="http://schemas.openxmlformats.org/officeDocument/2006/relationships/hyperlink" Target="https://www.realtor.com/realestateandhomes-detail/27075-LA-Fuente_Mission-Viejo_CA_92692_M15159-36769" TargetMode="External"/><Relationship Id="rId1997" Type="http://schemas.openxmlformats.org/officeDocument/2006/relationships/hyperlink" Target="https://www.realtor.com/realestateandhomes-detail/3335-Folsom-St_Los-Angeles_CA_90063_M23761-71740" TargetMode="External"/><Relationship Id="rId1205" Type="http://schemas.openxmlformats.org/officeDocument/2006/relationships/hyperlink" Target="https://www.realtor.com/realestateandhomes-detail/95-Wildwood_Irvine_CA_92604_M90371-20765" TargetMode="External"/><Relationship Id="rId1857" Type="http://schemas.openxmlformats.org/officeDocument/2006/relationships/hyperlink" Target="https://www.realtor.com/realestateandhomes-detail/7737-Denrock-Ave_Los-Angeles_CA_90045_M14628-23538" TargetMode="External"/><Relationship Id="rId51" Type="http://schemas.openxmlformats.org/officeDocument/2006/relationships/hyperlink" Target="https://www.realtor.com/realestateandhomes-detail/63-Tuberose-St_Ladera-Ranch_CA_92694_M29818-13129" TargetMode="External"/><Relationship Id="rId1412" Type="http://schemas.openxmlformats.org/officeDocument/2006/relationships/hyperlink" Target="https://www.realtor.com/realestateandhomes-detail/6254-Etiwanda-Ave_Tarzana_CA_91335_M23197-52663" TargetMode="External"/><Relationship Id="rId1717" Type="http://schemas.openxmlformats.org/officeDocument/2006/relationships/hyperlink" Target="https://www.realtor.com/realestateandhomes-detail/3084-Franklin-Canyon-Dr_Beverly-Hills_CA_90210_M24615-05307" TargetMode="External"/><Relationship Id="rId1924" Type="http://schemas.openxmlformats.org/officeDocument/2006/relationships/hyperlink" Target="https://www.realtor.com/realestateandhomes-detail/18330-Hanan-Ct_Tarzana_CA_91356_M14539-78915" TargetMode="External"/><Relationship Id="rId298" Type="http://schemas.openxmlformats.org/officeDocument/2006/relationships/hyperlink" Target="https://www.realtor.com/realestateandhomes-detail/800-El-Oro-Ln_Pacific-Palisades_CA_90272_M10171-03270" TargetMode="External"/><Relationship Id="rId158" Type="http://schemas.openxmlformats.org/officeDocument/2006/relationships/hyperlink" Target="https://www.realtor.com/realestateandhomes-detail/12406-Magnolia-Blvd_Valley-Village_CA_91607_M28221-00716" TargetMode="External"/><Relationship Id="rId2186" Type="http://schemas.openxmlformats.org/officeDocument/2006/relationships/hyperlink" Target="https://www.realtor.com/realestateandhomes-detail/13210-Seaview-Ln-M10-250D_Seal-Beach_CA_90740_M92545-21886" TargetMode="External"/><Relationship Id="rId2393" Type="http://schemas.openxmlformats.org/officeDocument/2006/relationships/hyperlink" Target="https://www.realtor.com/realestateandhomes-detail/7915-Cerritos-Ave_Stanton_CA_90680_M94809-13341" TargetMode="External"/><Relationship Id="rId365" Type="http://schemas.openxmlformats.org/officeDocument/2006/relationships/hyperlink" Target="https://www.realtor.com/realestateandhomes-detail/12601-Van-Nuys-Blvd-Unit-111_Pacoima_CA_91331_M22966-28183" TargetMode="External"/><Relationship Id="rId572" Type="http://schemas.openxmlformats.org/officeDocument/2006/relationships/hyperlink" Target="https://www.realtor.com/realestateandhomes-detail/629-Balboa-Ave_Laguna-Beach_CA_92651_M90260-08475" TargetMode="External"/><Relationship Id="rId2046" Type="http://schemas.openxmlformats.org/officeDocument/2006/relationships/hyperlink" Target="https://www.realtor.com/realestateandhomes-detail/1647-W-215th-St_Torrance_CA_90501_M19925-84101" TargetMode="External"/><Relationship Id="rId2253" Type="http://schemas.openxmlformats.org/officeDocument/2006/relationships/hyperlink" Target="https://www.realtor.com/realestateandhomes-detail/Forest-Park-Dr_Los-Angeles_CA_90032_M93505-57134" TargetMode="External"/><Relationship Id="rId2460" Type="http://schemas.openxmlformats.org/officeDocument/2006/relationships/hyperlink" Target="https://www.realtor.com/realestateandhomes-detail/4179-Andros-Cir_Huntington-Beach_CA_92649_M24761-44341" TargetMode="External"/><Relationship Id="rId225" Type="http://schemas.openxmlformats.org/officeDocument/2006/relationships/hyperlink" Target="https://www.realtor.com/realestateandhomes-detail/8777-Hollywood-Blvd_Los-Angeles_CA_90069_M91383-21482" TargetMode="External"/><Relationship Id="rId432" Type="http://schemas.openxmlformats.org/officeDocument/2006/relationships/hyperlink" Target="https://www.realtor.com/realestateandhomes-detail/4732-Del-Moreno-Dr_Woodland-Hills_CA_91364_M19396-65943" TargetMode="External"/><Relationship Id="rId877" Type="http://schemas.openxmlformats.org/officeDocument/2006/relationships/hyperlink" Target="https://www.realtor.com/realestateandhomes-detail/5-Le-Conte_Laguna-Niguel_CA_92677_M21346-07818" TargetMode="External"/><Relationship Id="rId1062" Type="http://schemas.openxmlformats.org/officeDocument/2006/relationships/hyperlink" Target="https://www.realtor.com/realestateandhomes-detail/312-W-5th-St-Apt-606_Los-Angeles_CA_90013_M14798-43771" TargetMode="External"/><Relationship Id="rId2113" Type="http://schemas.openxmlformats.org/officeDocument/2006/relationships/hyperlink" Target="https://www.realtor.com/realestateandhomes-detail/2449-Riverside-Pl_Los-Angeles_CA_90039_M28443-18739" TargetMode="External"/><Relationship Id="rId2320" Type="http://schemas.openxmlformats.org/officeDocument/2006/relationships/hyperlink" Target="https://www.realtor.com/realestateandhomes-detail/3880-Hogan-Dr_Yorba-Linda_CA_92886_M19917-51288" TargetMode="External"/><Relationship Id="rId737" Type="http://schemas.openxmlformats.org/officeDocument/2006/relationships/hyperlink" Target="https://www.realtor.com/realestateandhomes-detail/420-S-San-Pedro-St-Apt-306_Los-Angeles_CA_90013_M28014-51074" TargetMode="External"/><Relationship Id="rId944" Type="http://schemas.openxmlformats.org/officeDocument/2006/relationships/hyperlink" Target="https://www.realtor.com/realestateandhomes-detail/2338-Avenida-Sevilla-Apt-N_Laguna-Woods_CA_92637_M29547-16050" TargetMode="External"/><Relationship Id="rId1367" Type="http://schemas.openxmlformats.org/officeDocument/2006/relationships/hyperlink" Target="https://www.realtor.com/realestateandhomes-detail/Helen_Shadow-Hills_CA_91040_M11965-03135" TargetMode="External"/><Relationship Id="rId1574" Type="http://schemas.openxmlformats.org/officeDocument/2006/relationships/hyperlink" Target="https://www.realtor.com/realestateandhomes-detail/20171-Bayview-Ave_Newport-Beach_CA_92660_M10724-31638" TargetMode="External"/><Relationship Id="rId1781" Type="http://schemas.openxmlformats.org/officeDocument/2006/relationships/hyperlink" Target="https://www.realtor.com/realestateandhomes-detail/850-Jacon-Way_Pacific-Palisades_CA_90272_M29417-88774" TargetMode="External"/><Relationship Id="rId2418" Type="http://schemas.openxmlformats.org/officeDocument/2006/relationships/hyperlink" Target="https://www.realtor.com/realestateandhomes-detail/2060-Newport-Blvd_Costa-Mesa_CA_92627_M93525-32884" TargetMode="External"/><Relationship Id="rId73" Type="http://schemas.openxmlformats.org/officeDocument/2006/relationships/hyperlink" Target="https://www.realtor.com/realestateandhomes-detail/10430-Wilshire-Blvd-Apt-1005_Los-Angeles_CA_90024_M25320-61109" TargetMode="External"/><Relationship Id="rId804" Type="http://schemas.openxmlformats.org/officeDocument/2006/relationships/hyperlink" Target="https://www.realtor.com/realestateandhomes-detail/508-Ebb-Tide-Dr_San-Clemente_CA_92672_M27088-56915" TargetMode="External"/><Relationship Id="rId1227" Type="http://schemas.openxmlformats.org/officeDocument/2006/relationships/hyperlink" Target="https://www.realtor.com/realestateandhomes-detail/4536-Maycrest-Ave_Los-Angeles_CA_90032_M20784-40461" TargetMode="External"/><Relationship Id="rId1434" Type="http://schemas.openxmlformats.org/officeDocument/2006/relationships/hyperlink" Target="https://www.realtor.com/realestateandhomes-detail/5325-Newcastle-Ave-Unit-322_Encino_CA_91316_M15277-65481" TargetMode="External"/><Relationship Id="rId1641" Type="http://schemas.openxmlformats.org/officeDocument/2006/relationships/hyperlink" Target="https://www.realtor.com/realestateandhomes-detail/3654-Lavell-Dr_Los-Angeles_CA_90065_M11263-84683" TargetMode="External"/><Relationship Id="rId1879" Type="http://schemas.openxmlformats.org/officeDocument/2006/relationships/hyperlink" Target="https://www.realtor.com/realestateandhomes-detail/575-S-Barrington-Ave-Apt-107_Los-Angeles_CA_90049_M25800-11004" TargetMode="External"/><Relationship Id="rId1501" Type="http://schemas.openxmlformats.org/officeDocument/2006/relationships/hyperlink" Target="https://www.realtor.com/realestateandhomes-detail/6821-11th-Ave_Los-Angeles_CA_90043_M95884-47730" TargetMode="External"/><Relationship Id="rId1739" Type="http://schemas.openxmlformats.org/officeDocument/2006/relationships/hyperlink" Target="https://www.realtor.com/realestateandhomes-detail/16645-Akron-St_Pacific-Palisades_CA_90272_M29369-81468" TargetMode="External"/><Relationship Id="rId1946" Type="http://schemas.openxmlformats.org/officeDocument/2006/relationships/hyperlink" Target="https://www.realtor.com/realestateandhomes-detail/4731-Deseret-Dr_Woodland-Hills_CA_91364_M27255-90149" TargetMode="External"/><Relationship Id="rId1806" Type="http://schemas.openxmlformats.org/officeDocument/2006/relationships/hyperlink" Target="https://www.realtor.com/realestateandhomes-detail/1274-N-Clark-St_West-Hollywood_CA_90069_M11442-07495" TargetMode="External"/><Relationship Id="rId387" Type="http://schemas.openxmlformats.org/officeDocument/2006/relationships/hyperlink" Target="https://www.realtor.com/realestateandhomes-detail/3936-Mont-Clair-St_Los-Angeles_CA_90018_M91817-40235" TargetMode="External"/><Relationship Id="rId594" Type="http://schemas.openxmlformats.org/officeDocument/2006/relationships/hyperlink" Target="https://www.realtor.com/realestateandhomes-detail/1239-Gordon-St_Los-Angeles_CA_90038_M25217-70634" TargetMode="External"/><Relationship Id="rId2068" Type="http://schemas.openxmlformats.org/officeDocument/2006/relationships/hyperlink" Target="https://www.realtor.com/realestateandhomes-detail/9427-Baird-Ave_Los-Angeles_CA_90002_M19498-41991" TargetMode="External"/><Relationship Id="rId2275" Type="http://schemas.openxmlformats.org/officeDocument/2006/relationships/hyperlink" Target="https://www.realtor.com/realestateandhomes-detail/2672-Newell-St_Los-Angeles_CA_90039_M28699-94973" TargetMode="External"/><Relationship Id="rId247" Type="http://schemas.openxmlformats.org/officeDocument/2006/relationships/hyperlink" Target="https://www.realtor.com/realestateandhomes-detail/8766-Tulare-Dr-Unit-405B_Huntington-Beach_CA_92646_M98963-25428" TargetMode="External"/><Relationship Id="rId899" Type="http://schemas.openxmlformats.org/officeDocument/2006/relationships/hyperlink" Target="https://www.realtor.com/realestateandhomes-detail/268-Overbrook_Irvine_CA_92620_M28979-34829" TargetMode="External"/><Relationship Id="rId1084" Type="http://schemas.openxmlformats.org/officeDocument/2006/relationships/hyperlink" Target="https://www.realtor.com/realestateandhomes-detail/2275-W-25th-St-Spc-12_San-Pedro_CA_90732_M10884-32208" TargetMode="External"/><Relationship Id="rId2482" Type="http://schemas.openxmlformats.org/officeDocument/2006/relationships/hyperlink" Target="https://www.realtor.com/realestateandhomes-detail/2590-Iris-Way_Laguna-Beach_CA_92651_M27999-13724" TargetMode="External"/><Relationship Id="rId107" Type="http://schemas.openxmlformats.org/officeDocument/2006/relationships/hyperlink" Target="https://www.realtor.com/realestateandhomes-detail/877-Francisco-St-Apt-4111_Los-Angeles_CA_90017_M21068-19284" TargetMode="External"/><Relationship Id="rId454" Type="http://schemas.openxmlformats.org/officeDocument/2006/relationships/hyperlink" Target="https://www.realtor.com/realestateandhomes-detail/731-Record-Dr_Los-Angeles_CA_90063_M17563-10413" TargetMode="External"/><Relationship Id="rId661" Type="http://schemas.openxmlformats.org/officeDocument/2006/relationships/hyperlink" Target="https://www.realtor.com/realestateandhomes-detail/51-27th-Ave_Venice_CA_90291_M13473-50903" TargetMode="External"/><Relationship Id="rId759" Type="http://schemas.openxmlformats.org/officeDocument/2006/relationships/hyperlink" Target="https://www.realtor.com/realestateandhomes-detail/113-Yorktown_Newport-Beach_CA_92660_M21280-01566" TargetMode="External"/><Relationship Id="rId966" Type="http://schemas.openxmlformats.org/officeDocument/2006/relationships/hyperlink" Target="https://www.realtor.com/realestateandhomes-detail/8454-Naylor-Ave_Los-Angeles_CA_90045_M13569-50995" TargetMode="External"/><Relationship Id="rId1291" Type="http://schemas.openxmlformats.org/officeDocument/2006/relationships/hyperlink" Target="https://www.realtor.com/realestateandhomes-detail/2057-N-Bush-St_Santa-Ana_CA_92706_M29133-01513" TargetMode="External"/><Relationship Id="rId1389" Type="http://schemas.openxmlformats.org/officeDocument/2006/relationships/hyperlink" Target="https://www.realtor.com/realestateandhomes-detail/4022-Willowcrest-Ave_Studio-City_CA_91604_M20685-34721" TargetMode="External"/><Relationship Id="rId1596" Type="http://schemas.openxmlformats.org/officeDocument/2006/relationships/hyperlink" Target="https://www.realtor.com/realestateandhomes-detail/2956-W-15th-St_Los-Angeles_CA_90006_M18177-50672" TargetMode="External"/><Relationship Id="rId2135" Type="http://schemas.openxmlformats.org/officeDocument/2006/relationships/hyperlink" Target="https://www.realtor.com/realestateandhomes-detail/11721-Norgrove-Ln_Rossmoor_CA_90720_M12272-47662" TargetMode="External"/><Relationship Id="rId2342" Type="http://schemas.openxmlformats.org/officeDocument/2006/relationships/hyperlink" Target="https://www.realtor.com/realestateandhomes-detail/1705-Shady-Brook-Dr-37_Fullerton_CA_92831_M91138-89588" TargetMode="External"/><Relationship Id="rId314" Type="http://schemas.openxmlformats.org/officeDocument/2006/relationships/hyperlink" Target="https://www.realtor.com/realestateandhomes-detail/437-Puerto-Del-Mar_Pacific-Palisades_CA_90272_M29004-98110" TargetMode="External"/><Relationship Id="rId521" Type="http://schemas.openxmlformats.org/officeDocument/2006/relationships/hyperlink" Target="https://www.realtor.com/realestateandhomes-detail/5717-Melvin-Ave_Tarzana_CA_91356_M10993-56206" TargetMode="External"/><Relationship Id="rId619" Type="http://schemas.openxmlformats.org/officeDocument/2006/relationships/hyperlink" Target="https://www.realtor.com/realestateandhomes-detail/2904-Beach-Ave_Venice_CA_90291_M14191-62375" TargetMode="External"/><Relationship Id="rId1151" Type="http://schemas.openxmlformats.org/officeDocument/2006/relationships/hyperlink" Target="https://www.realtor.com/realestateandhomes-detail/1520-W-215th-St_Torrance_CA_90501_M19698-89142" TargetMode="External"/><Relationship Id="rId1249" Type="http://schemas.openxmlformats.org/officeDocument/2006/relationships/hyperlink" Target="https://www.realtor.com/realestateandhomes-detail/2902-E-Winfield-Ave_Anaheim_CA_92806_M26248-75867" TargetMode="External"/><Relationship Id="rId2202" Type="http://schemas.openxmlformats.org/officeDocument/2006/relationships/hyperlink" Target="https://www.realtor.com/realestateandhomes-detail/5612-S-Rimpau-Blvd_Los-Angeles_CA_90043_M19295-59872" TargetMode="External"/><Relationship Id="rId95" Type="http://schemas.openxmlformats.org/officeDocument/2006/relationships/hyperlink" Target="https://www.realtor.com/realestateandhomes-detail/921-N-Benton-Way_Los-Angeles_CA_90026_M22046-11570" TargetMode="External"/><Relationship Id="rId826" Type="http://schemas.openxmlformats.org/officeDocument/2006/relationships/hyperlink" Target="https://www.realtor.com/realestateandhomes-detail/1333-S-Beverly-Glen-Blvd-Apt-402_Los-Angeles_CA_90024_M24640-44037" TargetMode="External"/><Relationship Id="rId1011" Type="http://schemas.openxmlformats.org/officeDocument/2006/relationships/hyperlink" Target="https://www.realtor.com/realestateandhomes-detail/716-W-30th-St_Los-Angeles_CA_90007_M20169-74309" TargetMode="External"/><Relationship Id="rId1109" Type="http://schemas.openxmlformats.org/officeDocument/2006/relationships/hyperlink" Target="https://www.realtor.com/realestateandhomes-detail/17236-Weddington-St_Encino_CA_91316_M20714-26944" TargetMode="External"/><Relationship Id="rId1456" Type="http://schemas.openxmlformats.org/officeDocument/2006/relationships/hyperlink" Target="https://www.realtor.com/realestateandhomes-detail/1409-Dolphin-Ter_Corona-Del-Mar_CA_92625_M20012-72660" TargetMode="External"/><Relationship Id="rId1663" Type="http://schemas.openxmlformats.org/officeDocument/2006/relationships/hyperlink" Target="https://www.realtor.com/realestateandhomes-detail/4835-Pickford-St_Los-Angeles_CA_90019_M15761-18301" TargetMode="External"/><Relationship Id="rId1870" Type="http://schemas.openxmlformats.org/officeDocument/2006/relationships/hyperlink" Target="https://www.realtor.com/realestateandhomes-detail/5637-Riverton-Ave_North-Hollywood_CA_91601_M94395-96864" TargetMode="External"/><Relationship Id="rId1968" Type="http://schemas.openxmlformats.org/officeDocument/2006/relationships/hyperlink" Target="https://www.realtor.com/realestateandhomes-detail/2496-Butler-Ave_Los-Angeles_CA_90064_M25156-75466" TargetMode="External"/><Relationship Id="rId2507" Type="http://schemas.openxmlformats.org/officeDocument/2006/relationships/hyperlink" Target="https://www.realtor.com/realestateandhomes-detail/16742-Intrepid-Ln_Huntington-Beach_CA_92649_M24143-57410" TargetMode="External"/><Relationship Id="rId1316" Type="http://schemas.openxmlformats.org/officeDocument/2006/relationships/hyperlink" Target="https://www.realtor.com/realestateandhomes-detail/3761-Lake-Glen-Dr-146_Yorba-Linda_CA_92886_M98951-18552" TargetMode="External"/><Relationship Id="rId1523" Type="http://schemas.openxmlformats.org/officeDocument/2006/relationships/hyperlink" Target="https://www.realtor.com/realestateandhomes-detail/95-Calle-Aragon-Unit-A_Laguna-Woods_CA_92637_M92151-23769" TargetMode="External"/><Relationship Id="rId1730" Type="http://schemas.openxmlformats.org/officeDocument/2006/relationships/hyperlink" Target="https://www.realtor.com/realestateandhomes-detail/1242-S-Barrington-Ave-Apt-205_Los-Angeles_CA_90025_M10146-19292" TargetMode="External"/><Relationship Id="rId22" Type="http://schemas.openxmlformats.org/officeDocument/2006/relationships/hyperlink" Target="https://www.realtor.com/realestateandhomes-detail/514-N-Hayworth-Ave_Los-Angeles_CA_90048_M11598-69185" TargetMode="External"/><Relationship Id="rId1828" Type="http://schemas.openxmlformats.org/officeDocument/2006/relationships/hyperlink" Target="https://www.realtor.com/realestateandhomes-detail/719-Oro-Ter_San-Pedro_CA_90731_M92735-73188" TargetMode="External"/><Relationship Id="rId171" Type="http://schemas.openxmlformats.org/officeDocument/2006/relationships/hyperlink" Target="https://www.realtor.com/realestateandhomes-detail/3605-Camino-Real_Mount-Washington_CA_90065_M92145-50852" TargetMode="External"/><Relationship Id="rId2297" Type="http://schemas.openxmlformats.org/officeDocument/2006/relationships/hyperlink" Target="https://www.realtor.com/realestateandhomes-detail/404-Sievers-Ave_Brea_CA_92821_M14828-86953" TargetMode="External"/><Relationship Id="rId269" Type="http://schemas.openxmlformats.org/officeDocument/2006/relationships/hyperlink" Target="https://www.realtor.com/realestateandhomes-detail/121-25th-St_Newport-Beach_CA_92663_M16270-85332" TargetMode="External"/><Relationship Id="rId476" Type="http://schemas.openxmlformats.org/officeDocument/2006/relationships/hyperlink" Target="https://www.realtor.com/realestateandhomes-detail/570-W-8th-St_San-Pedro_CA_90731_M26026-56346" TargetMode="External"/><Relationship Id="rId683" Type="http://schemas.openxmlformats.org/officeDocument/2006/relationships/hyperlink" Target="https://www.realtor.com/realestateandhomes-detail/269-S-Norton-Ave_Los-Angeles_CA_90004_M20205-80974" TargetMode="External"/><Relationship Id="rId890" Type="http://schemas.openxmlformats.org/officeDocument/2006/relationships/hyperlink" Target="https://www.realtor.com/realestateandhomes-detail/34096-Alcazar-Dr_Dana-Point_CA_92629_M10805-63563" TargetMode="External"/><Relationship Id="rId2157" Type="http://schemas.openxmlformats.org/officeDocument/2006/relationships/hyperlink" Target="https://www.realtor.com/realestateandhomes-detail/1820-Sunningdale-Rd_Seal-Beach_CA_90740_M98900-40521" TargetMode="External"/><Relationship Id="rId2364" Type="http://schemas.openxmlformats.org/officeDocument/2006/relationships/hyperlink" Target="https://www.realtor.com/realestateandhomes-detail/15051-Sherman-Way_Van-Nuys_CA_91405_M94277-26944" TargetMode="External"/><Relationship Id="rId129" Type="http://schemas.openxmlformats.org/officeDocument/2006/relationships/hyperlink" Target="https://www.realtor.com/realestateandhomes-detail/543-N-Ardmore-Ave_Los-Angeles_CA_90004_M21820-84476" TargetMode="External"/><Relationship Id="rId336" Type="http://schemas.openxmlformats.org/officeDocument/2006/relationships/hyperlink" Target="https://www.realtor.com/realestateandhomes-detail/304-E-Whittier-Blvd_La-Habra_CA_90631_M92644-56392" TargetMode="External"/><Relationship Id="rId543" Type="http://schemas.openxmlformats.org/officeDocument/2006/relationships/hyperlink" Target="https://www.realtor.com/realestateandhomes-detail/31502-Mar-Vista-Ave_Laguna-Beach_CA_92651_M20466-62578" TargetMode="External"/><Relationship Id="rId988" Type="http://schemas.openxmlformats.org/officeDocument/2006/relationships/hyperlink" Target="https://www.realtor.com/realestateandhomes-detail/840-N-Poinsettia-Pl_Los-Angeles_CA_90046_M22330-34112" TargetMode="External"/><Relationship Id="rId1173" Type="http://schemas.openxmlformats.org/officeDocument/2006/relationships/hyperlink" Target="https://www.realtor.com/realestateandhomes-detail/5075-Pickford-St_Los-Angeles_CA_90019_M16183-03348" TargetMode="External"/><Relationship Id="rId1380" Type="http://schemas.openxmlformats.org/officeDocument/2006/relationships/hyperlink" Target="https://www.realtor.com/realestateandhomes-detail/5700-Etiwanda-Ave-Unit-149_Tarzana_CA_91356_M10098-34730" TargetMode="External"/><Relationship Id="rId2017" Type="http://schemas.openxmlformats.org/officeDocument/2006/relationships/hyperlink" Target="https://www.realtor.com/realestateandhomes-detail/400-S-Broadway-Apt-2304_Los-Angeles_CA_90013_M98631-01566" TargetMode="External"/><Relationship Id="rId2224" Type="http://schemas.openxmlformats.org/officeDocument/2006/relationships/hyperlink" Target="https://www.realtor.com/realestateandhomes-detail/13800-El-Dorado-Dr-M3-24F_Seal-Beach_CA_90740_M98407-12323" TargetMode="External"/><Relationship Id="rId403" Type="http://schemas.openxmlformats.org/officeDocument/2006/relationships/hyperlink" Target="https://www.realtor.com/realestateandhomes-detail/2026-Greenfield-Ave_Los-Angeles_CA_90025_M23506-50501" TargetMode="External"/><Relationship Id="rId750" Type="http://schemas.openxmlformats.org/officeDocument/2006/relationships/hyperlink" Target="https://www.realtor.com/realestateandhomes-detail/High-Cliff-Trl_Tujunga_CA_91042_M93460-99447" TargetMode="External"/><Relationship Id="rId848" Type="http://schemas.openxmlformats.org/officeDocument/2006/relationships/hyperlink" Target="https://www.realtor.com/realestateandhomes-detail/4182-Greenbush-Ave_Sherman-Oaks_CA_91423_M11892-82074" TargetMode="External"/><Relationship Id="rId1033" Type="http://schemas.openxmlformats.org/officeDocument/2006/relationships/hyperlink" Target="https://www.realtor.com/realestateandhomes-detail/607-Lillian-Way_Los-Angeles_CA_90004_M21814-20782" TargetMode="External"/><Relationship Id="rId1478" Type="http://schemas.openxmlformats.org/officeDocument/2006/relationships/hyperlink" Target="https://www.realtor.com/realestateandhomes-detail/16444-Bolsa-Chica-St-Spc-85_Huntington-Beach_CA_92649_M22143-51860" TargetMode="External"/><Relationship Id="rId1685" Type="http://schemas.openxmlformats.org/officeDocument/2006/relationships/hyperlink" Target="https://www.realtor.com/realestateandhomes-detail/2530-Hutton-Dr_Beverly-Hills_CA_90210_M23824-64244" TargetMode="External"/><Relationship Id="rId1892" Type="http://schemas.openxmlformats.org/officeDocument/2006/relationships/hyperlink" Target="https://www.realtor.com/realestateandhomes-detail/10037-Reevesbury-Dr_Beverly-Hills_CA_90210_M28217-92529" TargetMode="External"/><Relationship Id="rId2431" Type="http://schemas.openxmlformats.org/officeDocument/2006/relationships/hyperlink" Target="https://www.realtor.com/realestateandhomes-detail/292-Novel_Irvine_CA_92618_M97257-71377" TargetMode="External"/><Relationship Id="rId2529" Type="http://schemas.openxmlformats.org/officeDocument/2006/relationships/hyperlink" Target="https://www.realtor.com/realestateandhomes-detail/1542-LA-Loma-Dr_Santa-Ana_CA_92705_M27553-98868" TargetMode="External"/><Relationship Id="rId610" Type="http://schemas.openxmlformats.org/officeDocument/2006/relationships/hyperlink" Target="https://www.realtor.com/realestateandhomes-detail/1398-Miller-Dr_Los-Angeles_CA_90069_M29077-34000" TargetMode="External"/><Relationship Id="rId708" Type="http://schemas.openxmlformats.org/officeDocument/2006/relationships/hyperlink" Target="https://www.realtor.com/realestateandhomes-detail/1460-Pelham-Rd-M5-106F_Seal-Beach_CA_90740_M92155-99667" TargetMode="External"/><Relationship Id="rId915" Type="http://schemas.openxmlformats.org/officeDocument/2006/relationships/hyperlink" Target="https://www.realtor.com/realestateandhomes-detail/2-Agostino_Newport-Coast_CA_92657_M22284-20564" TargetMode="External"/><Relationship Id="rId1240" Type="http://schemas.openxmlformats.org/officeDocument/2006/relationships/hyperlink" Target="https://www.realtor.com/realestateandhomes-detail/357-Cornwell-St_Los-Angeles_CA_90033_M10345-20986" TargetMode="External"/><Relationship Id="rId1338" Type="http://schemas.openxmlformats.org/officeDocument/2006/relationships/hyperlink" Target="https://www.realtor.com/realestateandhomes-detail/Cleland-Ave_Los-Angeles_CA_90065_M96409-30121" TargetMode="External"/><Relationship Id="rId1545" Type="http://schemas.openxmlformats.org/officeDocument/2006/relationships/hyperlink" Target="https://www.realtor.com/realestateandhomes-detail/2443-Fordham-Dr_Costa-Mesa_CA_92626_M28370-87739" TargetMode="External"/><Relationship Id="rId1100" Type="http://schemas.openxmlformats.org/officeDocument/2006/relationships/hyperlink" Target="https://www.realtor.com/realestateandhomes-detail/3880-Fredonia-Dr-Apt-D_Los-Angeles_CA_90068_M21186-94680" TargetMode="External"/><Relationship Id="rId1405" Type="http://schemas.openxmlformats.org/officeDocument/2006/relationships/hyperlink" Target="https://www.realtor.com/realestateandhomes-detail/4731-Tyrone-Ave_Sherman-Oaks_CA_91423_M17417-72416" TargetMode="External"/><Relationship Id="rId1752" Type="http://schemas.openxmlformats.org/officeDocument/2006/relationships/hyperlink" Target="https://www.realtor.com/realestateandhomes-detail/3732-Knobhill-Dr_Sherman-Oaks_CA_91423_M28005-04138" TargetMode="External"/><Relationship Id="rId44" Type="http://schemas.openxmlformats.org/officeDocument/2006/relationships/hyperlink" Target="https://www.realtor.com/realestateandhomes-detail/952-N-Laurel-Ave_Los-Angeles_CA_90046_M24314-00723" TargetMode="External"/><Relationship Id="rId1612" Type="http://schemas.openxmlformats.org/officeDocument/2006/relationships/hyperlink" Target="https://www.realtor.com/realestateandhomes-detail/3640-Roseview-Ave_Los-Angeles_CA_90065_M10563-99243" TargetMode="External"/><Relationship Id="rId1917" Type="http://schemas.openxmlformats.org/officeDocument/2006/relationships/hyperlink" Target="https://www.realtor.com/realestateandhomes-detail/1350-Belfast-Dr_Los-Angeles_CA_90069_M29650-49020" TargetMode="External"/><Relationship Id="rId193" Type="http://schemas.openxmlformats.org/officeDocument/2006/relationships/hyperlink" Target="https://www.realtor.com/realestateandhomes-detail/1744-Webster-Ave_Los-Angeles_CA_90026_M11431-93179" TargetMode="External"/><Relationship Id="rId498" Type="http://schemas.openxmlformats.org/officeDocument/2006/relationships/hyperlink" Target="https://www.realtor.com/realestateandhomes-detail/2949-S-Harcourt-Ave_Los-Angeles_CA_90016_M13505-10285" TargetMode="External"/><Relationship Id="rId2081" Type="http://schemas.openxmlformats.org/officeDocument/2006/relationships/hyperlink" Target="https://www.realtor.com/realestateandhomes-detail/3008-Stocker-St_Los-Angeles_CA_90008_M11627-99195" TargetMode="External"/><Relationship Id="rId2179" Type="http://schemas.openxmlformats.org/officeDocument/2006/relationships/hyperlink" Target="https://www.realtor.com/realestateandhomes-detail/8847-Willis-Ave-9_Panorama-City_CA_91402_M97170-38465" TargetMode="External"/><Relationship Id="rId260" Type="http://schemas.openxmlformats.org/officeDocument/2006/relationships/hyperlink" Target="https://www.realtor.com/realestateandhomes-detail/6320-Beck-Ave_North-Hollywood_CA_91606_M21741-95041" TargetMode="External"/><Relationship Id="rId2386" Type="http://schemas.openxmlformats.org/officeDocument/2006/relationships/hyperlink" Target="https://www.realtor.com/realestateandhomes-detail/21-Higo-St_Rancho-Mission-Viejo_CA_92694_M21959-70822" TargetMode="External"/><Relationship Id="rId120" Type="http://schemas.openxmlformats.org/officeDocument/2006/relationships/hyperlink" Target="https://www.realtor.com/realestateandhomes-detail/1049-Elden-Ave_Los-Angeles_CA_90006_M18268-80828" TargetMode="External"/><Relationship Id="rId358" Type="http://schemas.openxmlformats.org/officeDocument/2006/relationships/hyperlink" Target="https://www.realtor.com/realestateandhomes-detail/6815-Remmet-Ave-Unit-311_Canoga-Park_CA_91303_M28075-26584" TargetMode="External"/><Relationship Id="rId565" Type="http://schemas.openxmlformats.org/officeDocument/2006/relationships/hyperlink" Target="https://www.realtor.com/realestateandhomes-detail/4033-Moore-St_Los-Angeles_CA_90066_M14769-99117" TargetMode="External"/><Relationship Id="rId772" Type="http://schemas.openxmlformats.org/officeDocument/2006/relationships/hyperlink" Target="https://www.realtor.com/realestateandhomes-detail/448-N-Londonderry-Ln-Unit-D_Orange_CA_92869_M10143-77598" TargetMode="External"/><Relationship Id="rId1195" Type="http://schemas.openxmlformats.org/officeDocument/2006/relationships/hyperlink" Target="https://www.realtor.com/realestateandhomes-detail/328-Regatta-Way_Seal-Beach_CA_90740_M27576-51271" TargetMode="External"/><Relationship Id="rId2039" Type="http://schemas.openxmlformats.org/officeDocument/2006/relationships/hyperlink" Target="https://www.realtor.com/realestateandhomes-detail/2266-Earl-St_Los-Angeles_CA_90039_M12816-62294" TargetMode="External"/><Relationship Id="rId2246" Type="http://schemas.openxmlformats.org/officeDocument/2006/relationships/hyperlink" Target="https://www.realtor.com/realestateandhomes-detail/1920-Del-Paso-Ave_Los-Angeles_CA_90032_M16443-78135" TargetMode="External"/><Relationship Id="rId2453" Type="http://schemas.openxmlformats.org/officeDocument/2006/relationships/hyperlink" Target="https://www.realtor.com/realestateandhomes-detail/401-26th-St_Santa-Monica_CA_90402_M26029-52304" TargetMode="External"/><Relationship Id="rId218" Type="http://schemas.openxmlformats.org/officeDocument/2006/relationships/hyperlink" Target="https://www.realtor.com/realestateandhomes-detail/234-N-Burlington-Ave_Los-Angeles_CA_90026_M10314-27913" TargetMode="External"/><Relationship Id="rId425" Type="http://schemas.openxmlformats.org/officeDocument/2006/relationships/hyperlink" Target="https://www.realtor.com/realestateandhomes-detail/1605-S-Bonnie-Brae-St_Los-Angeles_CA_90006_M28335-08466" TargetMode="External"/><Relationship Id="rId632" Type="http://schemas.openxmlformats.org/officeDocument/2006/relationships/hyperlink" Target="https://www.realtor.com/realestateandhomes-detail/9600-Van-Nuys-Blvd-Unit-210_Panorama-City_CA_91402_M26548-17049" TargetMode="External"/><Relationship Id="rId1055" Type="http://schemas.openxmlformats.org/officeDocument/2006/relationships/hyperlink" Target="https://www.realtor.com/realestateandhomes-detail/2801-Belden-Dr_Los-Angeles_CA_90068_M13195-22691" TargetMode="External"/><Relationship Id="rId1262" Type="http://schemas.openxmlformats.org/officeDocument/2006/relationships/hyperlink" Target="https://www.realtor.com/realestateandhomes-detail/130-Tierra-Ln_Cypress_CA_90630_M93409-70581" TargetMode="External"/><Relationship Id="rId2106" Type="http://schemas.openxmlformats.org/officeDocument/2006/relationships/hyperlink" Target="https://www.realtor.com/realestateandhomes-detail/1620-Electric-Ave_Venice_CA_90291_M18316-21826" TargetMode="External"/><Relationship Id="rId2313" Type="http://schemas.openxmlformats.org/officeDocument/2006/relationships/hyperlink" Target="https://www.realtor.com/realestateandhomes-detail/5-Quartz-Ln_Ladera-Ranch_CA_92694_M22821-47017" TargetMode="External"/><Relationship Id="rId2520" Type="http://schemas.openxmlformats.org/officeDocument/2006/relationships/hyperlink" Target="https://www.realtor.com/realestateandhomes-detail/2550-W-Rowland-Ave_Anaheim_CA_92804_M14918-24482" TargetMode="External"/><Relationship Id="rId937" Type="http://schemas.openxmlformats.org/officeDocument/2006/relationships/hyperlink" Target="https://www.realtor.com/realestateandhomes-detail/7115-Shadygrove-St_Tujunga_CA_91042_M10858-09072" TargetMode="External"/><Relationship Id="rId1122" Type="http://schemas.openxmlformats.org/officeDocument/2006/relationships/hyperlink" Target="https://www.realtor.com/realestateandhomes-detail/316-S-Miraleste-Dr-Unit-124_San-Pedro_CA_90732_M17145-83319" TargetMode="External"/><Relationship Id="rId1567" Type="http://schemas.openxmlformats.org/officeDocument/2006/relationships/hyperlink" Target="https://www.realtor.com/realestateandhomes-detail/3-Birchwood_Irvine_CA_92618_M28573-83921" TargetMode="External"/><Relationship Id="rId1774" Type="http://schemas.openxmlformats.org/officeDocument/2006/relationships/hyperlink" Target="https://www.realtor.com/realestateandhomes-detail/1130-S-Flower-St-Apt-208_Los-Angeles_CA_90015_M19041-21296" TargetMode="External"/><Relationship Id="rId1981" Type="http://schemas.openxmlformats.org/officeDocument/2006/relationships/hyperlink" Target="https://www.realtor.com/realestateandhomes-detail/8526-Hollywood-Blvd_Los-Angeles_CA_90069_M10497-38331" TargetMode="External"/><Relationship Id="rId66" Type="http://schemas.openxmlformats.org/officeDocument/2006/relationships/hyperlink" Target="https://www.realtor.com/realestateandhomes-detail/18601-Newland-St-Spc-12_Huntington-Beach_CA_92646_M97452-77252" TargetMode="External"/><Relationship Id="rId1427" Type="http://schemas.openxmlformats.org/officeDocument/2006/relationships/hyperlink" Target="https://www.realtor.com/realestateandhomes-detail/285-W-9th-St_San-Pedro_CA_90731_M18236-55626" TargetMode="External"/><Relationship Id="rId1634" Type="http://schemas.openxmlformats.org/officeDocument/2006/relationships/hyperlink" Target="https://www.realtor.com/realestateandhomes-detail/6001-Carlton-Way-Apt-303_Los-Angeles_CA_90028_M11829-04093" TargetMode="External"/><Relationship Id="rId1841" Type="http://schemas.openxmlformats.org/officeDocument/2006/relationships/hyperlink" Target="https://www.realtor.com/realestateandhomes-detail/11641-Blythe-St_North-Hollywood_CA_91605_M15308-73075" TargetMode="External"/><Relationship Id="rId1939" Type="http://schemas.openxmlformats.org/officeDocument/2006/relationships/hyperlink" Target="https://www.realtor.com/realestateandhomes-detail/1415-Anaheim-St_Harbor-City_CA_90710_M16263-31514" TargetMode="External"/><Relationship Id="rId1701" Type="http://schemas.openxmlformats.org/officeDocument/2006/relationships/hyperlink" Target="https://www.realtor.com/realestateandhomes-detail/2477-Walnut-Ave_Venice_CA_90291_M17182-96095" TargetMode="External"/><Relationship Id="rId282" Type="http://schemas.openxmlformats.org/officeDocument/2006/relationships/hyperlink" Target="https://www.realtor.com/realestateandhomes-detail/27281-Calle-De-La-Rosa_San-Juan-Capistrano_CA_92675_M23515-70288" TargetMode="External"/><Relationship Id="rId587" Type="http://schemas.openxmlformats.org/officeDocument/2006/relationships/hyperlink" Target="https://www.realtor.com/realestateandhomes-detail/4632-Lexington-Ave-5_Los-Angeles_CA_90029_M11768-62455" TargetMode="External"/><Relationship Id="rId2170" Type="http://schemas.openxmlformats.org/officeDocument/2006/relationships/hyperlink" Target="https://www.realtor.com/realestateandhomes-detail/2815-S-Western-Ave_Los-Angeles_CA_90018_M93758-25077" TargetMode="External"/><Relationship Id="rId2268" Type="http://schemas.openxmlformats.org/officeDocument/2006/relationships/hyperlink" Target="https://www.realtor.com/realestateandhomes-detail/12846-Palm-St-Unit-1_Garden-Grove_CA_92840_M23070-50937" TargetMode="External"/><Relationship Id="rId8" Type="http://schemas.openxmlformats.org/officeDocument/2006/relationships/hyperlink" Target="https://www.realtor.com/realestateandhomes-detail/19350-Ward-St-Spc-38_Huntington-Beach_CA_92646_M92379-10078" TargetMode="External"/><Relationship Id="rId142" Type="http://schemas.openxmlformats.org/officeDocument/2006/relationships/hyperlink" Target="https://www.realtor.com/realestateandhomes-detail/724-Toyopa-Dr_Pacific-Palisades_CA_90272_M27818-43349" TargetMode="External"/><Relationship Id="rId447" Type="http://schemas.openxmlformats.org/officeDocument/2006/relationships/hyperlink" Target="https://www.realtor.com/realestateandhomes-detail/5345-Village-Grn_Los-Angeles_CA_90016_M24978-28229" TargetMode="External"/><Relationship Id="rId794" Type="http://schemas.openxmlformats.org/officeDocument/2006/relationships/hyperlink" Target="https://www.realtor.com/realestateandhomes-detail/408-Rustic-Dr_Los-Angeles_CA_90065_M12459-33827" TargetMode="External"/><Relationship Id="rId1077" Type="http://schemas.openxmlformats.org/officeDocument/2006/relationships/hyperlink" Target="https://www.realtor.com/realestateandhomes-detail/1933-Magnolia-Ave_Los-Angeles_CA_90007_M11559-94905" TargetMode="External"/><Relationship Id="rId2030" Type="http://schemas.openxmlformats.org/officeDocument/2006/relationships/hyperlink" Target="https://www.realtor.com/realestateandhomes-detail/4516-St-Charles-Pl_Los-Angeles_CA_90019_M17339-76833" TargetMode="External"/><Relationship Id="rId2128" Type="http://schemas.openxmlformats.org/officeDocument/2006/relationships/hyperlink" Target="https://www.realtor.com/realestateandhomes-detail/17081-Pleasant-Cir_Huntington-Beach_CA_92649_M27879-97121" TargetMode="External"/><Relationship Id="rId2475" Type="http://schemas.openxmlformats.org/officeDocument/2006/relationships/hyperlink" Target="https://www.realtor.com/realestateandhomes-detail/64-Mann-St_Irvine_CA_92612_M17485-47634" TargetMode="External"/><Relationship Id="rId654" Type="http://schemas.openxmlformats.org/officeDocument/2006/relationships/hyperlink" Target="https://www.realtor.com/realestateandhomes-detail/1261-Angelo-Dr_Beverly-Hills_CA_90210_M28235-57145" TargetMode="External"/><Relationship Id="rId861" Type="http://schemas.openxmlformats.org/officeDocument/2006/relationships/hyperlink" Target="https://www.realtor.com/realestateandhomes-detail/52-Shadowbrook_Irvine_CA_92604_M21337-36698" TargetMode="External"/><Relationship Id="rId959" Type="http://schemas.openxmlformats.org/officeDocument/2006/relationships/hyperlink" Target="https://www.realtor.com/realestateandhomes-detail/3314-Wonder-View-Dr_Los-Angeles_CA_90068_M22621-64827" TargetMode="External"/><Relationship Id="rId1284" Type="http://schemas.openxmlformats.org/officeDocument/2006/relationships/hyperlink" Target="https://www.realtor.com/realestateandhomes-detail/11114-Willowbrook-Ave_Los-Angeles_CA_90059_M25074-89554" TargetMode="External"/><Relationship Id="rId1491" Type="http://schemas.openxmlformats.org/officeDocument/2006/relationships/hyperlink" Target="https://www.realtor.com/realestateandhomes-detail/28481-Avenida-La-Mancha_San-Juan-Capistrano_CA_92675_M22276-15846" TargetMode="External"/><Relationship Id="rId1589" Type="http://schemas.openxmlformats.org/officeDocument/2006/relationships/hyperlink" Target="https://www.realtor.com/realestateandhomes-detail/608-White-Oaks_Lake-Forest_CA_92610_M99832-56048" TargetMode="External"/><Relationship Id="rId2335" Type="http://schemas.openxmlformats.org/officeDocument/2006/relationships/hyperlink" Target="https://www.realtor.com/realestateandhomes-detail/630-W-79th-St_Los-Angeles_CA_90044_M96911-27030" TargetMode="External"/><Relationship Id="rId2542" Type="http://schemas.openxmlformats.org/officeDocument/2006/relationships/hyperlink" Target="https://www.realtor.com/realestateandhomes-detail/8561-Gloria-Ave_Garden-Grove_CA_92844_M11543-84978" TargetMode="External"/><Relationship Id="rId307" Type="http://schemas.openxmlformats.org/officeDocument/2006/relationships/hyperlink" Target="https://www.realtor.com/realestateandhomes-detail/1508-W-Florence-Ave_Los-Angeles_CA_90047_M14918-03693" TargetMode="External"/><Relationship Id="rId514" Type="http://schemas.openxmlformats.org/officeDocument/2006/relationships/hyperlink" Target="https://www.realtor.com/realestateandhomes-detail/9301-Darby-Ave_Northridge_CA_91325_M26507-06423" TargetMode="External"/><Relationship Id="rId721" Type="http://schemas.openxmlformats.org/officeDocument/2006/relationships/hyperlink" Target="https://www.realtor.com/realestateandhomes-detail/114-Interstellar_Irvine_CA_92618_M12118-36557" TargetMode="External"/><Relationship Id="rId1144" Type="http://schemas.openxmlformats.org/officeDocument/2006/relationships/hyperlink" Target="https://www.realtor.com/realestateandhomes-detail/649-Rose-Ave_Venice_CA_90291_M18511-49180" TargetMode="External"/><Relationship Id="rId1351" Type="http://schemas.openxmlformats.org/officeDocument/2006/relationships/hyperlink" Target="https://www.realtor.com/realestateandhomes-detail/6254-Etiwanda-Ave_Tarzana_CA_91335_M23197-52663" TargetMode="External"/><Relationship Id="rId1449" Type="http://schemas.openxmlformats.org/officeDocument/2006/relationships/hyperlink" Target="https://www.realtor.com/realestateandhomes-detail/320-S-Ardmore-Ave_Los-Angeles_CA_90020_M95573-62270" TargetMode="External"/><Relationship Id="rId1796" Type="http://schemas.openxmlformats.org/officeDocument/2006/relationships/hyperlink" Target="https://www.realtor.com/realestateandhomes-detail/2345-S-Garth-Ave_Los-Angeles_CA_90034_M17387-06459" TargetMode="External"/><Relationship Id="rId2402" Type="http://schemas.openxmlformats.org/officeDocument/2006/relationships/hyperlink" Target="https://www.realtor.com/realestateandhomes-detail/12281-Alta-Panorama_North-Tustin_CA_92705_M16748-11632" TargetMode="External"/><Relationship Id="rId88" Type="http://schemas.openxmlformats.org/officeDocument/2006/relationships/hyperlink" Target="https://www.realtor.com/realestateandhomes-detail/1314-Goucher-St_Pacific-Palisades_CA_90272_M12747-33216" TargetMode="External"/><Relationship Id="rId819" Type="http://schemas.openxmlformats.org/officeDocument/2006/relationships/hyperlink" Target="https://www.realtor.com/realestateandhomes-detail/4312-Comly-St_Los-Angeles_CA_90063_M18348-44367" TargetMode="External"/><Relationship Id="rId1004" Type="http://schemas.openxmlformats.org/officeDocument/2006/relationships/hyperlink" Target="https://www.realtor.com/realestateandhomes-detail/967-Lucile-Ave_Los-Angeles_CA_90026_M25558-05812" TargetMode="External"/><Relationship Id="rId1211" Type="http://schemas.openxmlformats.org/officeDocument/2006/relationships/hyperlink" Target="https://www.realtor.com/realestateandhomes-detail/400-S-La-Fayette-Park-Pl-Apt-213_Los-Angeles_CA_90057_M29553-30833" TargetMode="External"/><Relationship Id="rId1656" Type="http://schemas.openxmlformats.org/officeDocument/2006/relationships/hyperlink" Target="https://www.realtor.com/realestateandhomes-detail/6006-Wooster-Ave_Los-Angeles_CA_90056_M11488-20706" TargetMode="External"/><Relationship Id="rId1863" Type="http://schemas.openxmlformats.org/officeDocument/2006/relationships/hyperlink" Target="https://www.realtor.com/realestateandhomes-detail/1328-N-Ogden-Dr_West-Hollywood_CA_90046_M28207-18025" TargetMode="External"/><Relationship Id="rId1309" Type="http://schemas.openxmlformats.org/officeDocument/2006/relationships/hyperlink" Target="https://www.realtor.com/realestateandhomes-detail/400-S-La-Fayette-Park-Pl-Apt-314_Los-Angeles_CA_90057_M29482-13038" TargetMode="External"/><Relationship Id="rId1516" Type="http://schemas.openxmlformats.org/officeDocument/2006/relationships/hyperlink" Target="https://www.realtor.com/realestateandhomes-detail/4016-6th-Ave_Leimert-Park_CA_90008_M26796-48762" TargetMode="External"/><Relationship Id="rId1723" Type="http://schemas.openxmlformats.org/officeDocument/2006/relationships/hyperlink" Target="https://www.realtor.com/realestateandhomes-detail/1139-E-82nd-St_Los-Angeles_CA_90001_M13682-32426" TargetMode="External"/><Relationship Id="rId1930" Type="http://schemas.openxmlformats.org/officeDocument/2006/relationships/hyperlink" Target="https://www.realtor.com/realestateandhomes-detail/2370-San-Marco-Dr_Los-Angeles_CA_90068_M12126-06702" TargetMode="External"/><Relationship Id="rId15" Type="http://schemas.openxmlformats.org/officeDocument/2006/relationships/hyperlink" Target="https://www.realtor.com/realestateandhomes-detail/300-Junco_Irvine_CA_92618_M97062-19827" TargetMode="External"/><Relationship Id="rId2192" Type="http://schemas.openxmlformats.org/officeDocument/2006/relationships/hyperlink" Target="https://www.realtor.com/realestateandhomes-detail/600-W-3rd-St-Apt-B211_Santa-Ana_CA_92701_M23239-14190" TargetMode="External"/><Relationship Id="rId164" Type="http://schemas.openxmlformats.org/officeDocument/2006/relationships/hyperlink" Target="https://www.realtor.com/realestateandhomes-detail/5025-Delita-Pl_Woodland-Hills_CA_91364_M16892-01544" TargetMode="External"/><Relationship Id="rId371" Type="http://schemas.openxmlformats.org/officeDocument/2006/relationships/hyperlink" Target="https://www.realtor.com/realestateandhomes-detail/12-Encore-Ct_Newport-Beach_CA_92663_M11260-77229" TargetMode="External"/><Relationship Id="rId2052" Type="http://schemas.openxmlformats.org/officeDocument/2006/relationships/hyperlink" Target="https://www.realtor.com/realestateandhomes-detail/5430-Auckland-Ave_North-Hollywood_CA_91601_M19085-52030" TargetMode="External"/><Relationship Id="rId2497" Type="http://schemas.openxmlformats.org/officeDocument/2006/relationships/hyperlink" Target="https://www.realtor.com/realestateandhomes-detail/8200-Bolsa-Ave-Spc-103_Midway-City_CA_92655_M29638-87020" TargetMode="External"/><Relationship Id="rId469" Type="http://schemas.openxmlformats.org/officeDocument/2006/relationships/hyperlink" Target="https://www.realtor.com/realestateandhomes-detail/223-E-55th-St_Los-Angeles_CA_90011_M23223-31534" TargetMode="External"/><Relationship Id="rId676" Type="http://schemas.openxmlformats.org/officeDocument/2006/relationships/hyperlink" Target="https://www.realtor.com/realestateandhomes-detail/1016-Stradella-Rd_Los-Angeles_CA_90077_M28191-83913" TargetMode="External"/><Relationship Id="rId883" Type="http://schemas.openxmlformats.org/officeDocument/2006/relationships/hyperlink" Target="https://www.realtor.com/realestateandhomes-detail/72-Sellas-Rd-N_Ladera-Ranch_CA_92694_M22682-33491" TargetMode="External"/><Relationship Id="rId1099" Type="http://schemas.openxmlformats.org/officeDocument/2006/relationships/hyperlink" Target="https://www.realtor.com/realestateandhomes-detail/10591-Ayres-Ave_Los-Angeles_CA_90064_M21826-55633" TargetMode="External"/><Relationship Id="rId2357" Type="http://schemas.openxmlformats.org/officeDocument/2006/relationships/hyperlink" Target="https://www.realtor.com/realestateandhomes-detail/10004-San-Fernando-Rd-3_Pacoima_CA_91331_M91478-77898" TargetMode="External"/><Relationship Id="rId231" Type="http://schemas.openxmlformats.org/officeDocument/2006/relationships/hyperlink" Target="https://www.realtor.com/realestateandhomes-detail/695-S-Norton-Ave_Los-Angeles_CA_90005_M91927-93009" TargetMode="External"/><Relationship Id="rId329" Type="http://schemas.openxmlformats.org/officeDocument/2006/relationships/hyperlink" Target="https://www.realtor.com/realestateandhomes-detail/1633-HI-Point-St_Los-Angeles_CA_90035_M16427-49806" TargetMode="External"/><Relationship Id="rId536" Type="http://schemas.openxmlformats.org/officeDocument/2006/relationships/hyperlink" Target="https://www.realtor.com/realestateandhomes-detail/511-Seaward-Rd_Corona-Del-Mar_CA_92625_M21764-72451" TargetMode="External"/><Relationship Id="rId1166" Type="http://schemas.openxmlformats.org/officeDocument/2006/relationships/hyperlink" Target="https://www.realtor.com/realestateandhomes-detail/8164-Waring-Ave_Los-Angeles_CA_90046_M23824-70542" TargetMode="External"/><Relationship Id="rId1373" Type="http://schemas.openxmlformats.org/officeDocument/2006/relationships/hyperlink" Target="https://www.realtor.com/realestateandhomes-detail/809-N-Detroit-St_Los-Angeles_CA_90046_M91152-20024" TargetMode="External"/><Relationship Id="rId2217" Type="http://schemas.openxmlformats.org/officeDocument/2006/relationships/hyperlink" Target="https://www.realtor.com/realestateandhomes-detail/136-E-Avenue-44_Los-Angeles_CA_90031_M25620-38915" TargetMode="External"/><Relationship Id="rId743" Type="http://schemas.openxmlformats.org/officeDocument/2006/relationships/hyperlink" Target="https://www.realtor.com/realestateandhomes-detail/10626-Valley-Spring-Ln-Unit-103_North-Hollywood_CA_91602_M20840-37353" TargetMode="External"/><Relationship Id="rId950" Type="http://schemas.openxmlformats.org/officeDocument/2006/relationships/hyperlink" Target="https://www.realtor.com/realestateandhomes-detail/15312-Mc-Kendree-Ave_Pacific-Palisades_CA_90272_M10130-78548" TargetMode="External"/><Relationship Id="rId1026" Type="http://schemas.openxmlformats.org/officeDocument/2006/relationships/hyperlink" Target="https://www.realtor.com/realestateandhomes-detail/3711-Ocean-Front-Walk-Apt-3_Marina-Del-Rey_CA_90292_M12189-65357" TargetMode="External"/><Relationship Id="rId1580" Type="http://schemas.openxmlformats.org/officeDocument/2006/relationships/hyperlink" Target="https://www.realtor.com/realestateandhomes-detail/692-N-Adele-St-Spc-50_Orange_CA_92867_M14044-31686" TargetMode="External"/><Relationship Id="rId1678" Type="http://schemas.openxmlformats.org/officeDocument/2006/relationships/hyperlink" Target="https://www.realtor.com/realestateandhomes-detail/135-N-Vendome-St_Los-Angeles_CA_90026_M29896-52766" TargetMode="External"/><Relationship Id="rId1885" Type="http://schemas.openxmlformats.org/officeDocument/2006/relationships/hyperlink" Target="https://www.realtor.com/realestateandhomes-detail/18958-Sherman-Way-Unit-19_Reseda_CA_91335_M25222-55794" TargetMode="External"/><Relationship Id="rId2424" Type="http://schemas.openxmlformats.org/officeDocument/2006/relationships/hyperlink" Target="https://www.realtor.com/realestateandhomes-detail/9906-Owensmouth-Ave-Unit-12_Chatsworth_CA_91311_M24952-70177" TargetMode="External"/><Relationship Id="rId603" Type="http://schemas.openxmlformats.org/officeDocument/2006/relationships/hyperlink" Target="https://www.realtor.com/realestateandhomes-detail/238-N-Gower-St_Los-Angeles_CA_90004_M20470-77059" TargetMode="External"/><Relationship Id="rId810" Type="http://schemas.openxmlformats.org/officeDocument/2006/relationships/hyperlink" Target="https://www.realtor.com/realestateandhomes-detail/7714-Lasaine-Ave_Northridge_CA_91325_M22430-85247" TargetMode="External"/><Relationship Id="rId908" Type="http://schemas.openxmlformats.org/officeDocument/2006/relationships/hyperlink" Target="https://www.realtor.com/realestateandhomes-detail/28935-Paseo-Theresa_Mission-Viejo_CA_92692_M29157-83261" TargetMode="External"/><Relationship Id="rId1233" Type="http://schemas.openxmlformats.org/officeDocument/2006/relationships/hyperlink" Target="https://www.realtor.com/realestateandhomes-detail/6951-Stanford-Ave_Garden-Grove_CA_92845_M14261-65040" TargetMode="External"/><Relationship Id="rId1440" Type="http://schemas.openxmlformats.org/officeDocument/2006/relationships/hyperlink" Target="https://www.realtor.com/realestateandhomes-detail/4834-Adele-Ct_Woodland-Hills_CA_91364_M19567-71011" TargetMode="External"/><Relationship Id="rId1538" Type="http://schemas.openxmlformats.org/officeDocument/2006/relationships/hyperlink" Target="https://www.realtor.com/realestateandhomes-detail/81-Zinnia-St_Ladera-Ranch_CA_92694_M95732-94559" TargetMode="External"/><Relationship Id="rId1300" Type="http://schemas.openxmlformats.org/officeDocument/2006/relationships/hyperlink" Target="https://www.realtor.com/realestateandhomes-detail/12361-Santa-Rosalia-St_Garden-Grove_CA_92841_M20483-54067" TargetMode="External"/><Relationship Id="rId1745" Type="http://schemas.openxmlformats.org/officeDocument/2006/relationships/hyperlink" Target="https://www.realtor.com/realestateandhomes-detail/5810-S-Halm-Ave_Los-Angeles_CA_90056_M10471-21949" TargetMode="External"/><Relationship Id="rId1952" Type="http://schemas.openxmlformats.org/officeDocument/2006/relationships/hyperlink" Target="https://www.realtor.com/realestateandhomes-detail/1118-Grant-Ave_Venice_CA_90291_M17179-97968" TargetMode="External"/><Relationship Id="rId37" Type="http://schemas.openxmlformats.org/officeDocument/2006/relationships/hyperlink" Target="https://www.realtor.com/realestateandhomes-detail/2738-Rinconia-Dr_Los-Angeles_CA_90068_M13098-91875" TargetMode="External"/><Relationship Id="rId1605" Type="http://schemas.openxmlformats.org/officeDocument/2006/relationships/hyperlink" Target="https://www.realtor.com/realestateandhomes-detail/1111-S-Grand-Ave-Apt-1111_Los-Angeles_CA_90015_M14349-08963" TargetMode="External"/><Relationship Id="rId1812" Type="http://schemas.openxmlformats.org/officeDocument/2006/relationships/hyperlink" Target="https://www.realtor.com/realestateandhomes-detail/4212-Don-Alanis-Pl_Los-Angeles_CA_90008_M10498-61501" TargetMode="External"/><Relationship Id="rId186" Type="http://schemas.openxmlformats.org/officeDocument/2006/relationships/hyperlink" Target="https://www.realtor.com/realestateandhomes-detail/16801-W-Sunset-Blvd_Pacific-Palisades_CA_90272_M28702-38165" TargetMode="External"/><Relationship Id="rId393" Type="http://schemas.openxmlformats.org/officeDocument/2006/relationships/hyperlink" Target="https://www.realtor.com/realestateandhomes-detail/521-Kings-Rd_Newport-Beach_CA_92663_M17105-98309" TargetMode="External"/><Relationship Id="rId2074" Type="http://schemas.openxmlformats.org/officeDocument/2006/relationships/hyperlink" Target="https://www.realtor.com/realestateandhomes-detail/3733-Rolle-St_Los-Angeles_CA_90031_M18874-89772" TargetMode="External"/><Relationship Id="rId2281" Type="http://schemas.openxmlformats.org/officeDocument/2006/relationships/hyperlink" Target="https://www.realtor.com/realestateandhomes-detail/3209-Johnston-St_Los-Angeles_CA_90031_M14392-66388" TargetMode="External"/><Relationship Id="rId253" Type="http://schemas.openxmlformats.org/officeDocument/2006/relationships/hyperlink" Target="https://www.realtor.com/realestateandhomes-detail/23301-Ridge-Route-Dr-Spc-246_Laguna-Hills_CA_92653_M91410-21183" TargetMode="External"/><Relationship Id="rId460" Type="http://schemas.openxmlformats.org/officeDocument/2006/relationships/hyperlink" Target="https://www.realtor.com/realestateandhomes-detail/1150-E-80th-St_Los-Angeles_CA_90001_M13766-91795" TargetMode="External"/><Relationship Id="rId698" Type="http://schemas.openxmlformats.org/officeDocument/2006/relationships/hyperlink" Target="https://www.realtor.com/realestateandhomes-detail/1624-Westerly-Ter_Los-Angeles_CA_90026_M29712-14255" TargetMode="External"/><Relationship Id="rId1090" Type="http://schemas.openxmlformats.org/officeDocument/2006/relationships/hyperlink" Target="https://www.realtor.com/realestateandhomes-detail/3099-Mandeville-Canyon-Rd_Los-Angeles_CA_90049_M22762-30168" TargetMode="External"/><Relationship Id="rId2141" Type="http://schemas.openxmlformats.org/officeDocument/2006/relationships/hyperlink" Target="https://www.realtor.com/realestateandhomes-detail/226-E-88th-Pl_Los-Angeles_CA_90003_M17648-16587" TargetMode="External"/><Relationship Id="rId2379" Type="http://schemas.openxmlformats.org/officeDocument/2006/relationships/hyperlink" Target="https://www.realtor.com/realestateandhomes-detail/8192-Sandcove-Cir-Unit-106_Huntington-Beach_CA_92646_M28776-22935" TargetMode="External"/><Relationship Id="rId113" Type="http://schemas.openxmlformats.org/officeDocument/2006/relationships/hyperlink" Target="https://www.realtor.com/realestateandhomes-detail/1710-San-Remo-Dr_Pacific-Palisades_CA_90272_M11954-20805" TargetMode="External"/><Relationship Id="rId320" Type="http://schemas.openxmlformats.org/officeDocument/2006/relationships/hyperlink" Target="https://www.realtor.com/realestateandhomes-detail/1301-Electric-Ave-Apt-B_Seal-Beach_CA_90740_M26480-62984" TargetMode="External"/><Relationship Id="rId558" Type="http://schemas.openxmlformats.org/officeDocument/2006/relationships/hyperlink" Target="https://www.realtor.com/realestateandhomes-detail/22839-Ridge-Route-Ln_Lake-Forest_CA_92630_M22114-53799" TargetMode="External"/><Relationship Id="rId765" Type="http://schemas.openxmlformats.org/officeDocument/2006/relationships/hyperlink" Target="https://www.realtor.com/realestateandhomes-detail/1520-N-El-Camino-Real-Unit-10_San-Clemente_CA_92672_M13038-66744" TargetMode="External"/><Relationship Id="rId972" Type="http://schemas.openxmlformats.org/officeDocument/2006/relationships/hyperlink" Target="https://www.realtor.com/realestateandhomes-detail/5919-Encino-Ave_Encino_CA_91316_M18531-60318" TargetMode="External"/><Relationship Id="rId1188" Type="http://schemas.openxmlformats.org/officeDocument/2006/relationships/hyperlink" Target="https://www.realtor.com/realestateandhomes-detail/229-W-82nd-St_Los-Angeles_CA_90003_M14643-78558" TargetMode="External"/><Relationship Id="rId1395" Type="http://schemas.openxmlformats.org/officeDocument/2006/relationships/hyperlink" Target="https://www.realtor.com/realestateandhomes-detail/13601-Del-Monte-Dr-Apt-A54_Seal-Beach_CA_90740_M95326-96245" TargetMode="External"/><Relationship Id="rId2001" Type="http://schemas.openxmlformats.org/officeDocument/2006/relationships/hyperlink" Target="https://www.realtor.com/realestateandhomes-detail/5405-5411-Newtonia_Los-Angeles_CA_90032_M96239-59394" TargetMode="External"/><Relationship Id="rId2239" Type="http://schemas.openxmlformats.org/officeDocument/2006/relationships/hyperlink" Target="https://www.realtor.com/realestateandhomes-detail/15-Via-Hermosa_Rancho-Santa-Margarita_CA_92688_M20440-21068" TargetMode="External"/><Relationship Id="rId2446" Type="http://schemas.openxmlformats.org/officeDocument/2006/relationships/hyperlink" Target="https://www.realtor.com/realestateandhomes-detail/5372-Punta-Alta-Unit-1C_Laguna-Woods_CA_92637_M25398-07166" TargetMode="External"/><Relationship Id="rId418" Type="http://schemas.openxmlformats.org/officeDocument/2006/relationships/hyperlink" Target="https://www.realtor.com/realestateandhomes-detail/11970-Aneta-St_Culver-City_CA_90230_M12296-27791" TargetMode="External"/><Relationship Id="rId625" Type="http://schemas.openxmlformats.org/officeDocument/2006/relationships/hyperlink" Target="https://www.realtor.com/realestateandhomes-detail/15649-Woodfield-Pl_Sherman-Oaks_CA_91403_M28363-10413" TargetMode="External"/><Relationship Id="rId832" Type="http://schemas.openxmlformats.org/officeDocument/2006/relationships/hyperlink" Target="https://www.realtor.com/realestateandhomes-detail/10118-Telfair-Ave_Pacoima_CA_91331_M20885-98320" TargetMode="External"/><Relationship Id="rId1048" Type="http://schemas.openxmlformats.org/officeDocument/2006/relationships/hyperlink" Target="https://www.realtor.com/realestateandhomes-detail/8581-Appian-Way_Los-Angeles_CA_90046_M10160-28855" TargetMode="External"/><Relationship Id="rId1255" Type="http://schemas.openxmlformats.org/officeDocument/2006/relationships/hyperlink" Target="https://www.realtor.com/realestateandhomes-detail/1028-N-Anaheim-Blvd-Unit-9_Anaheim_CA_92801_M90834-82728" TargetMode="External"/><Relationship Id="rId1462" Type="http://schemas.openxmlformats.org/officeDocument/2006/relationships/hyperlink" Target="https://www.realtor.com/realestateandhomes-detail/412-Arenoso-Ln-Unit-106_San-Clemente_CA_92672_M22685-33728" TargetMode="External"/><Relationship Id="rId2306" Type="http://schemas.openxmlformats.org/officeDocument/2006/relationships/hyperlink" Target="https://www.realtor.com/realestateandhomes-detail/244-246-W-66th-St_Los-Angeles_CA_90003_M96381-85591" TargetMode="External"/><Relationship Id="rId2513" Type="http://schemas.openxmlformats.org/officeDocument/2006/relationships/hyperlink" Target="https://www.realtor.com/realestateandhomes-detail/14272-Hoover-St-Trlr-10_Westminster_CA_92683_M23819-19133" TargetMode="External"/><Relationship Id="rId1115" Type="http://schemas.openxmlformats.org/officeDocument/2006/relationships/hyperlink" Target="https://www.realtor.com/realestateandhomes-detail/20701-Mopena-Way_Porter-Ranch_CA_91326_M14476-74702" TargetMode="External"/><Relationship Id="rId1322" Type="http://schemas.openxmlformats.org/officeDocument/2006/relationships/hyperlink" Target="https://www.realtor.com/realestateandhomes-detail/20276-Green-Hill-Ln-62_Yorba-Linda_CA_92886_M12069-44325" TargetMode="External"/><Relationship Id="rId1767" Type="http://schemas.openxmlformats.org/officeDocument/2006/relationships/hyperlink" Target="https://www.realtor.com/realestateandhomes-detail/844-N-Harper-Ave_Los-Angeles_CA_90046_M24319-59712" TargetMode="External"/><Relationship Id="rId1974" Type="http://schemas.openxmlformats.org/officeDocument/2006/relationships/hyperlink" Target="https://www.realtor.com/realestateandhomes-detail/990-Corsica-Dr_Pacific-Palisades_CA_90272_M27873-58708" TargetMode="External"/><Relationship Id="rId59" Type="http://schemas.openxmlformats.org/officeDocument/2006/relationships/hyperlink" Target="https://www.realtor.com/realestateandhomes-detail/103-Gannet-Ln_Fountain-Valley_CA_92708_M25589-81150" TargetMode="External"/><Relationship Id="rId1627" Type="http://schemas.openxmlformats.org/officeDocument/2006/relationships/hyperlink" Target="https://www.realtor.com/realestateandhomes-detail/1043-S-Victoria-Ave_Los-Angeles_CA_90019_M19602-92902" TargetMode="External"/><Relationship Id="rId1834" Type="http://schemas.openxmlformats.org/officeDocument/2006/relationships/hyperlink" Target="https://www.realtor.com/realestateandhomes-detail/15514-Casiano-Ct_Los-Angeles_CA_90077_M20934-66860" TargetMode="External"/><Relationship Id="rId2096" Type="http://schemas.openxmlformats.org/officeDocument/2006/relationships/hyperlink" Target="https://www.realtor.com/realestateandhomes-detail/63-Longchamp_Irvine_CA_92602_M92720-87765" TargetMode="External"/><Relationship Id="rId1901" Type="http://schemas.openxmlformats.org/officeDocument/2006/relationships/hyperlink" Target="https://www.realtor.com/realestateandhomes-detail/2917-S-Mansfield-Ave_Los-Angeles_CA_90016_M10897-97751" TargetMode="External"/><Relationship Id="rId275" Type="http://schemas.openxmlformats.org/officeDocument/2006/relationships/hyperlink" Target="https://www.realtor.com/realestateandhomes-detail/2258-Channel-Rd_Newport-Beach_CA_92661_M17130-57861" TargetMode="External"/><Relationship Id="rId482" Type="http://schemas.openxmlformats.org/officeDocument/2006/relationships/hyperlink" Target="https://www.realtor.com/realestateandhomes-detail/704-Grandview-Ave_Fullerton_CA_92832_M23068-27496" TargetMode="External"/><Relationship Id="rId2163" Type="http://schemas.openxmlformats.org/officeDocument/2006/relationships/hyperlink" Target="https://www.realtor.com/realestateandhomes-detail/8622-Watson-St_Cypress_CA_90630_M19278-90945" TargetMode="External"/><Relationship Id="rId2370" Type="http://schemas.openxmlformats.org/officeDocument/2006/relationships/hyperlink" Target="https://www.realtor.com/realestateandhomes-detail/7229-DE-Celis-Pl_Van-Nuys_CA_91406_M10180-67813" TargetMode="External"/><Relationship Id="rId135" Type="http://schemas.openxmlformats.org/officeDocument/2006/relationships/hyperlink" Target="https://www.realtor.com/realestateandhomes-detail/1156-N-Kingsley-Dr_Los-Angeles_CA_90029_M25649-24595" TargetMode="External"/><Relationship Id="rId342" Type="http://schemas.openxmlformats.org/officeDocument/2006/relationships/hyperlink" Target="https://www.realtor.com/realestateandhomes-detail/6250-Hollywood-Blvd-Unit-12F_Los-Angeles_CA_90028_M12981-67654" TargetMode="External"/><Relationship Id="rId787" Type="http://schemas.openxmlformats.org/officeDocument/2006/relationships/hyperlink" Target="https://www.realtor.com/realestateandhomes-detail/20008-Villa-Palazzo_Yorba-Linda_CA_92886_M15249-49776" TargetMode="External"/><Relationship Id="rId994" Type="http://schemas.openxmlformats.org/officeDocument/2006/relationships/hyperlink" Target="https://www.realtor.com/realestateandhomes-detail/14607-Bestor-Blvd_Pacific-Palisades_CA_90272_M10375-25006" TargetMode="External"/><Relationship Id="rId2023" Type="http://schemas.openxmlformats.org/officeDocument/2006/relationships/hyperlink" Target="https://www.realtor.com/realestateandhomes-detail/633-Sunnyhill-Dr_Los-Angeles_CA_90065_M22340-84925" TargetMode="External"/><Relationship Id="rId2230" Type="http://schemas.openxmlformats.org/officeDocument/2006/relationships/hyperlink" Target="https://www.realtor.com/realestateandhomes-detail/8877-Lauderdale-Ct-Unit-213G_Huntington-Beach_CA_92646_M14764-04938" TargetMode="External"/><Relationship Id="rId2468" Type="http://schemas.openxmlformats.org/officeDocument/2006/relationships/hyperlink" Target="https://www.realtor.com/realestateandhomes-detail/549-Fordham-Dr_Placentia_CA_92870_M23781-89849" TargetMode="External"/><Relationship Id="rId202" Type="http://schemas.openxmlformats.org/officeDocument/2006/relationships/hyperlink" Target="https://www.realtor.com/realestateandhomes-detail/6056-Craner-Ave_North-Hollywood_CA_91606_M18055-11699" TargetMode="External"/><Relationship Id="rId647" Type="http://schemas.openxmlformats.org/officeDocument/2006/relationships/hyperlink" Target="https://www.realtor.com/realestateandhomes-detail/2654-Roscomare-Rd_Los-Angeles_CA_90077_M22288-91295" TargetMode="External"/><Relationship Id="rId854" Type="http://schemas.openxmlformats.org/officeDocument/2006/relationships/hyperlink" Target="https://www.realtor.com/realestateandhomes-detail/7114-7116-Miramonte-Blvd_Los-Angeles_CA_90001_M93451-02465" TargetMode="External"/><Relationship Id="rId1277" Type="http://schemas.openxmlformats.org/officeDocument/2006/relationships/hyperlink" Target="https://www.realtor.com/realestateandhomes-detail/17110-Bluewater-Ln_Huntington-Beach_CA_92649_M96537-02042" TargetMode="External"/><Relationship Id="rId1484" Type="http://schemas.openxmlformats.org/officeDocument/2006/relationships/hyperlink" Target="https://www.realtor.com/realestateandhomes-detail/34882-Doheny-Pl_Capistrano-Beach_CA_92624_M13353-82055" TargetMode="External"/><Relationship Id="rId1691" Type="http://schemas.openxmlformats.org/officeDocument/2006/relationships/hyperlink" Target="https://www.realtor.com/realestateandhomes-detail/12066-Lamanda-St_Los-Angeles_CA_90066_M15388-97848" TargetMode="External"/><Relationship Id="rId2328" Type="http://schemas.openxmlformats.org/officeDocument/2006/relationships/hyperlink" Target="https://www.realtor.com/realestateandhomes-detail/1249-S-Burnside-Ave_Los-Angeles_CA_90019_M20214-09048" TargetMode="External"/><Relationship Id="rId2535" Type="http://schemas.openxmlformats.org/officeDocument/2006/relationships/hyperlink" Target="https://www.realtor.com/realestateandhomes-detail/5099-Vista-Del-Amigo_Yorba-Linda_CA_92886_M15215-08991" TargetMode="External"/><Relationship Id="rId507" Type="http://schemas.openxmlformats.org/officeDocument/2006/relationships/hyperlink" Target="https://www.realtor.com/realestateandhomes-detail/Beach-St_Los-Angeles_CA_90002_M96772-74032" TargetMode="External"/><Relationship Id="rId714" Type="http://schemas.openxmlformats.org/officeDocument/2006/relationships/hyperlink" Target="https://www.realtor.com/realestateandhomes-detail/17179-17181-Kingsbury_Granada-Hills_CA_91344_M93361-76488" TargetMode="External"/><Relationship Id="rId921" Type="http://schemas.openxmlformats.org/officeDocument/2006/relationships/hyperlink" Target="https://www.realtor.com/realestateandhomes-detail/22315-3rd-Ave_Laguna-Beach_CA_92651_M20533-70448" TargetMode="External"/><Relationship Id="rId1137" Type="http://schemas.openxmlformats.org/officeDocument/2006/relationships/hyperlink" Target="https://www.realtor.com/realestateandhomes-detail/460-S-Spring-St-Apt-1008_Los-Angeles_CA_90013_M15738-69932" TargetMode="External"/><Relationship Id="rId1344" Type="http://schemas.openxmlformats.org/officeDocument/2006/relationships/hyperlink" Target="https://www.realtor.com/realestateandhomes-detail/5001-Buchanan-St_Los-Angeles_CA_90042_M14457-91076" TargetMode="External"/><Relationship Id="rId1551" Type="http://schemas.openxmlformats.org/officeDocument/2006/relationships/hyperlink" Target="https://www.realtor.com/realestateandhomes-detail/3397-Punta-Alta-Unit-C_Laguna-Woods_CA_92637_M11532-06835" TargetMode="External"/><Relationship Id="rId1789" Type="http://schemas.openxmlformats.org/officeDocument/2006/relationships/hyperlink" Target="https://www.realtor.com/realestateandhomes-detail/6304-W-79th-St_Los-Angeles_CA_90045_M13841-92399" TargetMode="External"/><Relationship Id="rId1996" Type="http://schemas.openxmlformats.org/officeDocument/2006/relationships/hyperlink" Target="https://www.realtor.com/realestateandhomes-detail/3663-Roderick-Rd_Los-Angeles_CA_90065_M11064-84670" TargetMode="External"/><Relationship Id="rId50" Type="http://schemas.openxmlformats.org/officeDocument/2006/relationships/hyperlink" Target="https://www.realtor.com/realestateandhomes-detail/14923-LA-Valle-St_Sylmar_CA_91342_M14237-48012" TargetMode="External"/><Relationship Id="rId1204" Type="http://schemas.openxmlformats.org/officeDocument/2006/relationships/hyperlink" Target="https://www.realtor.com/realestateandhomes-detail/1421-S-Shenandoah-St_Los-Angeles_CA_90035_M27122-30658" TargetMode="External"/><Relationship Id="rId1411" Type="http://schemas.openxmlformats.org/officeDocument/2006/relationships/hyperlink" Target="https://www.realtor.com/realestateandhomes-detail/14143-Victory-Blvd_Van-Nuys_CA_91401_M13376-63226" TargetMode="External"/><Relationship Id="rId1649" Type="http://schemas.openxmlformats.org/officeDocument/2006/relationships/hyperlink" Target="https://www.realtor.com/realestateandhomes-detail/1375-Kelton-Ave-Apt-206_Los-Angeles_CA_90024_M23796-43405" TargetMode="External"/><Relationship Id="rId1856" Type="http://schemas.openxmlformats.org/officeDocument/2006/relationships/hyperlink" Target="https://www.realtor.com/realestateandhomes-detail/10869-Farralone-Ave_Chatsworth_CA_91311_M21483-24253" TargetMode="External"/><Relationship Id="rId1509" Type="http://schemas.openxmlformats.org/officeDocument/2006/relationships/hyperlink" Target="https://www.realtor.com/realestateandhomes-detail/31995-Coast-Hwy_Laguna-Beach_CA_92651_M21020-02503" TargetMode="External"/><Relationship Id="rId1716" Type="http://schemas.openxmlformats.org/officeDocument/2006/relationships/hyperlink" Target="https://www.realtor.com/realestateandhomes-detail/9200-Westminster-Blvd-Spc-71_Westminster_CA_92683_M20925-97514" TargetMode="External"/><Relationship Id="rId1923" Type="http://schemas.openxmlformats.org/officeDocument/2006/relationships/hyperlink" Target="https://www.realtor.com/realestateandhomes-detail/146-E-94th-St_Los-Angeles_CA_90003_M20426-34188" TargetMode="External"/><Relationship Id="rId297" Type="http://schemas.openxmlformats.org/officeDocument/2006/relationships/hyperlink" Target="https://www.realtor.com/realestateandhomes-detail/2177-Fern-Dell-Pl_Los-Angeles_CA_90068_M14177-18449" TargetMode="External"/><Relationship Id="rId2185" Type="http://schemas.openxmlformats.org/officeDocument/2006/relationships/hyperlink" Target="https://www.realtor.com/realestateandhomes-detail/1743-45-W-60th-Pl_Los-Angeles_CA_90047_M90607-77084" TargetMode="External"/><Relationship Id="rId2392" Type="http://schemas.openxmlformats.org/officeDocument/2006/relationships/hyperlink" Target="https://www.realtor.com/realestateandhomes-detail/15940-Silvertip-Ct_Fountain-Valley_CA_92708_M21999-43423" TargetMode="External"/><Relationship Id="rId157" Type="http://schemas.openxmlformats.org/officeDocument/2006/relationships/hyperlink" Target="https://www.realtor.com/realestateandhomes-detail/56-Derby_Irvine_CA_92602_M95457-36204" TargetMode="External"/><Relationship Id="rId364" Type="http://schemas.openxmlformats.org/officeDocument/2006/relationships/hyperlink" Target="https://www.realtor.com/realestateandhomes-detail/1421-Greenfield-Ave_Los-Angeles_CA_90025_M93179-19781" TargetMode="External"/><Relationship Id="rId2045" Type="http://schemas.openxmlformats.org/officeDocument/2006/relationships/hyperlink" Target="https://www.realtor.com/realestateandhomes-detail/13361-El-Dorado-Dr-Apt-201F_Seal-Beach_CA_90740_M93856-68982" TargetMode="External"/><Relationship Id="rId571" Type="http://schemas.openxmlformats.org/officeDocument/2006/relationships/hyperlink" Target="https://www.realtor.com/realestateandhomes-detail/1210-Kings-Rd_Newport-Beach_CA_92663_M16931-20582" TargetMode="External"/><Relationship Id="rId669" Type="http://schemas.openxmlformats.org/officeDocument/2006/relationships/hyperlink" Target="https://www.realtor.com/realestateandhomes-detail/1123-E-67th-St_Los-Angeles_CA_90001_M28130-44389" TargetMode="External"/><Relationship Id="rId876" Type="http://schemas.openxmlformats.org/officeDocument/2006/relationships/hyperlink" Target="https://www.realtor.com/realestateandhomes-detail/760-Gadall_Irvine_CA_92618_M93474-05136" TargetMode="External"/><Relationship Id="rId1299" Type="http://schemas.openxmlformats.org/officeDocument/2006/relationships/hyperlink" Target="https://www.realtor.com/realestateandhomes-detail/101-Scholz-Plz-Ph-19_Newport-Beach_CA_92663_M18540-65187" TargetMode="External"/><Relationship Id="rId2252" Type="http://schemas.openxmlformats.org/officeDocument/2006/relationships/hyperlink" Target="https://www.realtor.com/realestateandhomes-detail/2516-Woodstock-Rd_Los-Angeles_CA_90046_M17608-54716" TargetMode="External"/><Relationship Id="rId224" Type="http://schemas.openxmlformats.org/officeDocument/2006/relationships/hyperlink" Target="https://www.realtor.com/realestateandhomes-detail/9727-N-Estaban-Way_Tujunga_CA_91042_M93913-67743" TargetMode="External"/><Relationship Id="rId431" Type="http://schemas.openxmlformats.org/officeDocument/2006/relationships/hyperlink" Target="https://www.realtor.com/realestateandhomes-detail/506-N-Sycamore-Ave_Los-Angeles_CA_90036_M23033-54946" TargetMode="External"/><Relationship Id="rId529" Type="http://schemas.openxmlformats.org/officeDocument/2006/relationships/hyperlink" Target="https://www.realtor.com/realestateandhomes-detail/2388-Via-Mariposa-W-Unit-3E_Laguna-Woods_CA_92637_M23828-59190" TargetMode="External"/><Relationship Id="rId736" Type="http://schemas.openxmlformats.org/officeDocument/2006/relationships/hyperlink" Target="https://www.realtor.com/realestateandhomes-detail/2612-Marathon-St-12_Los-Angeles_CA_90026_M99347-11269" TargetMode="External"/><Relationship Id="rId1061" Type="http://schemas.openxmlformats.org/officeDocument/2006/relationships/hyperlink" Target="https://www.realtor.com/realestateandhomes-detail/3456-Laurelvale-Dr_Studio-City_CA_91604_M12899-74650" TargetMode="External"/><Relationship Id="rId1159" Type="http://schemas.openxmlformats.org/officeDocument/2006/relationships/hyperlink" Target="https://www.realtor.com/realestateandhomes-detail/5400-Thornburn-St_Los-Angeles_CA_90045_M10296-50395" TargetMode="External"/><Relationship Id="rId1366" Type="http://schemas.openxmlformats.org/officeDocument/2006/relationships/hyperlink" Target="https://www.realtor.com/realestateandhomes-detail/819-S-Curson-Ave_Los-Angeles_CA_90036_M21646-22065" TargetMode="External"/><Relationship Id="rId2112" Type="http://schemas.openxmlformats.org/officeDocument/2006/relationships/hyperlink" Target="https://www.realtor.com/realestateandhomes-detail/5016-Rubio-Ave_Encino_CA_91436_M21351-14439" TargetMode="External"/><Relationship Id="rId2417" Type="http://schemas.openxmlformats.org/officeDocument/2006/relationships/hyperlink" Target="https://www.realtor.com/realestateandhomes-detail/4102-Avenida-Sevilla_Cypress_CA_90630_M25822-66373" TargetMode="External"/><Relationship Id="rId943" Type="http://schemas.openxmlformats.org/officeDocument/2006/relationships/hyperlink" Target="https://www.realtor.com/realestateandhomes-detail/849-S-Broadway-Apt-604_Los-Angeles_CA_90014_M21710-23126" TargetMode="External"/><Relationship Id="rId1019" Type="http://schemas.openxmlformats.org/officeDocument/2006/relationships/hyperlink" Target="https://www.realtor.com/realestateandhomes-detail/3260-Malcolm-Ave_Los-Angeles_CA_90034_M23098-92933" TargetMode="External"/><Relationship Id="rId1573" Type="http://schemas.openxmlformats.org/officeDocument/2006/relationships/hyperlink" Target="https://www.realtor.com/realestateandhomes-detail/5700-Carbon-Canyon-Rd-Spc-46_Brea_CA_92823_M29025-88181" TargetMode="External"/><Relationship Id="rId1780" Type="http://schemas.openxmlformats.org/officeDocument/2006/relationships/hyperlink" Target="https://www.realtor.com/realestateandhomes-detail/2450-Corinth-Ave_Los-Angeles_CA_90064_M24997-25643" TargetMode="External"/><Relationship Id="rId1878" Type="http://schemas.openxmlformats.org/officeDocument/2006/relationships/hyperlink" Target="https://www.realtor.com/realestateandhomes-detail/824-N-Curson-Ave_Los-Angeles_CA_90046_M22633-31323" TargetMode="External"/><Relationship Id="rId72" Type="http://schemas.openxmlformats.org/officeDocument/2006/relationships/hyperlink" Target="https://www.realtor.com/realestateandhomes-detail/17229-Oak-View-Dr_Encino_CA_91316_M10043-79839" TargetMode="External"/><Relationship Id="rId803" Type="http://schemas.openxmlformats.org/officeDocument/2006/relationships/hyperlink" Target="https://www.realtor.com/realestateandhomes-detail/10377-Morning-Glory-Ave_Fountain-Valley_CA_92708_M29527-72597" TargetMode="External"/><Relationship Id="rId1226" Type="http://schemas.openxmlformats.org/officeDocument/2006/relationships/hyperlink" Target="https://www.realtor.com/realestateandhomes-detail/1204-Birchcrest-Ave_Brea_CA_92821_M24996-13662" TargetMode="External"/><Relationship Id="rId1433" Type="http://schemas.openxmlformats.org/officeDocument/2006/relationships/hyperlink" Target="https://www.realtor.com/realestateandhomes-detail/1158-N-Kenmore-Ave_Los-Angeles_CA_90029_M26034-94846" TargetMode="External"/><Relationship Id="rId1640" Type="http://schemas.openxmlformats.org/officeDocument/2006/relationships/hyperlink" Target="https://www.realtor.com/realestateandhomes-detail/4915-Winnetka-Ave_Woodland-Hills_CA_91364_M20159-12062" TargetMode="External"/><Relationship Id="rId1738" Type="http://schemas.openxmlformats.org/officeDocument/2006/relationships/hyperlink" Target="https://www.realtor.com/realestateandhomes-detail/1001-W-G-St_Wilmington_CA_90744_M15683-41181" TargetMode="External"/><Relationship Id="rId1500" Type="http://schemas.openxmlformats.org/officeDocument/2006/relationships/hyperlink" Target="https://www.realtor.com/realestateandhomes-detail/1000-N-Bundy-Dr_Los-Angeles_CA_90049_M11318-07841" TargetMode="External"/><Relationship Id="rId1945" Type="http://schemas.openxmlformats.org/officeDocument/2006/relationships/hyperlink" Target="https://www.realtor.com/realestateandhomes-detail/7316-10th-Ave_Los-Angeles_CA_90043_M22073-82548" TargetMode="External"/><Relationship Id="rId1805" Type="http://schemas.openxmlformats.org/officeDocument/2006/relationships/hyperlink" Target="https://www.realtor.com/realestateandhomes-detail/8936-Willis-Ave-Unit-11_Panorama-City_CA_91402_M28994-30696" TargetMode="External"/><Relationship Id="rId179" Type="http://schemas.openxmlformats.org/officeDocument/2006/relationships/hyperlink" Target="https://www.realtor.com/realestateandhomes-detail/4-Jib-St-Apt-2_Marina-Del-Rey_CA_90292_M28165-50782" TargetMode="External"/><Relationship Id="rId386" Type="http://schemas.openxmlformats.org/officeDocument/2006/relationships/hyperlink" Target="https://www.realtor.com/realestateandhomes-detail/1124-S-Citron-St_Anaheim_CA_92805_M93244-80495" TargetMode="External"/><Relationship Id="rId593" Type="http://schemas.openxmlformats.org/officeDocument/2006/relationships/hyperlink" Target="https://www.realtor.com/realestateandhomes-detail/1113-Palms-Blvd_Venice_CA_90291_M18798-81222" TargetMode="External"/><Relationship Id="rId2067" Type="http://schemas.openxmlformats.org/officeDocument/2006/relationships/hyperlink" Target="https://www.realtor.com/realestateandhomes-detail/3546-Multiview-Dr_Los-Angeles_CA_90068_M21023-72197" TargetMode="External"/><Relationship Id="rId2274" Type="http://schemas.openxmlformats.org/officeDocument/2006/relationships/hyperlink" Target="https://www.realtor.com/realestateandhomes-detail/10131-Johanna-Ave_Sunland_CA_91040_M25623-34352" TargetMode="External"/><Relationship Id="rId2481" Type="http://schemas.openxmlformats.org/officeDocument/2006/relationships/hyperlink" Target="https://www.realtor.com/realestateandhomes-detail/780-W-Aster-Pl_Santa-Ana_CA_92706_M10399-74958" TargetMode="External"/><Relationship Id="rId246" Type="http://schemas.openxmlformats.org/officeDocument/2006/relationships/hyperlink" Target="https://www.realtor.com/realestateandhomes-detail/5111-Randall-St_Culver-City_CA_90230_M12364-84724" TargetMode="External"/><Relationship Id="rId453" Type="http://schemas.openxmlformats.org/officeDocument/2006/relationships/hyperlink" Target="https://www.realtor.com/realestateandhomes-detail/1523-Highgate-Ave_Los-Angeles_CA_90042_M17020-68963" TargetMode="External"/><Relationship Id="rId660" Type="http://schemas.openxmlformats.org/officeDocument/2006/relationships/hyperlink" Target="https://www.realtor.com/realestateandhomes-detail/440-E-27th-St_Los-Angeles_CA_90011_M27876-71357" TargetMode="External"/><Relationship Id="rId898" Type="http://schemas.openxmlformats.org/officeDocument/2006/relationships/hyperlink" Target="https://www.realtor.com/realestateandhomes-detail/30-Waterway_Irvine_CA_92614_M26800-64802" TargetMode="External"/><Relationship Id="rId1083" Type="http://schemas.openxmlformats.org/officeDocument/2006/relationships/hyperlink" Target="https://www.realtor.com/realestateandhomes-detail/11929-Bray-St_Culver-City_CA_90230_M11764-12025" TargetMode="External"/><Relationship Id="rId1290" Type="http://schemas.openxmlformats.org/officeDocument/2006/relationships/hyperlink" Target="https://www.realtor.com/realestateandhomes-detail/8932-Biscayne-Ct-Unit-1318A_Huntington-Beach_CA_92646_M19380-68644" TargetMode="External"/><Relationship Id="rId2134" Type="http://schemas.openxmlformats.org/officeDocument/2006/relationships/hyperlink" Target="https://www.realtor.com/realestateandhomes-detail/1218-E-89th-St_Los-Angeles_CA_90002_M25102-27883" TargetMode="External"/><Relationship Id="rId2341" Type="http://schemas.openxmlformats.org/officeDocument/2006/relationships/hyperlink" Target="https://www.realtor.com/realestateandhomes-detail/10646-Samoa-Ave_Tujunga_CA_91042_M11162-55347" TargetMode="External"/><Relationship Id="rId106" Type="http://schemas.openxmlformats.org/officeDocument/2006/relationships/hyperlink" Target="https://www.realtor.com/realestateandhomes-detail/9080-Bloomfield-Ave-Spc-223_Cypress_CA_90630_M97579-97920" TargetMode="External"/><Relationship Id="rId313" Type="http://schemas.openxmlformats.org/officeDocument/2006/relationships/hyperlink" Target="https://www.realtor.com/realestateandhomes-detail/2928-Westbrook-Ave_Los-Angeles_CA_90046_M11602-10787" TargetMode="External"/><Relationship Id="rId758" Type="http://schemas.openxmlformats.org/officeDocument/2006/relationships/hyperlink" Target="https://www.realtor.com/realestateandhomes-detail/6672-Sun-Dr-Unit-C_Huntington-Beach_CA_92647_M22052-70801" TargetMode="External"/><Relationship Id="rId965" Type="http://schemas.openxmlformats.org/officeDocument/2006/relationships/hyperlink" Target="https://www.realtor.com/realestateandhomes-detail/2112-City-View-Ave_Los-Angeles_CA_90033_M10995-50056" TargetMode="External"/><Relationship Id="rId1150" Type="http://schemas.openxmlformats.org/officeDocument/2006/relationships/hyperlink" Target="https://www.realtor.com/realestateandhomes-detail/222-Harringay_Irvine_CA_92618_M92676-40233" TargetMode="External"/><Relationship Id="rId1388" Type="http://schemas.openxmlformats.org/officeDocument/2006/relationships/hyperlink" Target="https://www.realtor.com/realestateandhomes-detail/17905-Bullock-St_Encino_CA_91316_M13994-96107" TargetMode="External"/><Relationship Id="rId1595" Type="http://schemas.openxmlformats.org/officeDocument/2006/relationships/hyperlink" Target="https://www.realtor.com/realestateandhomes-detail/4392-E-Rosehill-Dr_Los-Angeles_CA_90032_M97691-82033" TargetMode="External"/><Relationship Id="rId2439" Type="http://schemas.openxmlformats.org/officeDocument/2006/relationships/hyperlink" Target="https://www.realtor.com/realestateandhomes-detail/1817-E-Alcove-Way_Anaheim_CA_92805_M20333-39041" TargetMode="External"/><Relationship Id="rId94" Type="http://schemas.openxmlformats.org/officeDocument/2006/relationships/hyperlink" Target="https://www.realtor.com/realestateandhomes-detail/1136-N-Doheny-Dr_Los-Angeles_CA_90069_M28603-85281" TargetMode="External"/><Relationship Id="rId520" Type="http://schemas.openxmlformats.org/officeDocument/2006/relationships/hyperlink" Target="https://www.realtor.com/realestateandhomes-detail/18371-Lahey-St_Porter-Ranch_CA_91326_M20444-64071" TargetMode="External"/><Relationship Id="rId618" Type="http://schemas.openxmlformats.org/officeDocument/2006/relationships/hyperlink" Target="https://www.realtor.com/realestateandhomes-detail/108-S-Formosa-Ave_Los-Angeles_CA_90036_M20129-04190" TargetMode="External"/><Relationship Id="rId825" Type="http://schemas.openxmlformats.org/officeDocument/2006/relationships/hyperlink" Target="https://www.realtor.com/realestateandhomes-detail/4804-Excelente-Dr_Woodland-Hills_CA_91364_M28644-43051" TargetMode="External"/><Relationship Id="rId1248" Type="http://schemas.openxmlformats.org/officeDocument/2006/relationships/hyperlink" Target="https://www.realtor.com/realestateandhomes-detail/6970-Crimson-Dr_Buena-Park_CA_90621_M98411-01564" TargetMode="External"/><Relationship Id="rId1455" Type="http://schemas.openxmlformats.org/officeDocument/2006/relationships/hyperlink" Target="https://www.realtor.com/realestateandhomes-detail/11051-Strathmore-Dr-1_Los-Angeles_CA_90024_M23343-92646" TargetMode="External"/><Relationship Id="rId1662" Type="http://schemas.openxmlformats.org/officeDocument/2006/relationships/hyperlink" Target="https://www.realtor.com/realestateandhomes-detail/942-S-Mansfield-Ave-Apt-2_Los-Angeles_CA_90036_M18426-20902" TargetMode="External"/><Relationship Id="rId2201" Type="http://schemas.openxmlformats.org/officeDocument/2006/relationships/hyperlink" Target="https://www.realtor.com/realestateandhomes-detail/2815-S-Fairview-St-Unit-A_Santa-Ana_CA_92704_M18563-12516" TargetMode="External"/><Relationship Id="rId2506" Type="http://schemas.openxmlformats.org/officeDocument/2006/relationships/hyperlink" Target="https://www.realtor.com/realestateandhomes-detail/7887-Lampson-Ave-Spc-100_Garden-Grove_CA_92841_M29077-78847" TargetMode="External"/><Relationship Id="rId1010" Type="http://schemas.openxmlformats.org/officeDocument/2006/relationships/hyperlink" Target="https://www.realtor.com/realestateandhomes-detail/250-N-Carolwood-Dr_Los-Angeles_CA_90077_M22190-54554" TargetMode="External"/><Relationship Id="rId1108" Type="http://schemas.openxmlformats.org/officeDocument/2006/relationships/hyperlink" Target="https://www.realtor.com/realestateandhomes-detail/9318-Hooper-Ave_Los-Angeles_CA_90002_M19821-14298" TargetMode="External"/><Relationship Id="rId1315" Type="http://schemas.openxmlformats.org/officeDocument/2006/relationships/hyperlink" Target="https://www.realtor.com/realestateandhomes-detail/967-S-Citron-St_Anaheim_CA_92805_M99167-39224" TargetMode="External"/><Relationship Id="rId1967" Type="http://schemas.openxmlformats.org/officeDocument/2006/relationships/hyperlink" Target="https://www.realtor.com/realestateandhomes-detail/1256-Monument-St_Pacific-Palisades_CA_90272_M25463-24060" TargetMode="External"/><Relationship Id="rId1522" Type="http://schemas.openxmlformats.org/officeDocument/2006/relationships/hyperlink" Target="https://www.realtor.com/realestateandhomes-detail/28451-LA-Pradera_Laguna-Niguel_CA_92677_M26075-84195" TargetMode="External"/><Relationship Id="rId21" Type="http://schemas.openxmlformats.org/officeDocument/2006/relationships/hyperlink" Target="https://www.realtor.com/realestateandhomes-detail/649-N-Las-Casas-Ave_Pacific-Palisades_CA_90272_M28770-57832" TargetMode="External"/><Relationship Id="rId2089" Type="http://schemas.openxmlformats.org/officeDocument/2006/relationships/hyperlink" Target="https://www.realtor.com/realestateandhomes-detail/924-926-W-75th_Los-Angeles_CA_90044_M97890-13752" TargetMode="External"/><Relationship Id="rId2296" Type="http://schemas.openxmlformats.org/officeDocument/2006/relationships/hyperlink" Target="https://www.realtor.com/realestateandhomes-detail/1070-Oban-Dr_Los-Angeles_CA_90065_M10607-69506" TargetMode="External"/><Relationship Id="rId268" Type="http://schemas.openxmlformats.org/officeDocument/2006/relationships/hyperlink" Target="https://www.realtor.com/realestateandhomes-detail/118-Astronaut-E-S-Onizuka-St-Apt-804_Los-Angeles_CA_90012_M90349-16136" TargetMode="External"/><Relationship Id="rId475" Type="http://schemas.openxmlformats.org/officeDocument/2006/relationships/hyperlink" Target="https://www.realtor.com/realestateandhomes-detail/1121-5th-Ave_Los-Angeles_CA_90019_M19178-46994" TargetMode="External"/><Relationship Id="rId682" Type="http://schemas.openxmlformats.org/officeDocument/2006/relationships/hyperlink" Target="https://www.realtor.com/realestateandhomes-detail/8106-S-Normandie-Ave_Los-Angeles_CA_90044_M15459-16440" TargetMode="External"/><Relationship Id="rId2156" Type="http://schemas.openxmlformats.org/officeDocument/2006/relationships/hyperlink" Target="https://www.realtor.com/realestateandhomes-detail/8800-Burnet-Ave-Unit-12_North-Hills_CA_91343_M29836-51726" TargetMode="External"/><Relationship Id="rId2363" Type="http://schemas.openxmlformats.org/officeDocument/2006/relationships/hyperlink" Target="https://www.realtor.com/realestateandhomes-detail/7431-Vanalden-Ave_Reseda_CA_91335_M11073-79756" TargetMode="External"/><Relationship Id="rId128" Type="http://schemas.openxmlformats.org/officeDocument/2006/relationships/hyperlink" Target="https://www.realtor.com/realestateandhomes-detail/8230-Kyle-St_Sunland_CA_91040_M28347-48392" TargetMode="External"/><Relationship Id="rId335" Type="http://schemas.openxmlformats.org/officeDocument/2006/relationships/hyperlink" Target="https://www.realtor.com/realestateandhomes-detail/1153-S-Ardmore-Ave_Los-Angeles_CA_90006_M94840-84133" TargetMode="External"/><Relationship Id="rId542" Type="http://schemas.openxmlformats.org/officeDocument/2006/relationships/hyperlink" Target="https://www.realtor.com/realestateandhomes-detail/30932-Steeplechase-Dr_San-Juan-Capistrano_CA_92675_M16338-20318" TargetMode="External"/><Relationship Id="rId1172" Type="http://schemas.openxmlformats.org/officeDocument/2006/relationships/hyperlink" Target="https://www.realtor.com/realestateandhomes-detail/1301-N-Stone-St_Los-Angeles_CA_90063_M22741-18542" TargetMode="External"/><Relationship Id="rId2016" Type="http://schemas.openxmlformats.org/officeDocument/2006/relationships/hyperlink" Target="https://www.realtor.com/realestateandhomes-detail/249-Steely_Irvine_CA_92614_M94591-60388" TargetMode="External"/><Relationship Id="rId2223" Type="http://schemas.openxmlformats.org/officeDocument/2006/relationships/hyperlink" Target="https://www.realtor.com/realestateandhomes-detail/13075-Pacific-Promenade-Apt-115_Playa-Vista_CA_90094_M16505-94760" TargetMode="External"/><Relationship Id="rId2430" Type="http://schemas.openxmlformats.org/officeDocument/2006/relationships/hyperlink" Target="https://www.realtor.com/realestateandhomes-detail/8276-Constantine-Dr_Huntington-Beach_CA_92646_M12303-07841" TargetMode="External"/><Relationship Id="rId402" Type="http://schemas.openxmlformats.org/officeDocument/2006/relationships/hyperlink" Target="https://www.realtor.com/realestateandhomes-detail/1609-N-Coronado-St_Los-Angeles_CA_90026_M95497-04822" TargetMode="External"/><Relationship Id="rId1032" Type="http://schemas.openxmlformats.org/officeDocument/2006/relationships/hyperlink" Target="https://www.realtor.com/realestateandhomes-detail/2222-Avenue-of-the-Stars-Unit-1203_Los-Angeles_CA_90067_M26772-11955" TargetMode="External"/><Relationship Id="rId1989" Type="http://schemas.openxmlformats.org/officeDocument/2006/relationships/hyperlink" Target="https://www.realtor.com/realestateandhomes-detail/3538-City-Terrace-Dr_Los-Angeles_CA_90063_M18882-70676" TargetMode="External"/><Relationship Id="rId1849" Type="http://schemas.openxmlformats.org/officeDocument/2006/relationships/hyperlink" Target="https://www.realtor.com/realestateandhomes-detail/4365-McLaughlin-Ave-Apt-4_Los-Angeles_CA_90066_M15615-18275" TargetMode="External"/><Relationship Id="rId192" Type="http://schemas.openxmlformats.org/officeDocument/2006/relationships/hyperlink" Target="https://www.realtor.com/realestateandhomes-detail/10261-Calvin-Ave_Northridge_CA_91324_M21959-50128" TargetMode="External"/><Relationship Id="rId1709" Type="http://schemas.openxmlformats.org/officeDocument/2006/relationships/hyperlink" Target="https://www.realtor.com/realestateandhomes-detail/10982-Roebling-Ave-Apt-434_Los-Angeles_CA_90024_M12884-84349" TargetMode="External"/><Relationship Id="rId1916" Type="http://schemas.openxmlformats.org/officeDocument/2006/relationships/hyperlink" Target="https://www.realtor.com/realestateandhomes-detail/6181-Temple-Hill-Dr_Los-Angeles_CA_90068_M19992-91021" TargetMode="External"/><Relationship Id="rId2080" Type="http://schemas.openxmlformats.org/officeDocument/2006/relationships/hyperlink" Target="https://www.realtor.com/realestateandhomes-detail/18326-Collins-St-Unit-F_Tarzana_CA_91356_M14043-77945" TargetMode="External"/><Relationship Id="rId869" Type="http://schemas.openxmlformats.org/officeDocument/2006/relationships/hyperlink" Target="https://www.realtor.com/realestateandhomes-detail/2924-W-McFadden-Ave_Santa-Ana_CA_92704_M10215-28287" TargetMode="External"/><Relationship Id="rId1499" Type="http://schemas.openxmlformats.org/officeDocument/2006/relationships/hyperlink" Target="https://www.realtor.com/realestateandhomes-detail/24055-Paseo-Del-Lago-Unit-954_Laguna-Woods_CA_92637_M12924-62050" TargetMode="External"/><Relationship Id="rId729" Type="http://schemas.openxmlformats.org/officeDocument/2006/relationships/hyperlink" Target="https://www.realtor.com/realestateandhomes-detail/7916-S-Central-Ave_Los-Angeles_CA_90001_M93307-56168" TargetMode="External"/><Relationship Id="rId1359" Type="http://schemas.openxmlformats.org/officeDocument/2006/relationships/hyperlink" Target="https://www.realtor.com/realestateandhomes-detail/13825-Beaver-St-Unit-35_Sylmar_CA_91342_M22264-93221" TargetMode="External"/><Relationship Id="rId936" Type="http://schemas.openxmlformats.org/officeDocument/2006/relationships/hyperlink" Target="https://www.realtor.com/realestateandhomes-detail/1100-S-Hope-St-Apt-1516_Los-Angeles_CA_90015_M14815-17285" TargetMode="External"/><Relationship Id="rId1219" Type="http://schemas.openxmlformats.org/officeDocument/2006/relationships/hyperlink" Target="https://www.realtor.com/realestateandhomes-detail/247-S-Carondelet-St_Los-Angeles_CA_90057_M29843-23736" TargetMode="External"/><Relationship Id="rId1566" Type="http://schemas.openxmlformats.org/officeDocument/2006/relationships/hyperlink" Target="https://www.realtor.com/realestateandhomes-detail/7916-Mason-Ave_Winnetka_CA_91306_M13019-07976" TargetMode="External"/><Relationship Id="rId1773" Type="http://schemas.openxmlformats.org/officeDocument/2006/relationships/hyperlink" Target="https://www.realtor.com/realestateandhomes-detail/700-W-78th-St_Los-Angeles_CA_90044_M11252-95747" TargetMode="External"/><Relationship Id="rId1980" Type="http://schemas.openxmlformats.org/officeDocument/2006/relationships/hyperlink" Target="https://www.realtor.com/realestateandhomes-detail/501-Palisades-Dr-Apt-205_Pacific-Palisades_CA_90272_M29379-13116" TargetMode="External"/><Relationship Id="rId65" Type="http://schemas.openxmlformats.org/officeDocument/2006/relationships/hyperlink" Target="https://www.realtor.com/realestateandhomes-detail/2157-Ravensfield-Ln_Los-Angeles_CA_90077_M22306-80060" TargetMode="External"/><Relationship Id="rId1426" Type="http://schemas.openxmlformats.org/officeDocument/2006/relationships/hyperlink" Target="https://www.realtor.com/realestateandhomes-detail/18350-Napa-St_Northridge_CA_91325_M20258-66529" TargetMode="External"/><Relationship Id="rId1633" Type="http://schemas.openxmlformats.org/officeDocument/2006/relationships/hyperlink" Target="https://www.realtor.com/realestateandhomes-detail/10585-Esther-Ave_Los-Angeles_CA_90064_M21298-49792" TargetMode="External"/><Relationship Id="rId1840" Type="http://schemas.openxmlformats.org/officeDocument/2006/relationships/hyperlink" Target="https://www.realtor.com/realestateandhomes-detail/6035-Mesa-Ave_Los-Angeles_CA_90042_M96880-12517" TargetMode="External"/><Relationship Id="rId1700" Type="http://schemas.openxmlformats.org/officeDocument/2006/relationships/hyperlink" Target="https://www.realtor.com/realestateandhomes-detail/1805-S-New-England-St_Los-Angeles_CA_90006_M13620-99993" TargetMode="External"/><Relationship Id="rId379" Type="http://schemas.openxmlformats.org/officeDocument/2006/relationships/hyperlink" Target="https://www.realtor.com/realestateandhomes-detail/1232-S-Country-Glen-Way_Anaheim_CA_92808_M13139-43988" TargetMode="External"/><Relationship Id="rId586" Type="http://schemas.openxmlformats.org/officeDocument/2006/relationships/hyperlink" Target="https://www.realtor.com/realestateandhomes-detail/1515-Blake-Ave_Los-Angeles_CA_90031_M29252-60366" TargetMode="External"/><Relationship Id="rId793" Type="http://schemas.openxmlformats.org/officeDocument/2006/relationships/hyperlink" Target="https://www.realtor.com/realestateandhomes-detail/20008-Villa-Palazzo_Yorba-Linda_CA_92886_M15249-49776" TargetMode="External"/><Relationship Id="rId2267" Type="http://schemas.openxmlformats.org/officeDocument/2006/relationships/hyperlink" Target="https://www.realtor.com/realestateandhomes-detail/127-Oakstone_Irvine_CA_92618_M94588-85070" TargetMode="External"/><Relationship Id="rId2474" Type="http://schemas.openxmlformats.org/officeDocument/2006/relationships/hyperlink" Target="https://www.realtor.com/realestateandhomes-detail/411-S-Rosemary-Ln_Anaheim_CA_92808_M13430-85955" TargetMode="External"/><Relationship Id="rId239" Type="http://schemas.openxmlformats.org/officeDocument/2006/relationships/hyperlink" Target="https://www.realtor.com/realestateandhomes-detail/4801-S-Central-Ave_Los-Angeles_CA_90011_M10123-09260" TargetMode="External"/><Relationship Id="rId446" Type="http://schemas.openxmlformats.org/officeDocument/2006/relationships/hyperlink" Target="https://www.realtor.com/realestateandhomes-detail/23340-Collins-St_Woodland-Hills_CA_91367_M13554-58982" TargetMode="External"/><Relationship Id="rId653" Type="http://schemas.openxmlformats.org/officeDocument/2006/relationships/hyperlink" Target="https://www.realtor.com/realestateandhomes-detail/5000-S-Centinela-Ave-Apt-236_Los-Angeles_CA_90066_M12618-25565" TargetMode="External"/><Relationship Id="rId1076" Type="http://schemas.openxmlformats.org/officeDocument/2006/relationships/hyperlink" Target="https://www.realtor.com/realestateandhomes-detail/3924-W-Sunset-Blvd_Los-Angeles_CA_90029_M94644-37704" TargetMode="External"/><Relationship Id="rId1283" Type="http://schemas.openxmlformats.org/officeDocument/2006/relationships/hyperlink" Target="https://www.realtor.com/realestateandhomes-detail/1001-W-Dorothy-Dr_Brea_CA_92821_M28193-92714" TargetMode="External"/><Relationship Id="rId1490" Type="http://schemas.openxmlformats.org/officeDocument/2006/relationships/hyperlink" Target="https://www.realtor.com/realestateandhomes-detail/33831-Camino-Capistrano-Spc-19_San-Juan-Capistrano_CA_92675_M90349-04530" TargetMode="External"/><Relationship Id="rId2127" Type="http://schemas.openxmlformats.org/officeDocument/2006/relationships/hyperlink" Target="https://www.realtor.com/realestateandhomes-detail/Vac-Valport-Ave-178th-Ste_Lake-Los-Angeles_CA_93535_M29517-97994" TargetMode="External"/><Relationship Id="rId2334" Type="http://schemas.openxmlformats.org/officeDocument/2006/relationships/hyperlink" Target="https://www.realtor.com/realestateandhomes-detail/630-W-79th-St_Los-Angeles_CA_90044_M96911-27030" TargetMode="External"/><Relationship Id="rId306" Type="http://schemas.openxmlformats.org/officeDocument/2006/relationships/hyperlink" Target="https://www.realtor.com/realestateandhomes-detail/5112-W-Jefferson-Blvd_Los-Angeles_CA_90016_M97548-32499" TargetMode="External"/><Relationship Id="rId860" Type="http://schemas.openxmlformats.org/officeDocument/2006/relationships/hyperlink" Target="https://www.realtor.com/realestateandhomes-detail/18751-Via-San-Marco_Irvine_CA_92603_M22316-26046" TargetMode="External"/><Relationship Id="rId1143" Type="http://schemas.openxmlformats.org/officeDocument/2006/relationships/hyperlink" Target="https://www.realtor.com/realestateandhomes-detail/10554-Lanark-St_Sun-Valley_CA_91352_M16680-74903" TargetMode="External"/><Relationship Id="rId2541" Type="http://schemas.openxmlformats.org/officeDocument/2006/relationships/hyperlink" Target="https://www.realtor.com/realestateandhomes-detail/5585-Camino-Dorado_Yorba-Linda_CA_92887_M16348-34722" TargetMode="External"/><Relationship Id="rId513" Type="http://schemas.openxmlformats.org/officeDocument/2006/relationships/hyperlink" Target="https://www.realtor.com/realestateandhomes-detail/20624-Oxnard-St_Woodland-Hills_CA_91367_M10683-13675" TargetMode="External"/><Relationship Id="rId720" Type="http://schemas.openxmlformats.org/officeDocument/2006/relationships/hyperlink" Target="https://www.realtor.com/realestateandhomes-detail/11114-Willowbrook-Ave_Los-Angeles_CA_90059_M25074-89554" TargetMode="External"/><Relationship Id="rId1350" Type="http://schemas.openxmlformats.org/officeDocument/2006/relationships/hyperlink" Target="https://www.realtor.com/realestateandhomes-detail/3004-Laurel-Canyon-Blvd_Studio-City_CA_91604_M13882-07675" TargetMode="External"/><Relationship Id="rId2401" Type="http://schemas.openxmlformats.org/officeDocument/2006/relationships/hyperlink" Target="https://www.realtor.com/realestateandhomes-detail/37-Peony_Irvine_CA_92618_M12580-10192" TargetMode="External"/><Relationship Id="rId1003" Type="http://schemas.openxmlformats.org/officeDocument/2006/relationships/hyperlink" Target="https://www.realtor.com/realestateandhomes-detail/1240-N-Wetherly-Dr_Los-Angeles_CA_90069_M29953-46231" TargetMode="External"/><Relationship Id="rId1210" Type="http://schemas.openxmlformats.org/officeDocument/2006/relationships/hyperlink" Target="https://www.realtor.com/realestateandhomes-detail/1615-W-67th-St_Los-Angeles_CA_90047_M29843-55927" TargetMode="External"/><Relationship Id="rId2191" Type="http://schemas.openxmlformats.org/officeDocument/2006/relationships/hyperlink" Target="https://www.realtor.com/realestateandhomes-detail/3342-Bradbury-Rd-Unit-20_Los-Alamitos_CA_90720_M12428-62092" TargetMode="External"/><Relationship Id="rId163" Type="http://schemas.openxmlformats.org/officeDocument/2006/relationships/hyperlink" Target="https://www.realtor.com/realestateandhomes-detail/9336-Wayside-Dr_Sunland_CA_91040_M19738-35112" TargetMode="External"/><Relationship Id="rId370" Type="http://schemas.openxmlformats.org/officeDocument/2006/relationships/hyperlink" Target="https://www.realtor.com/realestateandhomes-detail/26600-Paseo-Retirada_San-Juan-Capistrano_CA_92675_M26694-26916" TargetMode="External"/><Relationship Id="rId2051" Type="http://schemas.openxmlformats.org/officeDocument/2006/relationships/hyperlink" Target="https://www.realtor.com/realestateandhomes-detail/220-E-Avenue-38_Los-Angeles_CA_90031_M25375-55191" TargetMode="External"/><Relationship Id="rId230" Type="http://schemas.openxmlformats.org/officeDocument/2006/relationships/hyperlink" Target="https://www.realtor.com/realestateandhomes-detail/1271-S-Mullen-Ave_Los-Angeles_CA_90019_M19723-29802" TargetMode="External"/><Relationship Id="rId1677" Type="http://schemas.openxmlformats.org/officeDocument/2006/relationships/hyperlink" Target="https://www.realtor.com/realestateandhomes-detail/2731-Kelton-Ave_Los-Angeles_CA_90064_M23904-61900" TargetMode="External"/><Relationship Id="rId1884" Type="http://schemas.openxmlformats.org/officeDocument/2006/relationships/hyperlink" Target="https://www.realtor.com/realestateandhomes-detail/630-Palmera-Ave_Pacific-Palisades_CA_90272_M28826-47723" TargetMode="External"/><Relationship Id="rId907" Type="http://schemas.openxmlformats.org/officeDocument/2006/relationships/hyperlink" Target="https://www.realtor.com/realestateandhomes-detail/65-Beacon-Bay_Newport-Beach_CA_92660_M13152-71805" TargetMode="External"/><Relationship Id="rId1537" Type="http://schemas.openxmlformats.org/officeDocument/2006/relationships/hyperlink" Target="https://www.realtor.com/realestateandhomes-detail/14851-Jeffrey-Rd-Spc-145_Irvine_CA_92618_M24634-23417" TargetMode="External"/><Relationship Id="rId1744" Type="http://schemas.openxmlformats.org/officeDocument/2006/relationships/hyperlink" Target="https://www.realtor.com/realestateandhomes-detail/19717-Wells-Dr_Woodland-Hills_CA_91364_M16783-94420" TargetMode="External"/><Relationship Id="rId1951" Type="http://schemas.openxmlformats.org/officeDocument/2006/relationships/hyperlink" Target="https://www.realtor.com/realestateandhomes-detail/5514-Smiley-Dr_Los-Angeles_CA_90016_M10723-57290" TargetMode="External"/><Relationship Id="rId36" Type="http://schemas.openxmlformats.org/officeDocument/2006/relationships/hyperlink" Target="https://www.realtor.com/realestateandhomes-detail/19532-Bermuda-St_Porter-Ranch_CA_91326_M19670-25443" TargetMode="External"/><Relationship Id="rId1604" Type="http://schemas.openxmlformats.org/officeDocument/2006/relationships/hyperlink" Target="https://www.realtor.com/realestateandhomes-detail/1461-W-108th-St_Los-Angeles_CA_90047_M26840-18324" TargetMode="External"/><Relationship Id="rId1811" Type="http://schemas.openxmlformats.org/officeDocument/2006/relationships/hyperlink" Target="https://www.realtor.com/realestateandhomes-detail/1532-1534-W-221st-St_Torrance_CA_90501_M99423-42686" TargetMode="External"/><Relationship Id="rId697" Type="http://schemas.openxmlformats.org/officeDocument/2006/relationships/hyperlink" Target="https://www.realtor.com/realestateandhomes-detail/3664-Oakfield-Dr_Sherman-Oaks_CA_91423_M22812-81677" TargetMode="External"/><Relationship Id="rId2378" Type="http://schemas.openxmlformats.org/officeDocument/2006/relationships/hyperlink" Target="https://www.realtor.com/realestateandhomes-detail/9826-Saint-George-Cir_Cypress_CA_90630_M15580-75104" TargetMode="External"/><Relationship Id="rId1187" Type="http://schemas.openxmlformats.org/officeDocument/2006/relationships/hyperlink" Target="https://www.realtor.com/realestateandhomes-detail/6007-Holmes-Ave_Los-Angeles_CA_90001_M95225-47213" TargetMode="External"/><Relationship Id="rId557" Type="http://schemas.openxmlformats.org/officeDocument/2006/relationships/hyperlink" Target="https://www.realtor.com/realestateandhomes-detail/208-Radial_Irvine_CA_92618_M22713-59823" TargetMode="External"/><Relationship Id="rId764" Type="http://schemas.openxmlformats.org/officeDocument/2006/relationships/hyperlink" Target="https://www.realtor.com/realestateandhomes-detail/16222-Monterey-Ln-Spc-81_Huntington-Beach_CA_92649_M27348-01899" TargetMode="External"/><Relationship Id="rId971" Type="http://schemas.openxmlformats.org/officeDocument/2006/relationships/hyperlink" Target="https://www.realtor.com/realestateandhomes-detail/20600-S-Western-Ave_Torrance_CA_90501_M28106-13604" TargetMode="External"/><Relationship Id="rId1394" Type="http://schemas.openxmlformats.org/officeDocument/2006/relationships/hyperlink" Target="https://www.realtor.com/realestateandhomes-detail/7907-Vicksburg-Ave_Los-Angeles_CA_90045_M12526-43622" TargetMode="External"/><Relationship Id="rId2238" Type="http://schemas.openxmlformats.org/officeDocument/2006/relationships/hyperlink" Target="https://www.realtor.com/realestateandhomes-detail/2812-Alsace-Ave_Los-Angeles_CA_90016_M11595-59596" TargetMode="External"/><Relationship Id="rId2445" Type="http://schemas.openxmlformats.org/officeDocument/2006/relationships/hyperlink" Target="https://www.realtor.com/realestateandhomes-detail/2976-E-Coalinga-Dr_Brea_CA_92821_M15076-43215" TargetMode="External"/><Relationship Id="rId417" Type="http://schemas.openxmlformats.org/officeDocument/2006/relationships/hyperlink" Target="https://www.realtor.com/realestateandhomes-detail/2859-Coldwater-Canyon-Dr_Beverly-Hills_CA_90210_M24994-04771" TargetMode="External"/><Relationship Id="rId624" Type="http://schemas.openxmlformats.org/officeDocument/2006/relationships/hyperlink" Target="https://www.realtor.com/realestateandhomes-detail/658-California-Ave_Venice_CA_90291_M97589-55110" TargetMode="External"/><Relationship Id="rId831" Type="http://schemas.openxmlformats.org/officeDocument/2006/relationships/hyperlink" Target="https://www.realtor.com/realestateandhomes-detail/20620-Chatsboro-Dr_Woodland-Hills_CA_91364_M20118-50074" TargetMode="External"/><Relationship Id="rId1047" Type="http://schemas.openxmlformats.org/officeDocument/2006/relationships/hyperlink" Target="https://www.realtor.com/realestateandhomes-detail/312-Bellino-Dr_Pacific-Palisades_CA_90272_M29223-73218" TargetMode="External"/><Relationship Id="rId1254" Type="http://schemas.openxmlformats.org/officeDocument/2006/relationships/hyperlink" Target="https://www.realtor.com/realestateandhomes-detail/5321-Victoria-Pl_Westminster_CA_92683_M26461-14305" TargetMode="External"/><Relationship Id="rId1461" Type="http://schemas.openxmlformats.org/officeDocument/2006/relationships/hyperlink" Target="https://www.realtor.com/realestateandhomes-detail/2701-Vista-Umbrosa_Newport-Beach_CA_92660_M11878-44262" TargetMode="External"/><Relationship Id="rId2305" Type="http://schemas.openxmlformats.org/officeDocument/2006/relationships/hyperlink" Target="https://www.realtor.com/realestateandhomes-detail/3201-Hamilton-Way_Los-Angeles_CA_90026_M24488-89823" TargetMode="External"/><Relationship Id="rId2512" Type="http://schemas.openxmlformats.org/officeDocument/2006/relationships/hyperlink" Target="https://www.realtor.com/realestateandhomes-detail/8326-Fontainbleau-Way_Cypress_CA_90630_M18437-81713" TargetMode="External"/><Relationship Id="rId1114" Type="http://schemas.openxmlformats.org/officeDocument/2006/relationships/hyperlink" Target="https://www.realtor.com/realestateandhomes-detail/14285-Valley-Vista-Blvd_Sherman-Oaks_CA_91423_M24441-98166" TargetMode="External"/><Relationship Id="rId1321" Type="http://schemas.openxmlformats.org/officeDocument/2006/relationships/hyperlink" Target="https://www.realtor.com/realestateandhomes-detail/5321-Victoria-Pl_Westminster_CA_92683_M26461-14305" TargetMode="External"/><Relationship Id="rId2095" Type="http://schemas.openxmlformats.org/officeDocument/2006/relationships/hyperlink" Target="https://www.realtor.com/realestateandhomes-detail/8899-Beverly-Blvd-4D_Los-Angeles_CA_90048_M92221-34749" TargetMode="External"/><Relationship Id="rId274" Type="http://schemas.openxmlformats.org/officeDocument/2006/relationships/hyperlink" Target="https://www.realtor.com/realestateandhomes-detail/3-Wintergreen_Irvine_CA_92604_M96280-71989" TargetMode="External"/><Relationship Id="rId481" Type="http://schemas.openxmlformats.org/officeDocument/2006/relationships/hyperlink" Target="https://www.realtor.com/realestateandhomes-detail/33041-Lighthouse-Ct_San-Juan-Capistrano_CA_92675_M29649-64583" TargetMode="External"/><Relationship Id="rId2162" Type="http://schemas.openxmlformats.org/officeDocument/2006/relationships/hyperlink" Target="https://www.realtor.com/realestateandhomes-detail/9053-Willis-Ave_Panorama-City_CA_91402_M93275-64069" TargetMode="External"/><Relationship Id="rId134" Type="http://schemas.openxmlformats.org/officeDocument/2006/relationships/hyperlink" Target="https://www.realtor.com/realestateandhomes-detail/5433-Shirley-Ave_Tarzana_CA_91356_M16305-44950" TargetMode="External"/><Relationship Id="rId341" Type="http://schemas.openxmlformats.org/officeDocument/2006/relationships/hyperlink" Target="https://www.realtor.com/realestateandhomes-detail/414-Main-St-Unit-420_Huntington-Beach_CA_92648_M94005-83530" TargetMode="External"/><Relationship Id="rId2022" Type="http://schemas.openxmlformats.org/officeDocument/2006/relationships/hyperlink" Target="https://www.realtor.com/realestateandhomes-detail/6201-12-Saylin-Ln_Los-Angeles_CA_90042_M95487-30697" TargetMode="External"/><Relationship Id="rId201" Type="http://schemas.openxmlformats.org/officeDocument/2006/relationships/hyperlink" Target="https://www.realtor.com/realestateandhomes-detail/6365-Miramonte-Blvd_Los-Angeles_CA_90001_M22083-44154" TargetMode="External"/><Relationship Id="rId1788" Type="http://schemas.openxmlformats.org/officeDocument/2006/relationships/hyperlink" Target="https://www.realtor.com/realestateandhomes-detail/2220-Avenue-of-the-Stars-Unit-205_Los-Angeles_CA_90067_M26273-50124" TargetMode="External"/><Relationship Id="rId1995" Type="http://schemas.openxmlformats.org/officeDocument/2006/relationships/hyperlink" Target="https://www.realtor.com/realestateandhomes-detail/4016-Ingraham-St_Los-Angeles_CA_90005_M22338-99452" TargetMode="External"/><Relationship Id="rId1648" Type="http://schemas.openxmlformats.org/officeDocument/2006/relationships/hyperlink" Target="https://www.realtor.com/realestateandhomes-detail/1455-Rising-Glen-Rd_Los-Angeles_CA_90069_M10184-88407" TargetMode="External"/><Relationship Id="rId1508" Type="http://schemas.openxmlformats.org/officeDocument/2006/relationships/hyperlink" Target="https://www.realtor.com/realestateandhomes-detail/31722-Seacliff-Dr_Laguna-Beach_CA_92651_M21284-13907" TargetMode="External"/><Relationship Id="rId1855" Type="http://schemas.openxmlformats.org/officeDocument/2006/relationships/hyperlink" Target="https://www.realtor.com/realestateandhomes-detail/1738-Chastain-Pkwy-E_Pacific-Palisades_CA_90272_M11818-93267" TargetMode="External"/><Relationship Id="rId1715" Type="http://schemas.openxmlformats.org/officeDocument/2006/relationships/hyperlink" Target="https://www.realtor.com/realestateandhomes-detail/4199-Saltillo-St_Woodland-Hills_CA_91364_M26966-02502" TargetMode="External"/><Relationship Id="rId1922" Type="http://schemas.openxmlformats.org/officeDocument/2006/relationships/hyperlink" Target="https://www.realtor.com/realestateandhomes-detail/7334-Vista-Del-Mar-Ln_Playa-Del-Rey_CA_90293_M18954-06599" TargetMode="External"/><Relationship Id="rId2489" Type="http://schemas.openxmlformats.org/officeDocument/2006/relationships/hyperlink" Target="https://www.realtor.com/realestateandhomes-detail/9543-Andover-Cir_Fountain-Valley_CA_92708_M10580-37538" TargetMode="External"/><Relationship Id="rId668" Type="http://schemas.openxmlformats.org/officeDocument/2006/relationships/hyperlink" Target="https://www.realtor.com/realestateandhomes-detail/12426-Woodgreen-St_Los-Angeles_CA_90066_M19906-72869" TargetMode="External"/><Relationship Id="rId875" Type="http://schemas.openxmlformats.org/officeDocument/2006/relationships/hyperlink" Target="https://www.realtor.com/realestateandhomes-detail/20462-Santa-Ana-Ave-Apt-D_Newport-Beach_CA_92660_M98555-72225" TargetMode="External"/><Relationship Id="rId1298" Type="http://schemas.openxmlformats.org/officeDocument/2006/relationships/hyperlink" Target="https://www.realtor.com/realestateandhomes-detail/2139-Ronda-Granada-Unit-B_Laguna-Woods_CA_92637_M97867-59847" TargetMode="External"/><Relationship Id="rId2349" Type="http://schemas.openxmlformats.org/officeDocument/2006/relationships/hyperlink" Target="https://www.realtor.com/realestateandhomes-detail/11-Saratoga_Newport-Beach_CA_92660_M15889-06359" TargetMode="External"/><Relationship Id="rId528" Type="http://schemas.openxmlformats.org/officeDocument/2006/relationships/hyperlink" Target="https://www.realtor.com/realestateandhomes-detail/7692-9th-St-105_Buena-Park_CA_90621_M92008-45606" TargetMode="External"/><Relationship Id="rId735" Type="http://schemas.openxmlformats.org/officeDocument/2006/relationships/hyperlink" Target="https://www.realtor.com/realestateandhomes-detail/537-28th-Ave_Venice_CA_90291_M14668-25515" TargetMode="External"/><Relationship Id="rId942" Type="http://schemas.openxmlformats.org/officeDocument/2006/relationships/hyperlink" Target="https://www.realtor.com/realestateandhomes-detail/1105-Rivington_Irvine_CA_92612_M99329-87555" TargetMode="External"/><Relationship Id="rId1158" Type="http://schemas.openxmlformats.org/officeDocument/2006/relationships/hyperlink" Target="https://www.realtor.com/realestateandhomes-detail/4116-Garthwaite-Ave_Los-Angeles_CA_90008_M11569-85708" TargetMode="External"/><Relationship Id="rId1365" Type="http://schemas.openxmlformats.org/officeDocument/2006/relationships/hyperlink" Target="https://www.realtor.com/realestateandhomes-detail/15801-15803-Chatsworth_Granada-Hills_CA_91344_M97750-52589" TargetMode="External"/><Relationship Id="rId1572" Type="http://schemas.openxmlformats.org/officeDocument/2006/relationships/hyperlink" Target="https://www.realtor.com/realestateandhomes-detail/236-Mission-Dr_Fullerton_CA_92831_M25159-26698" TargetMode="External"/><Relationship Id="rId2209" Type="http://schemas.openxmlformats.org/officeDocument/2006/relationships/hyperlink" Target="https://www.realtor.com/realestateandhomes-detail/714-E-Kensington-Rd_Los-Angeles_CA_90026_M22729-57309" TargetMode="External"/><Relationship Id="rId2416" Type="http://schemas.openxmlformats.org/officeDocument/2006/relationships/hyperlink" Target="https://www.realtor.com/realestateandhomes-detail/33-Manzanillo_Lake-Forest_CA_92630_M27058-88233" TargetMode="External"/><Relationship Id="rId1018" Type="http://schemas.openxmlformats.org/officeDocument/2006/relationships/hyperlink" Target="https://www.realtor.com/realestateandhomes-detail/7560-Hollywood-Blvd-Apt-108_Los-Angeles_CA_90046_M10273-04233" TargetMode="External"/><Relationship Id="rId1225" Type="http://schemas.openxmlformats.org/officeDocument/2006/relationships/hyperlink" Target="https://www.realtor.com/realestateandhomes-detail/114-Crossover_Irvine_CA_92618_M91606-01312" TargetMode="External"/><Relationship Id="rId1432" Type="http://schemas.openxmlformats.org/officeDocument/2006/relationships/hyperlink" Target="https://www.realtor.com/realestateandhomes-detail/5206-Topeka-Dr_Tarzana_CA_91356_M14901-64145" TargetMode="External"/><Relationship Id="rId71" Type="http://schemas.openxmlformats.org/officeDocument/2006/relationships/hyperlink" Target="https://www.realtor.com/realestateandhomes-detail/1250-S-Windsor-Blvd_Los-Angeles_CA_90019_M13384-48960" TargetMode="External"/><Relationship Id="rId802" Type="http://schemas.openxmlformats.org/officeDocument/2006/relationships/hyperlink" Target="https://www.realtor.com/realestateandhomes-detail/22038-Vanowen-St-Apt-215_Woodland-Hills_CA_91303_M28201-97005" TargetMode="External"/><Relationship Id="rId178" Type="http://schemas.openxmlformats.org/officeDocument/2006/relationships/hyperlink" Target="https://www.realtor.com/realestateandhomes-detail/1306-S-Longwood-Ave_Los-Angeles_CA_90019_M13461-63010" TargetMode="External"/><Relationship Id="rId385" Type="http://schemas.openxmlformats.org/officeDocument/2006/relationships/hyperlink" Target="https://www.realtor.com/realestateandhomes-detail/22-Pelican-Crest-Dr_Newport-Coast_CA_92657_M14338-64109" TargetMode="External"/><Relationship Id="rId592" Type="http://schemas.openxmlformats.org/officeDocument/2006/relationships/hyperlink" Target="https://www.realtor.com/realestateandhomes-detail/1781-S-Garth-Ave_Los-Angeles_CA_90035_M18587-77326" TargetMode="External"/><Relationship Id="rId2066" Type="http://schemas.openxmlformats.org/officeDocument/2006/relationships/hyperlink" Target="https://www.realtor.com/realestateandhomes-detail/151-E-69th-St_Los-Angeles_CA_90003_M28755-39375" TargetMode="External"/><Relationship Id="rId2273" Type="http://schemas.openxmlformats.org/officeDocument/2006/relationships/hyperlink" Target="https://www.realtor.com/realestateandhomes-detail/1800-W-Gramercy-Ave-Apt-17_Anaheim_CA_92801_M14065-12590" TargetMode="External"/><Relationship Id="rId2480" Type="http://schemas.openxmlformats.org/officeDocument/2006/relationships/hyperlink" Target="https://www.realtor.com/realestateandhomes-detail/11954-Edgecliff-Ave_Sylmar_CA_91342_M17249-19987" TargetMode="External"/><Relationship Id="rId245" Type="http://schemas.openxmlformats.org/officeDocument/2006/relationships/hyperlink" Target="https://www.realtor.com/realestateandhomes-detail/2240-Foothill-Blvd_Santa-Ana_CA_92705_M27532-00177" TargetMode="External"/><Relationship Id="rId452" Type="http://schemas.openxmlformats.org/officeDocument/2006/relationships/hyperlink" Target="https://www.realtor.com/realestateandhomes-detail/1523-Highgate-Ave_Los-Angeles_CA_90042_M17020-68963" TargetMode="External"/><Relationship Id="rId1082" Type="http://schemas.openxmlformats.org/officeDocument/2006/relationships/hyperlink" Target="https://www.realtor.com/realestateandhomes-detail/1027-W-46th-St_Los-Angeles_CA_90037_M23036-72669" TargetMode="External"/><Relationship Id="rId2133" Type="http://schemas.openxmlformats.org/officeDocument/2006/relationships/hyperlink" Target="https://www.realtor.com/realestateandhomes-detail/1414-W-Central-Ave-Spc-81_Brea_CA_92821_M21677-14496" TargetMode="External"/><Relationship Id="rId2340" Type="http://schemas.openxmlformats.org/officeDocument/2006/relationships/hyperlink" Target="https://www.realtor.com/realestateandhomes-detail/9224-9226-N-Gothic-Ave_North-Hills_CA_91343_M91984-10067" TargetMode="External"/><Relationship Id="rId105" Type="http://schemas.openxmlformats.org/officeDocument/2006/relationships/hyperlink" Target="https://www.realtor.com/realestateandhomes-detail/4804-Excelente-Dr_Woodland-Hills_CA_91364_M28644-43051" TargetMode="External"/><Relationship Id="rId312" Type="http://schemas.openxmlformats.org/officeDocument/2006/relationships/hyperlink" Target="https://www.realtor.com/realestateandhomes-detail/20331-Wells-Dr_Woodland-Hills_CA_91364_M17253-49508" TargetMode="External"/><Relationship Id="rId2200" Type="http://schemas.openxmlformats.org/officeDocument/2006/relationships/hyperlink" Target="https://www.realtor.com/realestateandhomes-detail/4123-Telluride-St_Los-Angeles_CA_90031_M90316-63773" TargetMode="External"/><Relationship Id="rId1899" Type="http://schemas.openxmlformats.org/officeDocument/2006/relationships/hyperlink" Target="https://www.realtor.com/realestateandhomes-detail/3467-St-Susan-Pl_Los-Angeles_CA_90066_M22320-07113" TargetMode="External"/><Relationship Id="rId1759" Type="http://schemas.openxmlformats.org/officeDocument/2006/relationships/hyperlink" Target="https://www.realtor.com/realestateandhomes-detail/3075-Nicada-Dr_Los-Angeles_CA_90077_M20172-11293" TargetMode="External"/><Relationship Id="rId1966" Type="http://schemas.openxmlformats.org/officeDocument/2006/relationships/hyperlink" Target="https://www.realtor.com/realestateandhomes-detail/16032-Valley-Vista-Blvd_Encino_CA_91436_M28945-94347" TargetMode="External"/><Relationship Id="rId1619" Type="http://schemas.openxmlformats.org/officeDocument/2006/relationships/hyperlink" Target="https://www.realtor.com/realestateandhomes-detail/846-Arletta-Way_Fullerton_CA_92835_M92442-62915" TargetMode="External"/><Relationship Id="rId1826" Type="http://schemas.openxmlformats.org/officeDocument/2006/relationships/hyperlink" Target="https://www.realtor.com/realestateandhomes-detail/16879-Mooncrest-Dr_Encino_CA_91436_M11346-24308" TargetMode="External"/><Relationship Id="rId779" Type="http://schemas.openxmlformats.org/officeDocument/2006/relationships/hyperlink" Target="https://www.realtor.com/realestateandhomes-detail/103-Gannet-Ln_Fountain-Valley_CA_92708_M25589-81150" TargetMode="External"/><Relationship Id="rId986" Type="http://schemas.openxmlformats.org/officeDocument/2006/relationships/hyperlink" Target="https://www.realtor.com/realestateandhomes-detail/3110-Benedict-Canyon-Dr_Beverly-Hills_CA_90210_M23825-62070" TargetMode="External"/><Relationship Id="rId639" Type="http://schemas.openxmlformats.org/officeDocument/2006/relationships/hyperlink" Target="https://www.realtor.com/realestateandhomes-detail/100-S-Doheny-Dr-Apt-501_Los-Angeles_CA_90048_M20440-53688" TargetMode="External"/><Relationship Id="rId1269" Type="http://schemas.openxmlformats.org/officeDocument/2006/relationships/hyperlink" Target="https://www.realtor.com/realestateandhomes-detail/45-Golden-Glen-St-75_Irvine_CA_92604_M26395-47001" TargetMode="External"/><Relationship Id="rId1476" Type="http://schemas.openxmlformats.org/officeDocument/2006/relationships/hyperlink" Target="https://www.realtor.com/realestateandhomes-detail/1521-Bayadere-Ter_Corona-Del-Mar_CA_92625_M19838-69465" TargetMode="External"/><Relationship Id="rId846" Type="http://schemas.openxmlformats.org/officeDocument/2006/relationships/hyperlink" Target="https://www.realtor.com/realestateandhomes-detail/11395-Oro-Vista-Ave_Sunland_CA_91040_M26490-89467" TargetMode="External"/><Relationship Id="rId1129" Type="http://schemas.openxmlformats.org/officeDocument/2006/relationships/hyperlink" Target="https://www.realtor.com/realestateandhomes-detail/8121-Chase-Ave_Los-Angeles_CA_90045_M15490-56929" TargetMode="External"/><Relationship Id="rId1683" Type="http://schemas.openxmlformats.org/officeDocument/2006/relationships/hyperlink" Target="https://www.realtor.com/realestateandhomes-detail/11930-Avon-Way-Apt-107_Los-Angeles_CA_90066_M28655-34583" TargetMode="External"/><Relationship Id="rId1890" Type="http://schemas.openxmlformats.org/officeDocument/2006/relationships/hyperlink" Target="https://www.realtor.com/realestateandhomes-detail/2251-Crenshaw-Blvd_Los-Angeles_CA_90016_M11905-40434" TargetMode="External"/><Relationship Id="rId2527" Type="http://schemas.openxmlformats.org/officeDocument/2006/relationships/hyperlink" Target="https://www.realtor.com/realestateandhomes-detail/1811-E-Vermont-Ave_Anaheim_CA_92805_M28410-66972" TargetMode="External"/><Relationship Id="rId706" Type="http://schemas.openxmlformats.org/officeDocument/2006/relationships/hyperlink" Target="https://www.realtor.com/realestateandhomes-detail/919-Glencliff-St_La-Habra_CA_90631_M28690-70142" TargetMode="External"/><Relationship Id="rId913" Type="http://schemas.openxmlformats.org/officeDocument/2006/relationships/hyperlink" Target="https://www.realtor.com/realestateandhomes-detail/2572-Bayshore-Dr_Newport-Beach_CA_92663_M17635-90479" TargetMode="External"/><Relationship Id="rId1336" Type="http://schemas.openxmlformats.org/officeDocument/2006/relationships/hyperlink" Target="https://www.realtor.com/realestateandhomes-detail/11753-Blythe-St_North-Hollywood_CA_91605_M15429-47241" TargetMode="External"/><Relationship Id="rId1543" Type="http://schemas.openxmlformats.org/officeDocument/2006/relationships/hyperlink" Target="https://www.realtor.com/realestateandhomes-detail/1981-San-Remo-Dr_Laguna-Beach_CA_92651_M13432-95030" TargetMode="External"/><Relationship Id="rId1750" Type="http://schemas.openxmlformats.org/officeDocument/2006/relationships/hyperlink" Target="https://www.realtor.com/realestateandhomes-detail/11622-Charnock-Rd_Los-Angeles_CA_90066_M17052-53015" TargetMode="External"/><Relationship Id="rId42" Type="http://schemas.openxmlformats.org/officeDocument/2006/relationships/hyperlink" Target="https://www.realtor.com/realestateandhomes-detail/16032-Valley-Vista-Blvd_Encino_CA_91436_M28945-94347" TargetMode="External"/><Relationship Id="rId1403" Type="http://schemas.openxmlformats.org/officeDocument/2006/relationships/hyperlink" Target="https://www.realtor.com/realestateandhomes-detail/900-W-Olympic-Blvd-Unit-46G_Los-Angeles_CA_90015_M16210-27061" TargetMode="External"/><Relationship Id="rId1610" Type="http://schemas.openxmlformats.org/officeDocument/2006/relationships/hyperlink" Target="https://www.realtor.com/realestateandhomes-detail/1401-S-St-Andrews-Pl-Apt-209_Los-Angeles_CA_90019_M17164-04520" TargetMode="External"/><Relationship Id="rId289" Type="http://schemas.openxmlformats.org/officeDocument/2006/relationships/hyperlink" Target="https://www.realtor.com/realestateandhomes-detail/1972-N-Marianna-Ave_Los-Angeles_CA_90032_M18230-68330" TargetMode="External"/><Relationship Id="rId496" Type="http://schemas.openxmlformats.org/officeDocument/2006/relationships/hyperlink" Target="https://www.realtor.com/realestateandhomes-detail/1000-W-Macarthur-Blvd-Apt-67_Santa-Ana_CA_92707_M20555-62138" TargetMode="External"/><Relationship Id="rId2177" Type="http://schemas.openxmlformats.org/officeDocument/2006/relationships/hyperlink" Target="https://www.realtor.com/realestateandhomes-detail/204-Kempton_Irvine_CA_92620_M19025-13539" TargetMode="External"/><Relationship Id="rId2384" Type="http://schemas.openxmlformats.org/officeDocument/2006/relationships/hyperlink" Target="https://www.realtor.com/realestateandhomes-detail/12922-Shackelford-Ln-Apt-6_Garden-Grove_CA_92841_M26095-62254" TargetMode="External"/><Relationship Id="rId149" Type="http://schemas.openxmlformats.org/officeDocument/2006/relationships/hyperlink" Target="https://www.realtor.com/realestateandhomes-detail/564-N-Normandie-Ave_Los-Angeles_CA_90004_M21282-79548" TargetMode="External"/><Relationship Id="rId356" Type="http://schemas.openxmlformats.org/officeDocument/2006/relationships/hyperlink" Target="https://www.realtor.com/realestateandhomes-detail/16738-Edgar-St_Pacific-Palisades_CA_90272_M29116-03361" TargetMode="External"/><Relationship Id="rId563" Type="http://schemas.openxmlformats.org/officeDocument/2006/relationships/hyperlink" Target="https://www.realtor.com/realestateandhomes-detail/1130-S-Urbana-St_Anaheim_CA_92805_M97423-30964" TargetMode="External"/><Relationship Id="rId770" Type="http://schemas.openxmlformats.org/officeDocument/2006/relationships/hyperlink" Target="https://www.realtor.com/realestateandhomes-detail/6771-Pimlico-Cir_Huntington-Beach_CA_92648_M27233-77976" TargetMode="External"/><Relationship Id="rId1193" Type="http://schemas.openxmlformats.org/officeDocument/2006/relationships/hyperlink" Target="https://www.realtor.com/realestateandhomes-detail/151-W-110th-St_Los-Angeles_CA_90061_M25938-34743" TargetMode="External"/><Relationship Id="rId2037" Type="http://schemas.openxmlformats.org/officeDocument/2006/relationships/hyperlink" Target="https://www.realtor.com/realestateandhomes-detail/415-Campdell-St_Playa-Del-Rey_CA_90293_M17716-35031" TargetMode="External"/><Relationship Id="rId2244" Type="http://schemas.openxmlformats.org/officeDocument/2006/relationships/hyperlink" Target="https://www.realtor.com/realestateandhomes-detail/252-Mayflower-Dr_Newport-Beach_CA_92660_M15780-38580" TargetMode="External"/><Relationship Id="rId2451" Type="http://schemas.openxmlformats.org/officeDocument/2006/relationships/hyperlink" Target="https://www.realtor.com/realestateandhomes-detail/20461-Elm-Hill-Ln_Yorba-Linda_CA_92886_M96798-74476" TargetMode="External"/><Relationship Id="rId216" Type="http://schemas.openxmlformats.org/officeDocument/2006/relationships/hyperlink" Target="https://www.realtor.com/realestateandhomes-detail/20-Harbor-Is_Newport-Beach_CA_92660_M18724-44297" TargetMode="External"/><Relationship Id="rId423" Type="http://schemas.openxmlformats.org/officeDocument/2006/relationships/hyperlink" Target="https://www.realtor.com/realestateandhomes-detail/543-N-Ardmore-Ave_Los-Angeles_CA_90004_M21820-84476" TargetMode="External"/><Relationship Id="rId1053" Type="http://schemas.openxmlformats.org/officeDocument/2006/relationships/hyperlink" Target="https://www.realtor.com/realestateandhomes-detail/1615-Blue-Jay-Way_Los-Angeles_CA_90069_M20094-59121" TargetMode="External"/><Relationship Id="rId1260" Type="http://schemas.openxmlformats.org/officeDocument/2006/relationships/hyperlink" Target="https://www.realtor.com/realestateandhomes-detail/354-E-Culver-Ave_Orange_CA_92866_M12608-22350" TargetMode="External"/><Relationship Id="rId2104" Type="http://schemas.openxmlformats.org/officeDocument/2006/relationships/hyperlink" Target="https://www.realtor.com/realestateandhomes-detail/101-N-Arden-Blvd_Los-Angeles_CA_90004_M20616-10776" TargetMode="External"/><Relationship Id="rId630" Type="http://schemas.openxmlformats.org/officeDocument/2006/relationships/hyperlink" Target="https://www.realtor.com/realestateandhomes-detail/12320-Stanwood-Dr_Los-Angeles_CA_90066_M21738-72243" TargetMode="External"/><Relationship Id="rId2311" Type="http://schemas.openxmlformats.org/officeDocument/2006/relationships/hyperlink" Target="https://www.realtor.com/realestateandhomes-detail/1916-W-Court-St_Los-Angeles_CA_90026_M10162-97940" TargetMode="External"/><Relationship Id="rId1120" Type="http://schemas.openxmlformats.org/officeDocument/2006/relationships/hyperlink" Target="https://www.realtor.com/realestateandhomes-detail/5334-Hillcrest-Dr_Los-Angeles_CA_90043_M19557-57830" TargetMode="External"/><Relationship Id="rId1937" Type="http://schemas.openxmlformats.org/officeDocument/2006/relationships/hyperlink" Target="https://www.realtor.com/realestateandhomes-detail/4854-Brewster-Dr_Tarzana_CA_91356_M20527-30813" TargetMode="External"/><Relationship Id="rId280" Type="http://schemas.openxmlformats.org/officeDocument/2006/relationships/hyperlink" Target="https://www.realtor.com/realestateandhomes-detail/25101-Anvil-Cir_Laguna-Hills_CA_92653_M19055-77266" TargetMode="External"/><Relationship Id="rId140" Type="http://schemas.openxmlformats.org/officeDocument/2006/relationships/hyperlink" Target="https://www.realtor.com/realestateandhomes-detail/416-S-Van-Ness-Ave_Los-Angeles_CA_90020_M17994-07605" TargetMode="External"/><Relationship Id="rId6" Type="http://schemas.openxmlformats.org/officeDocument/2006/relationships/hyperlink" Target="https://www.realtor.com/realestateandhomes-detail/5150-12-Village-Grn_Los-Angeles_CA_90016_M93822-93942" TargetMode="External"/><Relationship Id="rId957" Type="http://schemas.openxmlformats.org/officeDocument/2006/relationships/hyperlink" Target="https://www.realtor.com/realestateandhomes-detail/324-S-Medio-Dr_Los-Angeles_CA_90049_M26691-51139" TargetMode="External"/><Relationship Id="rId1587" Type="http://schemas.openxmlformats.org/officeDocument/2006/relationships/hyperlink" Target="https://www.realtor.com/realestateandhomes-detail/11287-Chalon-Rd_Los-Angeles_CA_90049_M18912-61856" TargetMode="External"/><Relationship Id="rId1794" Type="http://schemas.openxmlformats.org/officeDocument/2006/relationships/hyperlink" Target="https://www.realtor.com/realestateandhomes-detail/9112-Gibson-St_Los-Angeles_CA_90034_M16981-23848" TargetMode="External"/><Relationship Id="rId86" Type="http://schemas.openxmlformats.org/officeDocument/2006/relationships/hyperlink" Target="https://www.realtor.com/realestateandhomes-detail/238-Chorus_Irvine_CA_92618_M97676-40695" TargetMode="External"/><Relationship Id="rId817" Type="http://schemas.openxmlformats.org/officeDocument/2006/relationships/hyperlink" Target="https://www.realtor.com/realestateandhomes-detail/12111-Eddleston-Dr_Porter-Ranch_CA_91326_M13029-23602" TargetMode="External"/><Relationship Id="rId1447" Type="http://schemas.openxmlformats.org/officeDocument/2006/relationships/hyperlink" Target="https://www.realtor.com/realestateandhomes-detail/4553-W-17th-St_Los-Angeles_CA_90019_M17743-35849" TargetMode="External"/><Relationship Id="rId1654" Type="http://schemas.openxmlformats.org/officeDocument/2006/relationships/hyperlink" Target="https://www.realtor.com/realestateandhomes-detail/6260-Mosley-Ave_Los-Angeles_CA_90056_M18485-86054" TargetMode="External"/><Relationship Id="rId1861" Type="http://schemas.openxmlformats.org/officeDocument/2006/relationships/hyperlink" Target="https://www.realtor.com/realestateandhomes-detail/2506-Zorada-Dr_Los-Angeles_CA_90046_M11252-92598" TargetMode="External"/><Relationship Id="rId1307" Type="http://schemas.openxmlformats.org/officeDocument/2006/relationships/hyperlink" Target="https://www.realtor.com/realestateandhomes-detail/7195-Little-Harbor-Dr_Huntington-Beach_CA_92648_M12905-85243" TargetMode="External"/><Relationship Id="rId1514" Type="http://schemas.openxmlformats.org/officeDocument/2006/relationships/hyperlink" Target="https://www.realtor.com/realestateandhomes-detail/48-Gingham-St_Trabuco-Canyon_CA_92679_M17181-04507" TargetMode="External"/><Relationship Id="rId1721" Type="http://schemas.openxmlformats.org/officeDocument/2006/relationships/hyperlink" Target="https://www.realtor.com/realestateandhomes-detail/613-N-Plymouth-Blvd_Los-Angeles_CA_90004_M22280-77742" TargetMode="External"/><Relationship Id="rId13" Type="http://schemas.openxmlformats.org/officeDocument/2006/relationships/hyperlink" Target="https://www.realtor.com/realestateandhomes-detail/2442-Banyan-Dr_Los-Angeles_CA_90049_M17571-30356" TargetMode="External"/><Relationship Id="rId2288" Type="http://schemas.openxmlformats.org/officeDocument/2006/relationships/hyperlink" Target="https://www.realtor.com/realestateandhomes-detail/453-Frontenac-Ave_Los-Angeles_CA_90065_M12236-11527" TargetMode="External"/><Relationship Id="rId2495" Type="http://schemas.openxmlformats.org/officeDocument/2006/relationships/hyperlink" Target="https://www.realtor.com/realestateandhomes-detail/3212-Watermarke-Pl_Irvine_CA_92612_M24786-98235" TargetMode="External"/><Relationship Id="rId467" Type="http://schemas.openxmlformats.org/officeDocument/2006/relationships/hyperlink" Target="https://www.realtor.com/realestateandhomes-detail/3803-Verona-Ct_Los-Angeles_CA_90066_M90106-19117" TargetMode="External"/><Relationship Id="rId1097" Type="http://schemas.openxmlformats.org/officeDocument/2006/relationships/hyperlink" Target="https://www.realtor.com/realestateandhomes-detail/2908-Pacific-Ave_Venice_CA_90291_M13946-41384" TargetMode="External"/><Relationship Id="rId2148" Type="http://schemas.openxmlformats.org/officeDocument/2006/relationships/hyperlink" Target="https://www.realtor.com/realestateandhomes-detail/10929-Compton-Ave_Los-Angeles_CA_90059_M27878-56830" TargetMode="External"/><Relationship Id="rId674" Type="http://schemas.openxmlformats.org/officeDocument/2006/relationships/hyperlink" Target="https://www.realtor.com/realestateandhomes-detail/3644-Almeria-St_San-Pedro_CA_90731_M13019-48910" TargetMode="External"/><Relationship Id="rId881" Type="http://schemas.openxmlformats.org/officeDocument/2006/relationships/hyperlink" Target="https://www.realtor.com/realestateandhomes-detail/30-Savannah-Ln_Ladera-Ranch_CA_92694_M19604-04242" TargetMode="External"/><Relationship Id="rId2355" Type="http://schemas.openxmlformats.org/officeDocument/2006/relationships/hyperlink" Target="https://www.realtor.com/realestateandhomes-detail/5012-Gerald-Ave_Encino_CA_91436_M15273-99117" TargetMode="External"/><Relationship Id="rId327" Type="http://schemas.openxmlformats.org/officeDocument/2006/relationships/hyperlink" Target="https://www.realtor.com/realestateandhomes-detail/7060-Morse-Ave_North-Hollywood_CA_91605_M19175-81761" TargetMode="External"/><Relationship Id="rId534" Type="http://schemas.openxmlformats.org/officeDocument/2006/relationships/hyperlink" Target="https://www.realtor.com/realestateandhomes-detail/30951-Via-Errecarte_San-Juan-Capistrano_CA_92675_M22203-48987" TargetMode="External"/><Relationship Id="rId741" Type="http://schemas.openxmlformats.org/officeDocument/2006/relationships/hyperlink" Target="https://www.realtor.com/realestateandhomes-detail/15781-Clarendon-St_Westminster_CA_92683_M11420-34973" TargetMode="External"/><Relationship Id="rId1164" Type="http://schemas.openxmlformats.org/officeDocument/2006/relationships/hyperlink" Target="https://www.realtor.com/realestateandhomes-detail/11622-Charnock-Rd_Los-Angeles_CA_90066_M17052-53015" TargetMode="External"/><Relationship Id="rId1371" Type="http://schemas.openxmlformats.org/officeDocument/2006/relationships/hyperlink" Target="https://www.realtor.com/realestateandhomes-detail/9819-Nestle-Ave_Northridge_CA_91325_M26471-66159" TargetMode="External"/><Relationship Id="rId2008" Type="http://schemas.openxmlformats.org/officeDocument/2006/relationships/hyperlink" Target="https://www.realtor.com/realestateandhomes-detail/Los-Angeles_CA_90047_M10622-04507" TargetMode="External"/><Relationship Id="rId2215" Type="http://schemas.openxmlformats.org/officeDocument/2006/relationships/hyperlink" Target="https://www.realtor.com/realestateandhomes-detail/1225-S-Leland-St_San-Pedro_CA_90731_M10296-09402" TargetMode="External"/><Relationship Id="rId2422" Type="http://schemas.openxmlformats.org/officeDocument/2006/relationships/hyperlink" Target="https://www.realtor.com/realestateandhomes-detail/2624-N-Tustin-Ave-D141_Santa-Ana_CA_92705_M94206-28206" TargetMode="External"/><Relationship Id="rId601" Type="http://schemas.openxmlformats.org/officeDocument/2006/relationships/hyperlink" Target="https://www.realtor.com/realestateandhomes-detail/6882-Arizona-Ave_Los-Angeles_CA_90045_M14663-63803" TargetMode="External"/><Relationship Id="rId1024" Type="http://schemas.openxmlformats.org/officeDocument/2006/relationships/hyperlink" Target="https://www.realtor.com/realestateandhomes-detail/327-N-Ogden-Dr_Los-Angeles_CA_90036_M97272-56575" TargetMode="External"/><Relationship Id="rId1231" Type="http://schemas.openxmlformats.org/officeDocument/2006/relationships/hyperlink" Target="https://www.realtor.com/realestateandhomes-detail/400-S-Broadway-Apt-921_Los-Angeles_CA_90013_M93499-03612" TargetMode="External"/><Relationship Id="rId184" Type="http://schemas.openxmlformats.org/officeDocument/2006/relationships/hyperlink" Target="https://www.realtor.com/realestateandhomes-detail/1731-S-New-Hampshire-Ave_Los-Angeles_CA_90006_M18530-04254" TargetMode="External"/><Relationship Id="rId391" Type="http://schemas.openxmlformats.org/officeDocument/2006/relationships/hyperlink" Target="https://www.realtor.com/realestateandhomes-detail/3141-Michelson-Dr-Unit-1302_Irvine_CA_92612_M24625-95008" TargetMode="External"/><Relationship Id="rId1908" Type="http://schemas.openxmlformats.org/officeDocument/2006/relationships/hyperlink" Target="https://www.realtor.com/realestateandhomes-detail/1635-Woods-Dr_Los-Angeles_CA_90069_M29085-53851" TargetMode="External"/><Relationship Id="rId2072" Type="http://schemas.openxmlformats.org/officeDocument/2006/relationships/hyperlink" Target="https://www.realtor.com/realestateandhomes-detail/9631-S-Harvard-Blvd_Los-Angeles_CA_90047_M22139-08460" TargetMode="External"/><Relationship Id="rId251" Type="http://schemas.openxmlformats.org/officeDocument/2006/relationships/hyperlink" Target="https://www.realtor.com/realestateandhomes-detail/2816-Moss-Ave_Los-Angeles_CA_90065_M11179-99846" TargetMode="External"/><Relationship Id="rId111" Type="http://schemas.openxmlformats.org/officeDocument/2006/relationships/hyperlink" Target="https://www.realtor.com/realestateandhomes-detail/3008-Via-Buena-Vis-Unit-A_Laguna-Woods_CA_92637_M18869-82386" TargetMode="External"/><Relationship Id="rId1698" Type="http://schemas.openxmlformats.org/officeDocument/2006/relationships/hyperlink" Target="https://www.realtor.com/realestateandhomes-detail/429-Puerto-Del-Mar_Pacific-Palisades_CA_90272_M28217-92439" TargetMode="External"/><Relationship Id="rId928" Type="http://schemas.openxmlformats.org/officeDocument/2006/relationships/hyperlink" Target="https://www.realtor.com/realestateandhomes-detail/601-S-Windsor-Blvd_Los-Angeles_CA_90005_M18746-84809" TargetMode="External"/><Relationship Id="rId1558" Type="http://schemas.openxmlformats.org/officeDocument/2006/relationships/hyperlink" Target="https://www.realtor.com/realestateandhomes-detail/11-Via-Becerra_Rancho-Santa-Margarita_CA_92688_M28284-05998" TargetMode="External"/><Relationship Id="rId1765" Type="http://schemas.openxmlformats.org/officeDocument/2006/relationships/hyperlink" Target="https://www.realtor.com/realestateandhomes-detail/5339-Newcastle-Ave-Unit-103_Encino_CA_91316_M16029-68153" TargetMode="External"/><Relationship Id="rId57" Type="http://schemas.openxmlformats.org/officeDocument/2006/relationships/hyperlink" Target="https://www.realtor.com/realestateandhomes-detail/3662-Keystone-Ave_Los-Angeles_CA_90034_M19999-03450" TargetMode="External"/><Relationship Id="rId1418" Type="http://schemas.openxmlformats.org/officeDocument/2006/relationships/hyperlink" Target="https://www.realtor.com/realestateandhomes-detail/5232-Corteen-Pl-Unit-17_Valley-Village_CA_91607_M26199-70244" TargetMode="External"/><Relationship Id="rId1972" Type="http://schemas.openxmlformats.org/officeDocument/2006/relationships/hyperlink" Target="https://www.realtor.com/realestateandhomes-detail/8545-Charl-Ln_Los-Angeles_CA_90046_M10912-31527" TargetMode="External"/><Relationship Id="rId1625" Type="http://schemas.openxmlformats.org/officeDocument/2006/relationships/hyperlink" Target="https://www.realtor.com/realestateandhomes-detail/11209-Sardis-Ave-Apt-102_Los-Angeles_CA_90064_M22444-91204" TargetMode="External"/><Relationship Id="rId1832" Type="http://schemas.openxmlformats.org/officeDocument/2006/relationships/hyperlink" Target="https://www.realtor.com/realestateandhomes-detail/1350-Belfast-Dr_Los-Angeles_CA_90069_M29650-49020" TargetMode="External"/><Relationship Id="rId2399" Type="http://schemas.openxmlformats.org/officeDocument/2006/relationships/hyperlink" Target="https://www.realtor.com/realestateandhomes-detail/718-Kenoak-Dr_Placentia_CA_92870_M21686-80721" TargetMode="External"/><Relationship Id="rId578" Type="http://schemas.openxmlformats.org/officeDocument/2006/relationships/hyperlink" Target="https://www.realtor.com/realestateandhomes-detail/1251-S-Wilton-Pl_Los-Angeles_CA_90019_M19416-22665" TargetMode="External"/><Relationship Id="rId785" Type="http://schemas.openxmlformats.org/officeDocument/2006/relationships/hyperlink" Target="https://www.realtor.com/realestateandhomes-detail/91-Tierra-Plano_Rancho-Santa-Margarita_CA_92688_M24429-78875" TargetMode="External"/><Relationship Id="rId992" Type="http://schemas.openxmlformats.org/officeDocument/2006/relationships/hyperlink" Target="https://www.realtor.com/realestateandhomes-detail/5015-Calatrana-Dr_Woodland-Hills_CA_91364_M29517-74396" TargetMode="External"/><Relationship Id="rId2259" Type="http://schemas.openxmlformats.org/officeDocument/2006/relationships/hyperlink" Target="https://www.realtor.com/realestateandhomes-detail/1034-S-Herbert-Ave_Los-Angeles_CA_90023_M21918-89363" TargetMode="External"/><Relationship Id="rId2466" Type="http://schemas.openxmlformats.org/officeDocument/2006/relationships/hyperlink" Target="https://www.realtor.com/realestateandhomes-detail/409-Utica-Ave-Apt-34_Huntington-Beach_CA_92648_M16356-60870" TargetMode="External"/><Relationship Id="rId438" Type="http://schemas.openxmlformats.org/officeDocument/2006/relationships/hyperlink" Target="https://www.realtor.com/realestateandhomes-detail/1904-S-Robertson-Blvd_Los-Angeles_CA_90034_M16547-36752" TargetMode="External"/><Relationship Id="rId645" Type="http://schemas.openxmlformats.org/officeDocument/2006/relationships/hyperlink" Target="https://www.realtor.com/realestateandhomes-detail/1545-Amalfi-Dr_Pacific-Palisades_CA_90272_M25729-31943" TargetMode="External"/><Relationship Id="rId852" Type="http://schemas.openxmlformats.org/officeDocument/2006/relationships/hyperlink" Target="https://www.realtor.com/realestateandhomes-detail/7007-Murietta-Ave_Van-Nuys_CA_91405_M25956-58329" TargetMode="External"/><Relationship Id="rId1068" Type="http://schemas.openxmlformats.org/officeDocument/2006/relationships/hyperlink" Target="https://www.realtor.com/realestateandhomes-detail/694-N-Tigertail-Rd_Los-Angeles_CA_90049_M17488-57317" TargetMode="External"/><Relationship Id="rId1275" Type="http://schemas.openxmlformats.org/officeDocument/2006/relationships/hyperlink" Target="https://www.realtor.com/realestateandhomes-detail/10412-Boca-Canyon-Dr_Santa-Ana_CA_92705_M28581-41071" TargetMode="External"/><Relationship Id="rId1482" Type="http://schemas.openxmlformats.org/officeDocument/2006/relationships/hyperlink" Target="https://www.realtor.com/realestateandhomes-detail/279-N-Sacramento-St_Orange_CA_92867_M10127-80237" TargetMode="External"/><Relationship Id="rId2119" Type="http://schemas.openxmlformats.org/officeDocument/2006/relationships/hyperlink" Target="https://www.realtor.com/realestateandhomes-detail/4314-Canoga-Dr_Woodland-Hills_CA_91364_M10553-40051" TargetMode="External"/><Relationship Id="rId2326" Type="http://schemas.openxmlformats.org/officeDocument/2006/relationships/hyperlink" Target="https://www.realtor.com/realestateandhomes-detail/644-N-Cherokee-Ave_Los-Angeles_CA_90004_M22674-67843" TargetMode="External"/><Relationship Id="rId2533" Type="http://schemas.openxmlformats.org/officeDocument/2006/relationships/hyperlink" Target="https://www.realtor.com/realestateandhomes-detail/32791-Del-Obispo-St_Dana-Point_CA_92629_M26453-29794" TargetMode="External"/><Relationship Id="rId505" Type="http://schemas.openxmlformats.org/officeDocument/2006/relationships/hyperlink" Target="https://www.realtor.com/realestateandhomes-detail/7369-Cartwright-Ave_Sun-Valley_CA_91352_M18314-11529" TargetMode="External"/><Relationship Id="rId712" Type="http://schemas.openxmlformats.org/officeDocument/2006/relationships/hyperlink" Target="https://www.realtor.com/realestateandhomes-detail/11337-Nebraska-Ave_Los-Angeles_CA_90025_M94761-57105" TargetMode="External"/><Relationship Id="rId1135" Type="http://schemas.openxmlformats.org/officeDocument/2006/relationships/hyperlink" Target="https://www.realtor.com/realestateandhomes-detail/10443-Corfu-Ln_Los-Angeles_CA_90077_M18021-96253" TargetMode="External"/><Relationship Id="rId1342" Type="http://schemas.openxmlformats.org/officeDocument/2006/relationships/hyperlink" Target="https://www.realtor.com/realestateandhomes-detail/1609-N-Coronado-St_Los-Angeles_CA_90026_M95497-04822" TargetMode="External"/><Relationship Id="rId1202" Type="http://schemas.openxmlformats.org/officeDocument/2006/relationships/hyperlink" Target="https://www.realtor.com/realestateandhomes-detail/5652-LA-Mirada-Ave_Los-Angeles_CA_90038_M25225-90484" TargetMode="External"/><Relationship Id="rId295" Type="http://schemas.openxmlformats.org/officeDocument/2006/relationships/hyperlink" Target="https://www.realtor.com/realestateandhomes-detail/2615-Beach-Ave_Venice_CA_90291_M14295-22307" TargetMode="External"/><Relationship Id="rId2183" Type="http://schemas.openxmlformats.org/officeDocument/2006/relationships/hyperlink" Target="https://www.realtor.com/realestateandhomes-detail/Cheremoya-Ave_Los-Angeles_CA_90068_M99857-99276" TargetMode="External"/><Relationship Id="rId2390" Type="http://schemas.openxmlformats.org/officeDocument/2006/relationships/hyperlink" Target="https://www.realtor.com/realestateandhomes-detail/1238-E-100th-St_Los-Angeles_CA_90002_M20379-75945" TargetMode="External"/><Relationship Id="rId155" Type="http://schemas.openxmlformats.org/officeDocument/2006/relationships/hyperlink" Target="https://www.realtor.com/realestateandhomes-detail/1017-Delaware-St_Huntington-Beach_CA_92648_M24441-39284" TargetMode="External"/><Relationship Id="rId362" Type="http://schemas.openxmlformats.org/officeDocument/2006/relationships/hyperlink" Target="https://www.realtor.com/realestateandhomes-detail/21500-Lassen-St-Spc-45_Chatsworth_CA_91311_M94152-97531" TargetMode="External"/><Relationship Id="rId2043" Type="http://schemas.openxmlformats.org/officeDocument/2006/relationships/hyperlink" Target="https://www.realtor.com/realestateandhomes-detail/1522-E-123rd-St_Los-Angeles_CA_90059_M17823-57473" TargetMode="External"/><Relationship Id="rId2250" Type="http://schemas.openxmlformats.org/officeDocument/2006/relationships/hyperlink" Target="https://www.realtor.com/realestateandhomes-detail/4756-Edgewood-Pl_Los-Angeles_CA_90019_M20200-67474" TargetMode="External"/><Relationship Id="rId222" Type="http://schemas.openxmlformats.org/officeDocument/2006/relationships/hyperlink" Target="https://www.realtor.com/realestateandhomes-detail/1912-Pacific-Ave_Venice_CA_90291_M17285-06963" TargetMode="External"/><Relationship Id="rId2110" Type="http://schemas.openxmlformats.org/officeDocument/2006/relationships/hyperlink" Target="https://www.realtor.com/realestateandhomes-detail/24220-Sterling-Ranch-Rd_West-Hills_CA_91304_M11542-36188" TargetMode="External"/><Relationship Id="rId1669" Type="http://schemas.openxmlformats.org/officeDocument/2006/relationships/hyperlink" Target="https://www.realtor.com/realestateandhomes-detail/2216-S-Bentley-Ave_Los-Angeles_CA_90064_M92153-17521" TargetMode="External"/><Relationship Id="rId1876" Type="http://schemas.openxmlformats.org/officeDocument/2006/relationships/hyperlink" Target="https://www.realtor.com/realestateandhomes-detail/16320-Akron-St_Pacific-Palisades_CA_90272_M29904-20829" TargetMode="External"/><Relationship Id="rId1529" Type="http://schemas.openxmlformats.org/officeDocument/2006/relationships/hyperlink" Target="https://www.realtor.com/realestateandhomes-detail/505-Dahlia-Ave_Corona-Del-Mar_CA_92625_M20685-50282" TargetMode="External"/><Relationship Id="rId1736" Type="http://schemas.openxmlformats.org/officeDocument/2006/relationships/hyperlink" Target="https://www.realtor.com/realestateandhomes-detail/620-Harbor-St-Apt-6_Venice_CA_90291_M14151-00387" TargetMode="External"/><Relationship Id="rId1943" Type="http://schemas.openxmlformats.org/officeDocument/2006/relationships/hyperlink" Target="https://www.realtor.com/realestateandhomes-detail/5460-White-Oak-Ave-Unit-K301_Encino_CA_91316_M20197-39081" TargetMode="External"/><Relationship Id="rId28" Type="http://schemas.openxmlformats.org/officeDocument/2006/relationships/hyperlink" Target="https://www.realtor.com/realestateandhomes-detail/3724-Dixie-Canyon-Ave_Sherman-Oaks_CA_91423_M14476-84119" TargetMode="External"/><Relationship Id="rId1803" Type="http://schemas.openxmlformats.org/officeDocument/2006/relationships/hyperlink" Target="https://www.realtor.com/realestateandhomes-detail/1810-W-Bushell-St_Anaheim_CA_92805_M97518-69028" TargetMode="External"/><Relationship Id="rId689" Type="http://schemas.openxmlformats.org/officeDocument/2006/relationships/hyperlink" Target="https://www.realtor.com/realestateandhomes-detail/1215-W-39th-Pl_Los-Angeles_CA_90037_M28025-89107" TargetMode="External"/><Relationship Id="rId896" Type="http://schemas.openxmlformats.org/officeDocument/2006/relationships/hyperlink" Target="https://www.realtor.com/realestateandhomes-detail/3209-Clay-St_Newport-Beach_CA_92663_M90396-00039" TargetMode="External"/><Relationship Id="rId549" Type="http://schemas.openxmlformats.org/officeDocument/2006/relationships/hyperlink" Target="https://www.realtor.com/realestateandhomes-detail/40-Waterspout_Irvine_CA_92620_M23316-31083" TargetMode="External"/><Relationship Id="rId756" Type="http://schemas.openxmlformats.org/officeDocument/2006/relationships/hyperlink" Target="https://www.realtor.com/realestateandhomes-detail/12632-Sylvan-St_Garden-Grove_CA_92845_M19618-22549" TargetMode="External"/><Relationship Id="rId1179" Type="http://schemas.openxmlformats.org/officeDocument/2006/relationships/hyperlink" Target="https://www.realtor.com/realestateandhomes-detail/145-Avenida-Pelayo_San-Clemente_CA_92672_M12160-99796" TargetMode="External"/><Relationship Id="rId1386" Type="http://schemas.openxmlformats.org/officeDocument/2006/relationships/hyperlink" Target="https://www.realtor.com/realestateandhomes-detail/19677-Horace-St_Chatsworth_CA_91311_M20186-01507" TargetMode="External"/><Relationship Id="rId1593" Type="http://schemas.openxmlformats.org/officeDocument/2006/relationships/hyperlink" Target="https://www.realtor.com/realestateandhomes-detail/136-W-82nd-St_Los-Angeles_CA_90003_M14692-23131" TargetMode="External"/><Relationship Id="rId2437" Type="http://schemas.openxmlformats.org/officeDocument/2006/relationships/hyperlink" Target="https://www.realtor.com/realestateandhomes-detail/28193-LA-Gallina_Laguna-Niguel_CA_92677_M11703-25846" TargetMode="External"/><Relationship Id="rId409" Type="http://schemas.openxmlformats.org/officeDocument/2006/relationships/hyperlink" Target="https://www.realtor.com/realestateandhomes-detail/1308-Pacific-Ave_Venice_CA_90291_M17093-78803" TargetMode="External"/><Relationship Id="rId963" Type="http://schemas.openxmlformats.org/officeDocument/2006/relationships/hyperlink" Target="https://www.realtor.com/realestateandhomes-detail/570-S-Mapleton-Dr_Los-Angeles_CA_90024_M26735-64875" TargetMode="External"/><Relationship Id="rId1039" Type="http://schemas.openxmlformats.org/officeDocument/2006/relationships/hyperlink" Target="https://www.realtor.com/realestateandhomes-detail/109-N-Sycamore-Ave-Apt-102_Los-Angeles_CA_90036_M27259-71797" TargetMode="External"/><Relationship Id="rId1246" Type="http://schemas.openxmlformats.org/officeDocument/2006/relationships/hyperlink" Target="https://www.realtor.com/realestateandhomes-detail/7131-E-Cambria-Cir_Orange_CA_92869_M10219-47659" TargetMode="External"/><Relationship Id="rId92" Type="http://schemas.openxmlformats.org/officeDocument/2006/relationships/hyperlink" Target="https://www.realtor.com/realestateandhomes-detail/12236-Laurel-Terrace-Dr_Studio-City_CA_91604_M12873-28768" TargetMode="External"/><Relationship Id="rId616" Type="http://schemas.openxmlformats.org/officeDocument/2006/relationships/hyperlink" Target="https://www.realtor.com/realestateandhomes-detail/20226-Lorenzana-Dr_Woodland-Hills_CA_91364_M17174-49128" TargetMode="External"/><Relationship Id="rId823" Type="http://schemas.openxmlformats.org/officeDocument/2006/relationships/hyperlink" Target="https://www.realtor.com/realestateandhomes-detail/1837-Beloit-Ave_Los-Angeles_CA_90025_M25529-78675" TargetMode="External"/><Relationship Id="rId1453" Type="http://schemas.openxmlformats.org/officeDocument/2006/relationships/hyperlink" Target="https://www.realtor.com/realestateandhomes-detail/1531-Camden-Ave-Apt-106_Los-Angeles_CA_90025_M23690-22611" TargetMode="External"/><Relationship Id="rId1660" Type="http://schemas.openxmlformats.org/officeDocument/2006/relationships/hyperlink" Target="https://www.realtor.com/realestateandhomes-detail/1745-Camino-Palmero-St-Apt-334_Los-Angeles_CA_90046_M27655-27164" TargetMode="External"/><Relationship Id="rId2504" Type="http://schemas.openxmlformats.org/officeDocument/2006/relationships/hyperlink" Target="https://www.realtor.com/realestateandhomes-detail/1364-61st-E-61st_Los-Angeles_CA_90001_M97239-48888" TargetMode="External"/><Relationship Id="rId1106" Type="http://schemas.openxmlformats.org/officeDocument/2006/relationships/hyperlink" Target="https://www.realtor.com/realestateandhomes-detail/840-N-Poinsettia-Pl_Los-Angeles_CA_90046_M22330-34112" TargetMode="External"/><Relationship Id="rId1313" Type="http://schemas.openxmlformats.org/officeDocument/2006/relationships/hyperlink" Target="https://www.realtor.com/realestateandhomes-detail/208-Ocean-Pl_Seal-Beach_CA_90740_M92078-15209" TargetMode="External"/><Relationship Id="rId1520" Type="http://schemas.openxmlformats.org/officeDocument/2006/relationships/hyperlink" Target="https://www.realtor.com/realestateandhomes-detail/5141-Siesta-Ln_Yorba-Linda_CA_92886_M28559-76498" TargetMode="External"/><Relationship Id="rId199" Type="http://schemas.openxmlformats.org/officeDocument/2006/relationships/hyperlink" Target="https://www.realtor.com/realestateandhomes-detail/8613-Franklin-Ave_Los-Angeles_CA_90069_M11645-54700" TargetMode="External"/><Relationship Id="rId2087" Type="http://schemas.openxmlformats.org/officeDocument/2006/relationships/hyperlink" Target="https://www.realtor.com/realestateandhomes-detail/2129-W-30th-St_Los-Angeles_CA_90018_M12765-00123" TargetMode="External"/><Relationship Id="rId2294" Type="http://schemas.openxmlformats.org/officeDocument/2006/relationships/hyperlink" Target="https://www.realtor.com/realestateandhomes-detail/308-E-65th-St_Los-Angeles_CA_90003_M28910-42007" TargetMode="External"/><Relationship Id="rId266" Type="http://schemas.openxmlformats.org/officeDocument/2006/relationships/hyperlink" Target="https://www.realtor.com/realestateandhomes-detail/351-S-State-St_Los-Angeles_CA_90033_M10340-36529" TargetMode="External"/><Relationship Id="rId473" Type="http://schemas.openxmlformats.org/officeDocument/2006/relationships/hyperlink" Target="https://www.realtor.com/realestateandhomes-detail/8100-Foothill-Blvd-Spc-1_Sunland_CA_91040_M97238-81882" TargetMode="External"/><Relationship Id="rId680" Type="http://schemas.openxmlformats.org/officeDocument/2006/relationships/hyperlink" Target="https://www.realtor.com/realestateandhomes-detail/11202-Canton-Dr_Studio-City_CA_91604_M12944-09297" TargetMode="External"/><Relationship Id="rId2154" Type="http://schemas.openxmlformats.org/officeDocument/2006/relationships/hyperlink" Target="https://www.realtor.com/realestateandhomes-detail/785-W-19th-St-Apt-5_San-Pedro_CA_90731_M12219-76106" TargetMode="External"/><Relationship Id="rId2361" Type="http://schemas.openxmlformats.org/officeDocument/2006/relationships/hyperlink" Target="https://www.realtor.com/realestateandhomes-detail/7670-Woodrow-Wilson-Dr_Los-Angeles_CA_90046_M11904-70732" TargetMode="External"/><Relationship Id="rId126" Type="http://schemas.openxmlformats.org/officeDocument/2006/relationships/hyperlink" Target="https://www.realtor.com/realestateandhomes-detail/4187-Pepper-Ave_Yorba-Linda_CA_92886_M13067-82630" TargetMode="External"/><Relationship Id="rId333" Type="http://schemas.openxmlformats.org/officeDocument/2006/relationships/hyperlink" Target="https://www.realtor.com/realestateandhomes-detail/20211-Liverpool-Way_Porter-Ranch_CA_91326_M97629-77123" TargetMode="External"/><Relationship Id="rId540" Type="http://schemas.openxmlformats.org/officeDocument/2006/relationships/hyperlink" Target="https://www.realtor.com/realestateandhomes-detail/11441-Stanford-Ave_Garden-Grove_CA_92840_M14354-15217" TargetMode="External"/><Relationship Id="rId1170" Type="http://schemas.openxmlformats.org/officeDocument/2006/relationships/hyperlink" Target="https://www.realtor.com/realestateandhomes-detail/1513-W-215th-St_Torrance_CA_90501_M19847-58253" TargetMode="External"/><Relationship Id="rId2014" Type="http://schemas.openxmlformats.org/officeDocument/2006/relationships/hyperlink" Target="https://www.realtor.com/realestateandhomes-detail/3635-Kalsman-Dr-Unit-4_Los-Angeles_CA_90016_M26534-96294" TargetMode="External"/><Relationship Id="rId2221" Type="http://schemas.openxmlformats.org/officeDocument/2006/relationships/hyperlink" Target="https://www.realtor.com/realestateandhomes-detail/442-W-112th-St_Los-Angeles_CA_90061_M90306-73662" TargetMode="External"/><Relationship Id="rId1030" Type="http://schemas.openxmlformats.org/officeDocument/2006/relationships/hyperlink" Target="https://www.realtor.com/realestateandhomes-detail/10821-Hartsook-St_North-Hollywood_CA_91601_M19556-18916" TargetMode="External"/><Relationship Id="rId400" Type="http://schemas.openxmlformats.org/officeDocument/2006/relationships/hyperlink" Target="https://www.realtor.com/realestateandhomes-detail/209-Junco_Irvine_CA_92618_M97012-19373" TargetMode="External"/><Relationship Id="rId1987" Type="http://schemas.openxmlformats.org/officeDocument/2006/relationships/hyperlink" Target="https://www.realtor.com/realestateandhomes-detail/4171-Holly-Knoll-Dr_Los-Angeles_CA_90027_M15417-76772" TargetMode="External"/><Relationship Id="rId1847" Type="http://schemas.openxmlformats.org/officeDocument/2006/relationships/hyperlink" Target="https://www.realtor.com/realestateandhomes-detail/12883-Runway-Rd-Apt-1_Playa-Vista_CA_90094_M94631-85330" TargetMode="External"/><Relationship Id="rId1707" Type="http://schemas.openxmlformats.org/officeDocument/2006/relationships/hyperlink" Target="https://www.realtor.com/realestateandhomes-detail/811-W-97th-St_Los-Angeles_CA_90044_M21124-33299" TargetMode="External"/><Relationship Id="rId190" Type="http://schemas.openxmlformats.org/officeDocument/2006/relationships/hyperlink" Target="https://www.realtor.com/realestateandhomes-detail/8932-Orchard-Ave_Los-Angeles_CA_90044_M17072-77971" TargetMode="External"/><Relationship Id="rId1914" Type="http://schemas.openxmlformats.org/officeDocument/2006/relationships/hyperlink" Target="https://www.realtor.com/realestateandhomes-detail/358-E-Colden-Ave_Los-Angeles_CA_90003_M21038-62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549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9" max="9" width="11.33203125" customWidth="1"/>
  </cols>
  <sheetData>
    <row r="1" spans="1:13" x14ac:dyDescent="0.25">
      <c r="A1">
        <v>2088027775</v>
      </c>
      <c r="B1" t="s">
        <v>0</v>
      </c>
      <c r="C1">
        <v>29995000</v>
      </c>
      <c r="D1" t="s">
        <v>1</v>
      </c>
      <c r="E1" t="s">
        <v>2</v>
      </c>
      <c r="F1">
        <v>58</v>
      </c>
      <c r="I1" s="1" t="str">
        <f>HYPERLINK("tel:+19494782295", "949-478-2295")</f>
        <v>949-478-2295</v>
      </c>
      <c r="J1" t="s">
        <v>3</v>
      </c>
      <c r="K1" t="s">
        <v>4</v>
      </c>
      <c r="M1">
        <v>9494782295</v>
      </c>
    </row>
    <row r="2" spans="1:13" x14ac:dyDescent="0.25">
      <c r="A2">
        <v>9475938992</v>
      </c>
      <c r="B2" t="s">
        <v>5</v>
      </c>
      <c r="C2">
        <v>9999500</v>
      </c>
      <c r="D2" t="s">
        <v>6</v>
      </c>
      <c r="E2" t="s">
        <v>7</v>
      </c>
      <c r="F2">
        <v>36</v>
      </c>
      <c r="I2" s="1" t="str">
        <f>HYPERLINK("tel:+18184321524", "818-432-1524")</f>
        <v>818-432-1524</v>
      </c>
      <c r="J2" t="s">
        <v>8</v>
      </c>
      <c r="K2" t="s">
        <v>9</v>
      </c>
      <c r="M2">
        <v>8184321524</v>
      </c>
    </row>
    <row r="3" spans="1:13" x14ac:dyDescent="0.25">
      <c r="A3">
        <v>9081738827</v>
      </c>
      <c r="B3" t="s">
        <v>10</v>
      </c>
      <c r="C3">
        <v>2200000</v>
      </c>
      <c r="D3" t="s">
        <v>11</v>
      </c>
      <c r="E3" t="s">
        <v>12</v>
      </c>
      <c r="F3">
        <v>33</v>
      </c>
      <c r="I3" t="str">
        <f>HYPERLINK("tel:+13236387567", "323-638-7567")</f>
        <v>323-638-7567</v>
      </c>
      <c r="J3" t="s">
        <v>13</v>
      </c>
      <c r="K3" t="s">
        <v>14</v>
      </c>
      <c r="M3">
        <v>3236387567</v>
      </c>
    </row>
    <row r="4" spans="1:13" x14ac:dyDescent="0.25">
      <c r="A4">
        <v>1433864109</v>
      </c>
      <c r="B4" t="s">
        <v>15</v>
      </c>
      <c r="C4">
        <v>27998000</v>
      </c>
      <c r="D4" t="s">
        <v>16</v>
      </c>
      <c r="E4" t="s">
        <v>17</v>
      </c>
      <c r="F4">
        <v>33</v>
      </c>
      <c r="I4" t="str">
        <f>HYPERLINK("tel:+17148655969", "714-865-5969")</f>
        <v>714-865-5969</v>
      </c>
      <c r="J4" t="s">
        <v>18</v>
      </c>
      <c r="K4" t="s">
        <v>19</v>
      </c>
      <c r="M4">
        <v>7148655969</v>
      </c>
    </row>
    <row r="5" spans="1:13" x14ac:dyDescent="0.25">
      <c r="A5">
        <v>1121705622</v>
      </c>
      <c r="B5" t="s">
        <v>20</v>
      </c>
      <c r="C5">
        <v>3195000</v>
      </c>
      <c r="D5" t="s">
        <v>21</v>
      </c>
      <c r="E5" t="s">
        <v>22</v>
      </c>
      <c r="F5">
        <v>32</v>
      </c>
      <c r="I5" t="str">
        <f>HYPERLINK("tel:+14243988055", "424-398-8055")</f>
        <v>424-398-8055</v>
      </c>
      <c r="J5" t="s">
        <v>23</v>
      </c>
      <c r="K5" t="s">
        <v>24</v>
      </c>
      <c r="M5">
        <v>4243988055</v>
      </c>
    </row>
    <row r="6" spans="1:13" x14ac:dyDescent="0.25">
      <c r="A6">
        <v>9382293942</v>
      </c>
      <c r="B6" t="s">
        <v>25</v>
      </c>
      <c r="C6">
        <v>695000</v>
      </c>
      <c r="D6" t="s">
        <v>26</v>
      </c>
      <c r="E6" t="s">
        <v>27</v>
      </c>
      <c r="F6">
        <v>32</v>
      </c>
      <c r="I6" t="str">
        <f>HYPERLINK("tel:+19493539999", "949-353-9999")</f>
        <v>949-353-9999</v>
      </c>
      <c r="J6" t="s">
        <v>28</v>
      </c>
      <c r="K6" t="s">
        <v>29</v>
      </c>
      <c r="M6">
        <v>9493539999</v>
      </c>
    </row>
    <row r="7" spans="1:13" x14ac:dyDescent="0.25">
      <c r="A7">
        <v>2443417353</v>
      </c>
      <c r="B7" t="s">
        <v>30</v>
      </c>
      <c r="C7">
        <v>2350000</v>
      </c>
      <c r="D7" t="s">
        <v>31</v>
      </c>
      <c r="E7" t="s">
        <v>32</v>
      </c>
      <c r="F7">
        <v>30</v>
      </c>
      <c r="I7" t="str">
        <f>HYPERLINK("tel:+18186066069", "818-606-6069")</f>
        <v>818-606-6069</v>
      </c>
      <c r="J7" t="s">
        <v>33</v>
      </c>
      <c r="K7" t="s">
        <v>34</v>
      </c>
      <c r="M7">
        <v>8186066069</v>
      </c>
    </row>
    <row r="8" spans="1:13" x14ac:dyDescent="0.25">
      <c r="A8">
        <v>9237910078</v>
      </c>
      <c r="B8" t="s">
        <v>35</v>
      </c>
      <c r="C8">
        <v>440000</v>
      </c>
      <c r="D8" t="s">
        <v>36</v>
      </c>
      <c r="E8" t="s">
        <v>37</v>
      </c>
      <c r="F8">
        <v>28</v>
      </c>
      <c r="I8" t="str">
        <f>HYPERLINK("tel:+17147604275", "714-760-4275")</f>
        <v>714-760-4275</v>
      </c>
      <c r="J8" t="s">
        <v>38</v>
      </c>
      <c r="K8" t="s">
        <v>39</v>
      </c>
      <c r="M8">
        <v>7147604275</v>
      </c>
    </row>
    <row r="9" spans="1:13" x14ac:dyDescent="0.25">
      <c r="A9">
        <v>1885673890</v>
      </c>
      <c r="B9" t="s">
        <v>40</v>
      </c>
      <c r="C9">
        <v>1999000</v>
      </c>
      <c r="D9" t="s">
        <v>41</v>
      </c>
      <c r="E9" t="s">
        <v>42</v>
      </c>
      <c r="F9">
        <v>28</v>
      </c>
      <c r="I9" t="str">
        <f>HYPERLINK("tel:+18185761685", "818-576-1685")</f>
        <v>818-576-1685</v>
      </c>
      <c r="J9" t="s">
        <v>43</v>
      </c>
      <c r="K9" t="s">
        <v>9</v>
      </c>
      <c r="M9">
        <v>8185761685</v>
      </c>
    </row>
    <row r="10" spans="1:13" x14ac:dyDescent="0.25">
      <c r="A10">
        <v>2169931041</v>
      </c>
      <c r="B10" t="s">
        <v>44</v>
      </c>
      <c r="C10">
        <v>6495000</v>
      </c>
      <c r="D10" t="s">
        <v>45</v>
      </c>
      <c r="E10" t="s">
        <v>46</v>
      </c>
      <c r="F10">
        <v>27</v>
      </c>
      <c r="I10" t="str">
        <f>HYPERLINK("tel:+18884002513", "888-400-2513")</f>
        <v>888-400-2513</v>
      </c>
      <c r="J10" t="s">
        <v>47</v>
      </c>
      <c r="K10" t="s">
        <v>48</v>
      </c>
      <c r="M10">
        <v>8884002513</v>
      </c>
    </row>
    <row r="11" spans="1:13" x14ac:dyDescent="0.25">
      <c r="A11">
        <v>2359543763</v>
      </c>
      <c r="B11" t="s">
        <v>49</v>
      </c>
      <c r="C11">
        <v>1165000</v>
      </c>
      <c r="D11" t="s">
        <v>50</v>
      </c>
      <c r="E11" t="s">
        <v>51</v>
      </c>
      <c r="F11">
        <v>27</v>
      </c>
      <c r="I11" t="str">
        <f>HYPERLINK("tel:+19499229552", "949-922-9552")</f>
        <v>949-922-9552</v>
      </c>
      <c r="J11" t="s">
        <v>52</v>
      </c>
      <c r="K11" t="s">
        <v>53</v>
      </c>
      <c r="M11">
        <v>9499229552</v>
      </c>
    </row>
    <row r="12" spans="1:13" x14ac:dyDescent="0.25">
      <c r="A12">
        <v>1757130356</v>
      </c>
      <c r="B12" t="s">
        <v>54</v>
      </c>
      <c r="C12">
        <v>11450000</v>
      </c>
      <c r="D12" t="s">
        <v>55</v>
      </c>
      <c r="E12" t="s">
        <v>56</v>
      </c>
      <c r="F12">
        <v>26</v>
      </c>
      <c r="I12" t="str">
        <f>HYPERLINK("tel:+13108617719", "310-861-7719")</f>
        <v>310-861-7719</v>
      </c>
      <c r="J12" t="s">
        <v>57</v>
      </c>
      <c r="K12" t="s">
        <v>58</v>
      </c>
      <c r="M12">
        <v>3108617719</v>
      </c>
    </row>
    <row r="13" spans="1:13" x14ac:dyDescent="0.25">
      <c r="A13">
        <v>1976938000</v>
      </c>
      <c r="B13" t="s">
        <v>59</v>
      </c>
      <c r="C13">
        <v>15995000</v>
      </c>
      <c r="D13" t="s">
        <v>60</v>
      </c>
      <c r="E13" t="s">
        <v>61</v>
      </c>
      <c r="F13">
        <v>26</v>
      </c>
      <c r="I13" t="str">
        <f>HYPERLINK("tel:+19496899047", "949-689-9047")</f>
        <v>949-689-9047</v>
      </c>
      <c r="J13" t="s">
        <v>62</v>
      </c>
      <c r="K13" t="s">
        <v>63</v>
      </c>
      <c r="M13">
        <v>9496899047</v>
      </c>
    </row>
    <row r="14" spans="1:13" x14ac:dyDescent="0.25">
      <c r="A14">
        <v>9706219827</v>
      </c>
      <c r="B14" t="s">
        <v>64</v>
      </c>
      <c r="C14">
        <v>1299990</v>
      </c>
      <c r="D14" t="s">
        <v>65</v>
      </c>
      <c r="E14" t="s">
        <v>66</v>
      </c>
      <c r="F14">
        <v>25</v>
      </c>
      <c r="I14" t="str">
        <f>HYPERLINK("tel:+19493700819", "949-370-0819")</f>
        <v>949-370-0819</v>
      </c>
      <c r="J14" t="s">
        <v>67</v>
      </c>
      <c r="K14" t="s">
        <v>68</v>
      </c>
      <c r="M14">
        <v>9493700819</v>
      </c>
    </row>
    <row r="15" spans="1:13" x14ac:dyDescent="0.25">
      <c r="A15">
        <v>1055859850</v>
      </c>
      <c r="B15" t="s">
        <v>69</v>
      </c>
      <c r="C15">
        <v>9999000</v>
      </c>
      <c r="D15" t="s">
        <v>70</v>
      </c>
      <c r="E15" t="s">
        <v>71</v>
      </c>
      <c r="F15">
        <v>24</v>
      </c>
      <c r="I15" t="str">
        <f>HYPERLINK("tel:+13106917888", "310-691-7888")</f>
        <v>310-691-7888</v>
      </c>
      <c r="J15" t="s">
        <v>72</v>
      </c>
      <c r="K15" t="s">
        <v>24</v>
      </c>
      <c r="M15">
        <v>3106917888</v>
      </c>
    </row>
    <row r="16" spans="1:13" x14ac:dyDescent="0.25">
      <c r="A16">
        <v>1805349337</v>
      </c>
      <c r="B16" t="s">
        <v>73</v>
      </c>
      <c r="C16">
        <v>1640000</v>
      </c>
      <c r="D16" t="s">
        <v>74</v>
      </c>
      <c r="E16" t="s">
        <v>75</v>
      </c>
      <c r="F16">
        <v>24</v>
      </c>
      <c r="I16" t="str">
        <f>HYPERLINK("tel:+13109683844", "310-968-3844")</f>
        <v>310-968-3844</v>
      </c>
      <c r="J16" t="s">
        <v>76</v>
      </c>
      <c r="K16" t="s">
        <v>77</v>
      </c>
      <c r="M16">
        <v>3109683844</v>
      </c>
    </row>
    <row r="17" spans="1:13" x14ac:dyDescent="0.25">
      <c r="A17">
        <v>1498391694</v>
      </c>
      <c r="B17" t="s">
        <v>78</v>
      </c>
      <c r="C17">
        <v>764950</v>
      </c>
      <c r="D17" t="s">
        <v>79</v>
      </c>
      <c r="E17" t="s">
        <v>80</v>
      </c>
      <c r="F17">
        <v>24</v>
      </c>
      <c r="I17" t="str">
        <f>HYPERLINK("tel:+15627142176", "562-714-2176")</f>
        <v>562-714-2176</v>
      </c>
      <c r="J17" t="s">
        <v>81</v>
      </c>
      <c r="K17" t="s">
        <v>82</v>
      </c>
      <c r="M17">
        <v>5627142176</v>
      </c>
    </row>
    <row r="18" spans="1:13" x14ac:dyDescent="0.25">
      <c r="A18">
        <v>1367092407</v>
      </c>
      <c r="B18" t="s">
        <v>83</v>
      </c>
      <c r="C18">
        <v>1995000</v>
      </c>
      <c r="D18" t="s">
        <v>84</v>
      </c>
      <c r="E18" t="s">
        <v>85</v>
      </c>
      <c r="F18">
        <v>24</v>
      </c>
      <c r="I18" t="str">
        <f>HYPERLINK("tel:+18184001868", "818-400-1868")</f>
        <v>818-400-1868</v>
      </c>
      <c r="J18" t="s">
        <v>86</v>
      </c>
      <c r="K18" t="s">
        <v>87</v>
      </c>
      <c r="M18">
        <v>8184001868</v>
      </c>
    </row>
    <row r="19" spans="1:13" x14ac:dyDescent="0.25">
      <c r="A19">
        <v>2900109707</v>
      </c>
      <c r="B19" t="s">
        <v>88</v>
      </c>
      <c r="C19">
        <v>12990000</v>
      </c>
      <c r="D19" t="s">
        <v>89</v>
      </c>
      <c r="E19" t="s">
        <v>90</v>
      </c>
      <c r="F19">
        <v>24</v>
      </c>
      <c r="I19" t="str">
        <f>HYPERLINK("tel:+18189004259", "818-900-4259")</f>
        <v>818-900-4259</v>
      </c>
      <c r="J19" t="s">
        <v>91</v>
      </c>
      <c r="K19" t="s">
        <v>63</v>
      </c>
      <c r="M19">
        <v>8189004259</v>
      </c>
    </row>
    <row r="20" spans="1:13" x14ac:dyDescent="0.25">
      <c r="A20">
        <v>2877057832</v>
      </c>
      <c r="B20" t="s">
        <v>92</v>
      </c>
      <c r="C20">
        <v>1898000</v>
      </c>
      <c r="D20" t="s">
        <v>93</v>
      </c>
      <c r="E20" t="s">
        <v>94</v>
      </c>
      <c r="F20">
        <v>23</v>
      </c>
      <c r="I20" t="str">
        <f>HYPERLINK("tel:+13105003931", "310-500-3931")</f>
        <v>310-500-3931</v>
      </c>
      <c r="J20" t="s">
        <v>95</v>
      </c>
      <c r="K20" t="s">
        <v>24</v>
      </c>
      <c r="M20">
        <v>3105003931</v>
      </c>
    </row>
    <row r="21" spans="1:13" x14ac:dyDescent="0.25">
      <c r="A21">
        <v>1159869185</v>
      </c>
      <c r="B21" t="s">
        <v>96</v>
      </c>
      <c r="C21">
        <v>4270000</v>
      </c>
      <c r="D21" t="s">
        <v>97</v>
      </c>
      <c r="E21" t="s">
        <v>98</v>
      </c>
      <c r="F21">
        <v>23</v>
      </c>
      <c r="I21" t="str">
        <f>HYPERLINK("tel:+13109274462", "310-927-4462")</f>
        <v>310-927-4462</v>
      </c>
      <c r="J21" t="s">
        <v>99</v>
      </c>
      <c r="K21" t="s">
        <v>100</v>
      </c>
      <c r="M21">
        <v>3109274462</v>
      </c>
    </row>
    <row r="22" spans="1:13" x14ac:dyDescent="0.25">
      <c r="A22">
        <v>2877057832</v>
      </c>
      <c r="B22" t="s">
        <v>92</v>
      </c>
      <c r="C22">
        <v>1898000</v>
      </c>
      <c r="D22" t="s">
        <v>93</v>
      </c>
      <c r="E22" t="s">
        <v>101</v>
      </c>
      <c r="F22">
        <v>22</v>
      </c>
      <c r="I22" t="str">
        <f>HYPERLINK("tel:+13105694889", "310-569-4889")</f>
        <v>310-569-4889</v>
      </c>
      <c r="J22" t="s">
        <v>102</v>
      </c>
      <c r="K22" t="s">
        <v>24</v>
      </c>
      <c r="M22">
        <v>3105694889</v>
      </c>
    </row>
    <row r="23" spans="1:13" x14ac:dyDescent="0.25">
      <c r="A23">
        <v>9079908309</v>
      </c>
      <c r="B23" t="s">
        <v>103</v>
      </c>
      <c r="C23">
        <v>2950000</v>
      </c>
      <c r="D23" t="s">
        <v>104</v>
      </c>
      <c r="E23" t="s">
        <v>105</v>
      </c>
      <c r="F23">
        <v>22</v>
      </c>
      <c r="I23" t="str">
        <f>HYPERLINK("tel:+19497027047", "949-702-7047")</f>
        <v>949-702-7047</v>
      </c>
      <c r="J23" t="s">
        <v>106</v>
      </c>
      <c r="K23" t="s">
        <v>107</v>
      </c>
      <c r="M23">
        <v>9497027047</v>
      </c>
    </row>
    <row r="24" spans="1:13" x14ac:dyDescent="0.25">
      <c r="A24">
        <v>9606598782</v>
      </c>
      <c r="B24" t="s">
        <v>108</v>
      </c>
      <c r="C24">
        <v>2495000</v>
      </c>
      <c r="D24" t="s">
        <v>109</v>
      </c>
      <c r="E24" t="s">
        <v>110</v>
      </c>
      <c r="F24">
        <v>21</v>
      </c>
      <c r="I24" t="str">
        <f>HYPERLINK("tel:+13104820173", "310-482-0173")</f>
        <v>310-482-0173</v>
      </c>
      <c r="J24" t="s">
        <v>111</v>
      </c>
      <c r="K24" t="s">
        <v>112</v>
      </c>
      <c r="M24">
        <v>3104820173</v>
      </c>
    </row>
    <row r="25" spans="1:13" x14ac:dyDescent="0.25">
      <c r="A25">
        <v>2460797254</v>
      </c>
      <c r="B25" t="s">
        <v>113</v>
      </c>
      <c r="C25">
        <v>6495000</v>
      </c>
      <c r="D25" t="s">
        <v>114</v>
      </c>
      <c r="E25" t="s">
        <v>115</v>
      </c>
      <c r="F25">
        <v>20</v>
      </c>
      <c r="I25" t="str">
        <f>HYPERLINK("tel:+13106501116", "310-650-1116")</f>
        <v>310-650-1116</v>
      </c>
      <c r="J25" t="s">
        <v>116</v>
      </c>
      <c r="K25" t="s">
        <v>117</v>
      </c>
      <c r="M25">
        <v>3106501116</v>
      </c>
    </row>
    <row r="26" spans="1:13" x14ac:dyDescent="0.25">
      <c r="A26">
        <v>1426375337</v>
      </c>
      <c r="B26" t="s">
        <v>118</v>
      </c>
      <c r="C26">
        <v>484000</v>
      </c>
      <c r="D26" t="s">
        <v>119</v>
      </c>
      <c r="E26" t="s">
        <v>120</v>
      </c>
      <c r="F26">
        <v>20</v>
      </c>
      <c r="I26" t="str">
        <f>HYPERLINK("tel:+17143177243", "714-317-7243")</f>
        <v>714-317-7243</v>
      </c>
      <c r="J26" t="s">
        <v>121</v>
      </c>
      <c r="K26" t="s">
        <v>122</v>
      </c>
      <c r="M26">
        <v>7143177243</v>
      </c>
    </row>
    <row r="27" spans="1:13" x14ac:dyDescent="0.25">
      <c r="A27">
        <v>1447684119</v>
      </c>
      <c r="B27" t="s">
        <v>123</v>
      </c>
      <c r="C27">
        <v>2079000</v>
      </c>
      <c r="D27" t="s">
        <v>124</v>
      </c>
      <c r="E27" t="s">
        <v>125</v>
      </c>
      <c r="F27">
        <v>19</v>
      </c>
      <c r="I27" t="str">
        <f>HYPERLINK("tel:+13107293393", "310-729-3393")</f>
        <v>310-729-3393</v>
      </c>
      <c r="J27" t="s">
        <v>126</v>
      </c>
      <c r="K27" t="s">
        <v>9</v>
      </c>
      <c r="M27">
        <v>3107293393</v>
      </c>
    </row>
    <row r="28" spans="1:13" x14ac:dyDescent="0.25">
      <c r="A28">
        <v>1265946341</v>
      </c>
      <c r="B28" t="s">
        <v>127</v>
      </c>
      <c r="C28">
        <v>4750000</v>
      </c>
      <c r="D28" t="s">
        <v>128</v>
      </c>
      <c r="E28" t="s">
        <v>129</v>
      </c>
      <c r="F28">
        <v>19</v>
      </c>
      <c r="I28" t="str">
        <f>HYPERLINK("tel:+18186676683", "818-667-6683")</f>
        <v>818-667-6683</v>
      </c>
      <c r="J28" t="s">
        <v>130</v>
      </c>
      <c r="K28" t="s">
        <v>131</v>
      </c>
      <c r="M28">
        <v>8186676683</v>
      </c>
    </row>
    <row r="29" spans="1:13" x14ac:dyDescent="0.25">
      <c r="A29">
        <v>1351576476</v>
      </c>
      <c r="B29" t="s">
        <v>132</v>
      </c>
      <c r="C29">
        <v>59900000</v>
      </c>
      <c r="D29" t="s">
        <v>133</v>
      </c>
      <c r="E29" t="s">
        <v>134</v>
      </c>
      <c r="F29">
        <v>18</v>
      </c>
      <c r="I29" t="str">
        <f>HYPERLINK("tel:+13106233622", "310-623-3622")</f>
        <v>310-623-3622</v>
      </c>
      <c r="J29" t="s">
        <v>135</v>
      </c>
      <c r="K29" t="s">
        <v>136</v>
      </c>
      <c r="M29">
        <v>3106233622</v>
      </c>
    </row>
    <row r="30" spans="1:13" x14ac:dyDescent="0.25">
      <c r="A30">
        <v>1620557678</v>
      </c>
      <c r="B30" t="s">
        <v>137</v>
      </c>
      <c r="C30">
        <v>1799000</v>
      </c>
      <c r="D30" t="s">
        <v>138</v>
      </c>
      <c r="E30" t="s">
        <v>139</v>
      </c>
      <c r="F30">
        <v>18</v>
      </c>
      <c r="I30" t="str">
        <f>HYPERLINK("tel:+18182625648", "818-262-5648")</f>
        <v>818-262-5648</v>
      </c>
      <c r="J30" t="s">
        <v>140</v>
      </c>
      <c r="K30" t="s">
        <v>117</v>
      </c>
      <c r="M30">
        <v>8182625648</v>
      </c>
    </row>
    <row r="31" spans="1:13" x14ac:dyDescent="0.25">
      <c r="A31">
        <v>2278509934</v>
      </c>
      <c r="B31" t="s">
        <v>141</v>
      </c>
      <c r="C31">
        <v>2950000</v>
      </c>
      <c r="D31" t="s">
        <v>142</v>
      </c>
      <c r="E31" t="s">
        <v>143</v>
      </c>
      <c r="F31">
        <v>18</v>
      </c>
      <c r="I31" t="str">
        <f>HYPERLINK("tel:+18188501458", "818-850-1458")</f>
        <v>818-850-1458</v>
      </c>
      <c r="J31" t="s">
        <v>144</v>
      </c>
      <c r="K31" t="s">
        <v>63</v>
      </c>
      <c r="M31">
        <v>8188501458</v>
      </c>
    </row>
    <row r="32" spans="1:13" x14ac:dyDescent="0.25">
      <c r="A32">
        <v>1523954205</v>
      </c>
      <c r="B32" t="s">
        <v>145</v>
      </c>
      <c r="C32">
        <v>3495000</v>
      </c>
      <c r="D32" t="s">
        <v>146</v>
      </c>
      <c r="E32" t="s">
        <v>147</v>
      </c>
      <c r="F32">
        <v>17</v>
      </c>
      <c r="I32" t="str">
        <f>HYPERLINK("tel:+13102101236", "310-210-1236")</f>
        <v>310-210-1236</v>
      </c>
      <c r="J32" t="s">
        <v>148</v>
      </c>
      <c r="K32" t="s">
        <v>58</v>
      </c>
      <c r="M32">
        <v>3102101236</v>
      </c>
    </row>
    <row r="33" spans="1:13" x14ac:dyDescent="0.25">
      <c r="A33">
        <v>2486324425</v>
      </c>
      <c r="B33" t="s">
        <v>149</v>
      </c>
      <c r="C33">
        <v>5900000</v>
      </c>
      <c r="D33" t="s">
        <v>150</v>
      </c>
      <c r="E33" t="s">
        <v>151</v>
      </c>
      <c r="F33">
        <v>17</v>
      </c>
      <c r="I33" t="str">
        <f>HYPERLINK("tel:+13108828357", "310-882-8357")</f>
        <v>310-882-8357</v>
      </c>
      <c r="J33" t="s">
        <v>152</v>
      </c>
      <c r="K33" t="s">
        <v>153</v>
      </c>
      <c r="M33">
        <v>3108828357</v>
      </c>
    </row>
    <row r="34" spans="1:13" x14ac:dyDescent="0.25">
      <c r="A34">
        <v>2247368721</v>
      </c>
      <c r="B34" t="s">
        <v>154</v>
      </c>
      <c r="C34">
        <v>2199000</v>
      </c>
      <c r="D34" t="s">
        <v>155</v>
      </c>
      <c r="E34" t="s">
        <v>156</v>
      </c>
      <c r="F34">
        <v>17</v>
      </c>
      <c r="I34" t="str">
        <f>HYPERLINK("tel:+17147175095", "714-717-5095")</f>
        <v>714-717-5095</v>
      </c>
      <c r="J34" t="s">
        <v>157</v>
      </c>
      <c r="K34" t="s">
        <v>158</v>
      </c>
      <c r="M34">
        <v>7147175095</v>
      </c>
    </row>
    <row r="35" spans="1:13" x14ac:dyDescent="0.25">
      <c r="A35">
        <v>1967025443</v>
      </c>
      <c r="B35" t="s">
        <v>159</v>
      </c>
      <c r="C35">
        <v>2549000</v>
      </c>
      <c r="D35" t="s">
        <v>160</v>
      </c>
      <c r="E35" t="s">
        <v>161</v>
      </c>
      <c r="F35">
        <v>17</v>
      </c>
      <c r="I35" t="str">
        <f>HYPERLINK("tel:+18054966132", "805-496-6132")</f>
        <v>805-496-6132</v>
      </c>
      <c r="J35" t="s">
        <v>162</v>
      </c>
      <c r="K35" t="s">
        <v>163</v>
      </c>
      <c r="M35">
        <v>8054966132</v>
      </c>
    </row>
    <row r="36" spans="1:13" x14ac:dyDescent="0.25">
      <c r="A36">
        <v>1309891875</v>
      </c>
      <c r="B36" t="s">
        <v>164</v>
      </c>
      <c r="C36">
        <v>2495000</v>
      </c>
      <c r="D36" t="s">
        <v>165</v>
      </c>
      <c r="E36" t="s">
        <v>166</v>
      </c>
      <c r="F36">
        <v>17</v>
      </c>
      <c r="I36" t="str">
        <f>HYPERLINK("tel:+18184539104", "818-453-9104")</f>
        <v>818-453-9104</v>
      </c>
      <c r="J36" t="s">
        <v>167</v>
      </c>
      <c r="K36" t="s">
        <v>168</v>
      </c>
      <c r="M36">
        <v>8184539104</v>
      </c>
    </row>
    <row r="37" spans="1:13" x14ac:dyDescent="0.25">
      <c r="A37">
        <v>1437155525</v>
      </c>
      <c r="B37" t="s">
        <v>169</v>
      </c>
      <c r="C37">
        <v>2526000</v>
      </c>
      <c r="D37" t="s">
        <v>170</v>
      </c>
      <c r="E37" t="s">
        <v>171</v>
      </c>
      <c r="F37">
        <v>16</v>
      </c>
      <c r="I37" t="str">
        <f>HYPERLINK("tel:+13107291559", "310-729-1559")</f>
        <v>310-729-1559</v>
      </c>
      <c r="J37" t="s">
        <v>172</v>
      </c>
      <c r="K37" t="s">
        <v>173</v>
      </c>
      <c r="M37">
        <v>3107291559</v>
      </c>
    </row>
    <row r="38" spans="1:13" x14ac:dyDescent="0.25">
      <c r="A38">
        <v>1351576476</v>
      </c>
      <c r="B38" t="s">
        <v>132</v>
      </c>
      <c r="C38">
        <v>59900000</v>
      </c>
      <c r="D38" t="s">
        <v>133</v>
      </c>
      <c r="E38" t="s">
        <v>174</v>
      </c>
      <c r="F38">
        <v>16</v>
      </c>
      <c r="I38" t="str">
        <f>HYPERLINK("tel:+13109263777", "310-926-3777")</f>
        <v>310-926-3777</v>
      </c>
      <c r="J38" t="s">
        <v>175</v>
      </c>
      <c r="K38" t="s">
        <v>107</v>
      </c>
      <c r="M38">
        <v>3109263777</v>
      </c>
    </row>
    <row r="39" spans="1:13" x14ac:dyDescent="0.25">
      <c r="A39">
        <v>1297190761</v>
      </c>
      <c r="B39" t="s">
        <v>176</v>
      </c>
      <c r="C39">
        <v>3500000</v>
      </c>
      <c r="D39" t="s">
        <v>177</v>
      </c>
      <c r="E39" t="s">
        <v>178</v>
      </c>
      <c r="F39">
        <v>16</v>
      </c>
      <c r="I39" t="str">
        <f>HYPERLINK("tel:+17144861419", "714-486-1419")</f>
        <v>714-486-1419</v>
      </c>
      <c r="J39" t="s">
        <v>179</v>
      </c>
      <c r="K39" t="s">
        <v>180</v>
      </c>
      <c r="M39">
        <v>7144861419</v>
      </c>
    </row>
    <row r="40" spans="1:13" x14ac:dyDescent="0.25">
      <c r="A40">
        <v>1703106201</v>
      </c>
      <c r="B40" t="s">
        <v>181</v>
      </c>
      <c r="C40">
        <v>1725000</v>
      </c>
      <c r="D40" t="s">
        <v>182</v>
      </c>
      <c r="E40" t="s">
        <v>183</v>
      </c>
      <c r="F40">
        <v>16</v>
      </c>
      <c r="I40" t="str">
        <f>HYPERLINK("tel:+18182122735", "818-212-2735")</f>
        <v>818-212-2735</v>
      </c>
      <c r="J40" t="s">
        <v>184</v>
      </c>
      <c r="K40" t="s">
        <v>131</v>
      </c>
      <c r="M40">
        <v>8182122735</v>
      </c>
    </row>
    <row r="41" spans="1:13" x14ac:dyDescent="0.25">
      <c r="A41">
        <v>2894594347</v>
      </c>
      <c r="B41" t="s">
        <v>185</v>
      </c>
      <c r="C41">
        <v>8999000</v>
      </c>
      <c r="D41" t="s">
        <v>186</v>
      </c>
      <c r="E41" t="s">
        <v>187</v>
      </c>
      <c r="F41">
        <v>16</v>
      </c>
      <c r="I41" t="str">
        <f>HYPERLINK("tel:+18186181006", "818-618-1006")</f>
        <v>818-618-1006</v>
      </c>
      <c r="J41" t="s">
        <v>188</v>
      </c>
      <c r="K41" t="s">
        <v>63</v>
      </c>
      <c r="M41">
        <v>8186181006</v>
      </c>
    </row>
    <row r="42" spans="1:13" x14ac:dyDescent="0.25">
      <c r="A42">
        <v>2036576287</v>
      </c>
      <c r="B42" t="s">
        <v>189</v>
      </c>
      <c r="C42">
        <v>2698000</v>
      </c>
      <c r="D42" t="s">
        <v>190</v>
      </c>
      <c r="E42" t="s">
        <v>191</v>
      </c>
      <c r="F42">
        <v>15</v>
      </c>
      <c r="I42" t="str">
        <f>HYPERLINK("tel:+13104976789", "310-497-6789")</f>
        <v>310-497-6789</v>
      </c>
      <c r="J42" t="s">
        <v>192</v>
      </c>
      <c r="K42" t="s">
        <v>193</v>
      </c>
      <c r="M42">
        <v>3104976789</v>
      </c>
    </row>
    <row r="43" spans="1:13" x14ac:dyDescent="0.25">
      <c r="A43">
        <v>2431400723</v>
      </c>
      <c r="B43" t="s">
        <v>194</v>
      </c>
      <c r="C43">
        <v>4295000</v>
      </c>
      <c r="D43" t="s">
        <v>195</v>
      </c>
      <c r="E43" t="s">
        <v>196</v>
      </c>
      <c r="F43">
        <v>15</v>
      </c>
      <c r="I43" t="str">
        <f>HYPERLINK("tel:+13106232319", "310-623-2319")</f>
        <v>310-623-2319</v>
      </c>
      <c r="J43" t="s">
        <v>197</v>
      </c>
      <c r="K43" t="s">
        <v>24</v>
      </c>
      <c r="M43">
        <v>3106232319</v>
      </c>
    </row>
    <row r="44" spans="1:13" x14ac:dyDescent="0.25">
      <c r="A44">
        <v>2009798521</v>
      </c>
      <c r="B44" t="s">
        <v>198</v>
      </c>
      <c r="C44">
        <v>3295000</v>
      </c>
      <c r="D44" t="s">
        <v>199</v>
      </c>
      <c r="E44" t="s">
        <v>200</v>
      </c>
      <c r="F44">
        <v>15</v>
      </c>
      <c r="I44" t="str">
        <f>HYPERLINK("tel:+13109095454", "310-909-5454")</f>
        <v>310-909-5454</v>
      </c>
      <c r="J44" t="s">
        <v>201</v>
      </c>
      <c r="K44" t="s">
        <v>200</v>
      </c>
      <c r="M44">
        <v>3109095454</v>
      </c>
    </row>
    <row r="45" spans="1:13" x14ac:dyDescent="0.25">
      <c r="A45">
        <v>1757105930</v>
      </c>
      <c r="B45" t="s">
        <v>202</v>
      </c>
      <c r="C45">
        <v>1799000</v>
      </c>
      <c r="D45" t="s">
        <v>203</v>
      </c>
      <c r="E45" t="s">
        <v>204</v>
      </c>
      <c r="F45">
        <v>15</v>
      </c>
      <c r="I45" t="str">
        <f>HYPERLINK("tel:+13109987175", "310-998-7175")</f>
        <v>310-998-7175</v>
      </c>
      <c r="J45" t="s">
        <v>205</v>
      </c>
      <c r="K45" t="s">
        <v>136</v>
      </c>
      <c r="M45">
        <v>3109987175</v>
      </c>
    </row>
    <row r="46" spans="1:13" x14ac:dyDescent="0.25">
      <c r="A46">
        <v>2025220168</v>
      </c>
      <c r="B46" t="s">
        <v>206</v>
      </c>
      <c r="C46">
        <v>1130000</v>
      </c>
      <c r="D46" t="s">
        <v>207</v>
      </c>
      <c r="E46" t="s">
        <v>208</v>
      </c>
      <c r="F46">
        <v>15</v>
      </c>
      <c r="I46" t="str">
        <f>HYPERLINK("tel:+13235457898", "323-545-7898")</f>
        <v>323-545-7898</v>
      </c>
      <c r="J46" t="s">
        <v>209</v>
      </c>
      <c r="K46" t="s">
        <v>158</v>
      </c>
      <c r="M46">
        <v>3235457898</v>
      </c>
    </row>
    <row r="47" spans="1:13" x14ac:dyDescent="0.25">
      <c r="A47">
        <v>1582240401</v>
      </c>
      <c r="B47" t="s">
        <v>210</v>
      </c>
      <c r="C47">
        <v>1775000</v>
      </c>
      <c r="D47" t="s">
        <v>211</v>
      </c>
      <c r="E47" t="s">
        <v>212</v>
      </c>
      <c r="F47">
        <v>15</v>
      </c>
      <c r="I47" t="str">
        <f>HYPERLINK("tel:+14242742533", "424-274-2533")</f>
        <v>424-274-2533</v>
      </c>
      <c r="J47" t="s">
        <v>213</v>
      </c>
      <c r="K47" t="s">
        <v>214</v>
      </c>
      <c r="M47">
        <v>4242742533</v>
      </c>
    </row>
    <row r="48" spans="1:13" x14ac:dyDescent="0.25">
      <c r="A48">
        <v>2979653478</v>
      </c>
      <c r="B48" t="s">
        <v>215</v>
      </c>
      <c r="C48">
        <v>26660000</v>
      </c>
      <c r="D48" t="s">
        <v>216</v>
      </c>
      <c r="E48" t="s">
        <v>217</v>
      </c>
      <c r="F48">
        <v>15</v>
      </c>
      <c r="I48" t="str">
        <f>HYPERLINK("tel:+17146558940", "714-655-8940")</f>
        <v>714-655-8940</v>
      </c>
      <c r="J48" t="s">
        <v>218</v>
      </c>
      <c r="K48" t="s">
        <v>219</v>
      </c>
      <c r="M48">
        <v>7146558940</v>
      </c>
    </row>
    <row r="49" spans="1:13" x14ac:dyDescent="0.25">
      <c r="A49">
        <v>1423748012</v>
      </c>
      <c r="B49" t="s">
        <v>220</v>
      </c>
      <c r="C49">
        <v>719917</v>
      </c>
      <c r="D49" t="s">
        <v>221</v>
      </c>
      <c r="E49" t="s">
        <v>222</v>
      </c>
      <c r="F49">
        <v>15</v>
      </c>
      <c r="I49" t="str">
        <f>HYPERLINK("tel:+18189535300", "818-953-5300")</f>
        <v>818-953-5300</v>
      </c>
      <c r="J49" t="s">
        <v>223</v>
      </c>
      <c r="K49" t="s">
        <v>224</v>
      </c>
      <c r="M49">
        <v>8189535300</v>
      </c>
    </row>
    <row r="50" spans="1:13" x14ac:dyDescent="0.25">
      <c r="A50">
        <v>2981813129</v>
      </c>
      <c r="B50" t="s">
        <v>225</v>
      </c>
      <c r="C50">
        <v>1719000</v>
      </c>
      <c r="D50" t="s">
        <v>226</v>
      </c>
      <c r="E50" t="s">
        <v>227</v>
      </c>
      <c r="F50">
        <v>15</v>
      </c>
      <c r="I50" t="str">
        <f>HYPERLINK("tel:+19493383767", "949-338-3767")</f>
        <v>949-338-3767</v>
      </c>
      <c r="J50" t="s">
        <v>228</v>
      </c>
      <c r="K50" t="s">
        <v>229</v>
      </c>
      <c r="M50">
        <v>9493383767</v>
      </c>
    </row>
    <row r="51" spans="1:13" x14ac:dyDescent="0.25">
      <c r="A51">
        <v>1005174836</v>
      </c>
      <c r="B51" t="s">
        <v>230</v>
      </c>
      <c r="C51">
        <v>2950000</v>
      </c>
      <c r="D51" t="s">
        <v>231</v>
      </c>
      <c r="E51" t="s">
        <v>232</v>
      </c>
      <c r="F51">
        <v>15</v>
      </c>
      <c r="I51" t="str">
        <f>HYPERLINK("tel:+19494193326", "949-419-3326")</f>
        <v>949-419-3326</v>
      </c>
      <c r="J51" t="s">
        <v>233</v>
      </c>
      <c r="K51" t="s">
        <v>234</v>
      </c>
      <c r="M51">
        <v>9494193326</v>
      </c>
    </row>
    <row r="52" spans="1:13" x14ac:dyDescent="0.25">
      <c r="A52">
        <v>9742751081</v>
      </c>
      <c r="B52" t="s">
        <v>235</v>
      </c>
      <c r="C52">
        <v>7995000</v>
      </c>
      <c r="D52" t="s">
        <v>236</v>
      </c>
      <c r="E52" t="s">
        <v>237</v>
      </c>
      <c r="F52">
        <v>15</v>
      </c>
      <c r="I52" t="str">
        <f>HYPERLINK("tel:+19495458588", "949-545-8588")</f>
        <v>949-545-8588</v>
      </c>
      <c r="J52" t="s">
        <v>238</v>
      </c>
      <c r="K52" t="s">
        <v>239</v>
      </c>
      <c r="M52">
        <v>9495458588</v>
      </c>
    </row>
    <row r="53" spans="1:13" x14ac:dyDescent="0.25">
      <c r="A53">
        <v>9687961265</v>
      </c>
      <c r="B53" t="s">
        <v>240</v>
      </c>
      <c r="C53">
        <v>3969934</v>
      </c>
      <c r="D53" t="s">
        <v>241</v>
      </c>
      <c r="E53" t="s">
        <v>242</v>
      </c>
      <c r="F53">
        <v>15</v>
      </c>
      <c r="I53" t="str">
        <f>HYPERLINK("tel:+19498336154", "949-833-6154")</f>
        <v>949-833-6154</v>
      </c>
      <c r="J53" t="s">
        <v>243</v>
      </c>
      <c r="K53" t="s">
        <v>244</v>
      </c>
      <c r="M53">
        <v>9498336154</v>
      </c>
    </row>
    <row r="54" spans="1:13" x14ac:dyDescent="0.25">
      <c r="A54">
        <v>2823557145</v>
      </c>
      <c r="B54" t="s">
        <v>245</v>
      </c>
      <c r="C54">
        <v>135000000</v>
      </c>
      <c r="D54" t="s">
        <v>246</v>
      </c>
      <c r="E54" t="s">
        <v>247</v>
      </c>
      <c r="F54">
        <v>14</v>
      </c>
      <c r="I54" t="str">
        <f>HYPERLINK("tel:+13108608889", "310-860-8889")</f>
        <v>310-860-8889</v>
      </c>
      <c r="J54" t="s">
        <v>248</v>
      </c>
      <c r="K54" t="s">
        <v>249</v>
      </c>
      <c r="M54">
        <v>3108608889</v>
      </c>
    </row>
    <row r="55" spans="1:13" x14ac:dyDescent="0.25">
      <c r="A55">
        <v>9939771771</v>
      </c>
      <c r="B55" t="s">
        <v>250</v>
      </c>
      <c r="C55">
        <v>3995000</v>
      </c>
      <c r="D55" t="s">
        <v>251</v>
      </c>
      <c r="E55" t="s">
        <v>252</v>
      </c>
      <c r="F55">
        <v>14</v>
      </c>
      <c r="I55" t="str">
        <f>HYPERLINK("tel:+13109020063", "310-902-0063")</f>
        <v>310-902-0063</v>
      </c>
      <c r="J55" t="s">
        <v>253</v>
      </c>
      <c r="K55" t="s">
        <v>254</v>
      </c>
      <c r="M55">
        <v>3109020063</v>
      </c>
    </row>
    <row r="56" spans="1:13" x14ac:dyDescent="0.25">
      <c r="A56">
        <v>1999903450</v>
      </c>
      <c r="B56" t="s">
        <v>255</v>
      </c>
      <c r="C56">
        <v>2500000</v>
      </c>
      <c r="D56" t="s">
        <v>256</v>
      </c>
      <c r="E56" t="s">
        <v>257</v>
      </c>
      <c r="F56">
        <v>14</v>
      </c>
      <c r="I56" t="str">
        <f>HYPERLINK("tel:+13109095456", "310-909-5456")</f>
        <v>310-909-5456</v>
      </c>
      <c r="J56" t="s">
        <v>258</v>
      </c>
      <c r="K56" t="s">
        <v>173</v>
      </c>
      <c r="M56">
        <v>3109095456</v>
      </c>
    </row>
    <row r="57" spans="1:13" x14ac:dyDescent="0.25">
      <c r="A57">
        <v>1560808784</v>
      </c>
      <c r="B57" t="s">
        <v>259</v>
      </c>
      <c r="C57">
        <v>89900</v>
      </c>
      <c r="D57" t="s">
        <v>260</v>
      </c>
      <c r="E57" t="s">
        <v>261</v>
      </c>
      <c r="F57">
        <v>14</v>
      </c>
      <c r="I57" t="str">
        <f>HYPERLINK("tel:+17142403697", "714-240-3697")</f>
        <v>714-240-3697</v>
      </c>
      <c r="J57" t="s">
        <v>262</v>
      </c>
      <c r="K57" t="s">
        <v>263</v>
      </c>
      <c r="M57">
        <v>7142403697</v>
      </c>
    </row>
    <row r="58" spans="1:13" x14ac:dyDescent="0.25">
      <c r="A58">
        <v>2558981150</v>
      </c>
      <c r="B58" t="s">
        <v>264</v>
      </c>
      <c r="C58">
        <v>234000</v>
      </c>
      <c r="D58" t="s">
        <v>265</v>
      </c>
      <c r="E58" t="s">
        <v>266</v>
      </c>
      <c r="F58">
        <v>14</v>
      </c>
      <c r="I58" t="str">
        <f>HYPERLINK("tel:+17147684420", "714-768-4420")</f>
        <v>714-768-4420</v>
      </c>
      <c r="J58" t="s">
        <v>267</v>
      </c>
      <c r="K58" t="s">
        <v>268</v>
      </c>
      <c r="M58">
        <v>7147684420</v>
      </c>
    </row>
    <row r="59" spans="1:13" x14ac:dyDescent="0.25">
      <c r="A59">
        <v>9831928874</v>
      </c>
      <c r="B59" t="s">
        <v>269</v>
      </c>
      <c r="C59">
        <v>3500370</v>
      </c>
      <c r="D59" t="s">
        <v>270</v>
      </c>
      <c r="E59" t="s">
        <v>271</v>
      </c>
      <c r="F59">
        <v>14</v>
      </c>
      <c r="I59" t="str">
        <f>HYPERLINK("tel:+17148569888", "714-856-9888")</f>
        <v>714-856-9888</v>
      </c>
      <c r="J59" t="s">
        <v>272</v>
      </c>
      <c r="K59" t="s">
        <v>273</v>
      </c>
      <c r="M59">
        <v>7148569888</v>
      </c>
    </row>
    <row r="60" spans="1:13" x14ac:dyDescent="0.25">
      <c r="A60">
        <v>2542266902</v>
      </c>
      <c r="B60" t="s">
        <v>274</v>
      </c>
      <c r="C60">
        <v>3900000</v>
      </c>
      <c r="D60" t="s">
        <v>275</v>
      </c>
      <c r="E60" t="s">
        <v>276</v>
      </c>
      <c r="F60">
        <v>14</v>
      </c>
      <c r="I60" t="str">
        <f>HYPERLINK("tel:+18183214972", "818-321-4972")</f>
        <v>818-321-4972</v>
      </c>
      <c r="J60" t="s">
        <v>277</v>
      </c>
      <c r="K60" t="s">
        <v>24</v>
      </c>
      <c r="M60">
        <v>8183214972</v>
      </c>
    </row>
    <row r="61" spans="1:13" x14ac:dyDescent="0.25">
      <c r="A61">
        <v>9909455406</v>
      </c>
      <c r="B61" t="s">
        <v>278</v>
      </c>
      <c r="C61">
        <v>3995000</v>
      </c>
      <c r="D61" t="s">
        <v>279</v>
      </c>
      <c r="E61" t="s">
        <v>280</v>
      </c>
      <c r="F61">
        <v>14</v>
      </c>
      <c r="I61" t="str">
        <f>HYPERLINK("tel:+18183816601", "818-381-6601")</f>
        <v>818-381-6601</v>
      </c>
      <c r="J61" t="s">
        <v>281</v>
      </c>
      <c r="K61" t="s">
        <v>282</v>
      </c>
      <c r="M61">
        <v>8183816601</v>
      </c>
    </row>
    <row r="62" spans="1:13" x14ac:dyDescent="0.25">
      <c r="A62">
        <v>1821516305</v>
      </c>
      <c r="B62" t="s">
        <v>283</v>
      </c>
      <c r="C62">
        <v>358000</v>
      </c>
      <c r="D62" t="s">
        <v>284</v>
      </c>
      <c r="E62" t="s">
        <v>285</v>
      </c>
      <c r="F62">
        <v>13</v>
      </c>
      <c r="I62" t="str">
        <f>HYPERLINK("tel:+12132656694", "213-265-6694")</f>
        <v>213-265-6694</v>
      </c>
      <c r="J62" t="s">
        <v>286</v>
      </c>
      <c r="K62" t="s">
        <v>287</v>
      </c>
      <c r="M62">
        <v>2132656694</v>
      </c>
    </row>
    <row r="63" spans="1:13" x14ac:dyDescent="0.25">
      <c r="A63">
        <v>1817708361</v>
      </c>
      <c r="B63" t="s">
        <v>288</v>
      </c>
      <c r="C63">
        <v>39999000</v>
      </c>
      <c r="D63" t="s">
        <v>289</v>
      </c>
      <c r="E63" t="s">
        <v>290</v>
      </c>
      <c r="F63">
        <v>13</v>
      </c>
      <c r="I63" t="str">
        <f>HYPERLINK("tel:+13106912400", "310-691-2400")</f>
        <v>310-691-2400</v>
      </c>
      <c r="J63" t="s">
        <v>291</v>
      </c>
      <c r="K63" t="s">
        <v>24</v>
      </c>
      <c r="M63">
        <v>3106912400</v>
      </c>
    </row>
    <row r="64" spans="1:13" x14ac:dyDescent="0.25">
      <c r="A64">
        <v>2230680060</v>
      </c>
      <c r="B64" t="s">
        <v>292</v>
      </c>
      <c r="C64">
        <v>7995000</v>
      </c>
      <c r="D64" t="s">
        <v>293</v>
      </c>
      <c r="E64" t="s">
        <v>294</v>
      </c>
      <c r="F64">
        <v>13</v>
      </c>
      <c r="I64" t="str">
        <f>HYPERLINK("tel:+13108193250", "310-819-3250")</f>
        <v>310-819-3250</v>
      </c>
      <c r="J64" t="s">
        <v>295</v>
      </c>
      <c r="K64" t="s">
        <v>296</v>
      </c>
      <c r="M64">
        <v>3108193250</v>
      </c>
    </row>
    <row r="65" spans="1:13" x14ac:dyDescent="0.25">
      <c r="A65">
        <v>9745277252</v>
      </c>
      <c r="B65" t="s">
        <v>297</v>
      </c>
      <c r="C65">
        <v>259000</v>
      </c>
      <c r="D65" t="s">
        <v>298</v>
      </c>
      <c r="E65" t="s">
        <v>299</v>
      </c>
      <c r="F65">
        <v>13</v>
      </c>
      <c r="I65" t="str">
        <f>HYPERLINK("tel:+17144016821", "714-401-6821")</f>
        <v>714-401-6821</v>
      </c>
      <c r="J65" t="s">
        <v>300</v>
      </c>
      <c r="K65" t="s">
        <v>301</v>
      </c>
      <c r="M65">
        <v>7144016821</v>
      </c>
    </row>
    <row r="66" spans="1:13" x14ac:dyDescent="0.25">
      <c r="A66">
        <v>2959794339</v>
      </c>
      <c r="B66" t="s">
        <v>302</v>
      </c>
      <c r="C66">
        <v>660000</v>
      </c>
      <c r="D66" t="s">
        <v>303</v>
      </c>
      <c r="E66" t="s">
        <v>304</v>
      </c>
      <c r="F66">
        <v>13</v>
      </c>
      <c r="I66" t="str">
        <f>HYPERLINK("tel:+17146657107", "714-665-7107")</f>
        <v>714-665-7107</v>
      </c>
      <c r="J66" t="s">
        <v>305</v>
      </c>
      <c r="K66" t="s">
        <v>306</v>
      </c>
      <c r="M66">
        <v>7146657107</v>
      </c>
    </row>
    <row r="67" spans="1:13" x14ac:dyDescent="0.25">
      <c r="A67">
        <v>2043285899</v>
      </c>
      <c r="B67" t="s">
        <v>307</v>
      </c>
      <c r="C67">
        <v>698000</v>
      </c>
      <c r="D67" t="s">
        <v>308</v>
      </c>
      <c r="E67" t="s">
        <v>309</v>
      </c>
      <c r="F67">
        <v>13</v>
      </c>
      <c r="I67" t="str">
        <f>HYPERLINK("tel:+17148945185", "714-894-5185")</f>
        <v>714-894-5185</v>
      </c>
      <c r="J67" t="s">
        <v>310</v>
      </c>
      <c r="K67" t="s">
        <v>311</v>
      </c>
      <c r="M67">
        <v>7148945185</v>
      </c>
    </row>
    <row r="68" spans="1:13" x14ac:dyDescent="0.25">
      <c r="A68">
        <v>1757105930</v>
      </c>
      <c r="B68" t="s">
        <v>202</v>
      </c>
      <c r="C68">
        <v>1799000</v>
      </c>
      <c r="D68" t="s">
        <v>203</v>
      </c>
      <c r="E68" t="s">
        <v>312</v>
      </c>
      <c r="F68">
        <v>13</v>
      </c>
      <c r="I68" t="str">
        <f>HYPERLINK("tel:+18188008848", "818-800-8848")</f>
        <v>818-800-8848</v>
      </c>
      <c r="J68" t="s">
        <v>313</v>
      </c>
      <c r="K68" t="s">
        <v>136</v>
      </c>
      <c r="M68">
        <v>8188008848</v>
      </c>
    </row>
    <row r="69" spans="1:13" x14ac:dyDescent="0.25">
      <c r="A69">
        <v>9980322121</v>
      </c>
      <c r="B69" t="s">
        <v>314</v>
      </c>
      <c r="C69">
        <v>1075000</v>
      </c>
      <c r="D69" t="s">
        <v>315</v>
      </c>
      <c r="E69" t="s">
        <v>316</v>
      </c>
      <c r="F69">
        <v>13</v>
      </c>
      <c r="I69" t="str">
        <f>HYPERLINK("tel:+18886883690", "888-688-3690")</f>
        <v>888-688-3690</v>
      </c>
      <c r="J69" t="s">
        <v>317</v>
      </c>
      <c r="K69" t="s">
        <v>318</v>
      </c>
      <c r="M69">
        <v>8886883690</v>
      </c>
    </row>
    <row r="70" spans="1:13" x14ac:dyDescent="0.25">
      <c r="A70">
        <v>1338448960</v>
      </c>
      <c r="B70" t="s">
        <v>319</v>
      </c>
      <c r="C70">
        <v>2100000</v>
      </c>
      <c r="D70" t="s">
        <v>320</v>
      </c>
      <c r="E70" t="s">
        <v>321</v>
      </c>
      <c r="F70">
        <v>12</v>
      </c>
      <c r="I70" t="str">
        <f>HYPERLINK("tel:+12138191043", "213-819-1043")</f>
        <v>213-819-1043</v>
      </c>
      <c r="J70" t="s">
        <v>322</v>
      </c>
      <c r="K70" t="s">
        <v>323</v>
      </c>
      <c r="M70">
        <v>2138191043</v>
      </c>
    </row>
    <row r="71" spans="1:13" x14ac:dyDescent="0.25">
      <c r="A71">
        <v>1004379839</v>
      </c>
      <c r="B71" t="s">
        <v>324</v>
      </c>
      <c r="C71">
        <v>4195000</v>
      </c>
      <c r="D71" t="s">
        <v>325</v>
      </c>
      <c r="E71" t="s">
        <v>326</v>
      </c>
      <c r="F71">
        <v>12</v>
      </c>
      <c r="I71" t="str">
        <f>HYPERLINK("tel:+13102105315", "310-210-5315")</f>
        <v>310-210-5315</v>
      </c>
      <c r="J71" t="s">
        <v>327</v>
      </c>
      <c r="K71" t="s">
        <v>328</v>
      </c>
      <c r="M71">
        <v>3102105315</v>
      </c>
    </row>
    <row r="72" spans="1:13" x14ac:dyDescent="0.25">
      <c r="A72">
        <v>2532061109</v>
      </c>
      <c r="B72" t="s">
        <v>329</v>
      </c>
      <c r="C72">
        <v>1625000</v>
      </c>
      <c r="D72" t="s">
        <v>330</v>
      </c>
      <c r="E72" t="s">
        <v>331</v>
      </c>
      <c r="F72">
        <v>12</v>
      </c>
      <c r="I72" t="str">
        <f>HYPERLINK("tel:+13104375323", "310-437-5323")</f>
        <v>310-437-5323</v>
      </c>
      <c r="J72" t="s">
        <v>332</v>
      </c>
      <c r="K72" t="s">
        <v>333</v>
      </c>
      <c r="M72">
        <v>3104375323</v>
      </c>
    </row>
    <row r="73" spans="1:13" x14ac:dyDescent="0.25">
      <c r="A73">
        <v>1874542590</v>
      </c>
      <c r="B73" t="s">
        <v>334</v>
      </c>
      <c r="C73">
        <v>27000000</v>
      </c>
      <c r="D73" t="s">
        <v>335</v>
      </c>
      <c r="E73" t="s">
        <v>336</v>
      </c>
      <c r="F73">
        <v>12</v>
      </c>
      <c r="I73" t="str">
        <f>HYPERLINK("tel:+13105001423", "310-500-1423")</f>
        <v>310-500-1423</v>
      </c>
      <c r="J73" t="s">
        <v>337</v>
      </c>
      <c r="K73" t="s">
        <v>107</v>
      </c>
      <c r="M73">
        <v>3105001423</v>
      </c>
    </row>
    <row r="74" spans="1:13" x14ac:dyDescent="0.25">
      <c r="A74">
        <v>1221847340</v>
      </c>
      <c r="B74" t="s">
        <v>338</v>
      </c>
      <c r="C74">
        <v>39500000</v>
      </c>
      <c r="D74" t="s">
        <v>339</v>
      </c>
      <c r="E74" t="s">
        <v>340</v>
      </c>
      <c r="F74">
        <v>12</v>
      </c>
      <c r="I74" t="str">
        <f>HYPERLINK("tel:+13105607320", "310-560-7320")</f>
        <v>310-560-7320</v>
      </c>
      <c r="J74" t="s">
        <v>341</v>
      </c>
      <c r="K74" t="s">
        <v>63</v>
      </c>
      <c r="M74">
        <v>3105607320</v>
      </c>
    </row>
    <row r="75" spans="1:13" x14ac:dyDescent="0.25">
      <c r="A75">
        <v>2787923537</v>
      </c>
      <c r="B75" t="s">
        <v>342</v>
      </c>
      <c r="C75">
        <v>2198000</v>
      </c>
      <c r="D75" t="s">
        <v>343</v>
      </c>
      <c r="E75" t="s">
        <v>344</v>
      </c>
      <c r="F75">
        <v>12</v>
      </c>
      <c r="I75" t="str">
        <f>HYPERLINK("tel:+13106223663", "310-622-3663")</f>
        <v>310-622-3663</v>
      </c>
      <c r="J75" t="s">
        <v>345</v>
      </c>
      <c r="K75" t="s">
        <v>346</v>
      </c>
      <c r="M75">
        <v>3106223663</v>
      </c>
    </row>
    <row r="76" spans="1:13" x14ac:dyDescent="0.25">
      <c r="A76">
        <v>2139725267</v>
      </c>
      <c r="B76" t="s">
        <v>347</v>
      </c>
      <c r="C76">
        <v>1995000</v>
      </c>
      <c r="D76" t="s">
        <v>348</v>
      </c>
      <c r="E76" t="s">
        <v>349</v>
      </c>
      <c r="F76">
        <v>12</v>
      </c>
      <c r="I76" t="str">
        <f>HYPERLINK("tel:+13108012641", "310-801-2641")</f>
        <v>310-801-2641</v>
      </c>
      <c r="J76" t="s">
        <v>350</v>
      </c>
      <c r="K76" t="s">
        <v>351</v>
      </c>
      <c r="M76">
        <v>3108012641</v>
      </c>
    </row>
    <row r="77" spans="1:13" x14ac:dyDescent="0.25">
      <c r="A77">
        <v>2942838518</v>
      </c>
      <c r="B77" t="s">
        <v>352</v>
      </c>
      <c r="C77">
        <v>23500000</v>
      </c>
      <c r="D77" t="s">
        <v>353</v>
      </c>
      <c r="E77" t="s">
        <v>354</v>
      </c>
      <c r="F77">
        <v>12</v>
      </c>
      <c r="I77" t="str">
        <f>HYPERLINK("tel:+13109279307", "310-927-9307")</f>
        <v>310-927-9307</v>
      </c>
      <c r="J77" t="s">
        <v>355</v>
      </c>
      <c r="K77" t="s">
        <v>24</v>
      </c>
      <c r="M77">
        <v>3109279307</v>
      </c>
    </row>
    <row r="78" spans="1:13" x14ac:dyDescent="0.25">
      <c r="A78">
        <v>9740040522</v>
      </c>
      <c r="B78" t="s">
        <v>356</v>
      </c>
      <c r="C78">
        <v>1139000</v>
      </c>
      <c r="D78" t="s">
        <v>357</v>
      </c>
      <c r="E78" t="s">
        <v>358</v>
      </c>
      <c r="F78">
        <v>12</v>
      </c>
      <c r="I78" t="str">
        <f>HYPERLINK("tel:+14423862495", "442-386-2495")</f>
        <v>442-386-2495</v>
      </c>
      <c r="J78" t="s">
        <v>359</v>
      </c>
      <c r="K78" t="s">
        <v>360</v>
      </c>
      <c r="M78">
        <v>4423862495</v>
      </c>
    </row>
    <row r="79" spans="1:13" x14ac:dyDescent="0.25">
      <c r="A79">
        <v>9313395624</v>
      </c>
      <c r="B79" t="s">
        <v>361</v>
      </c>
      <c r="C79">
        <v>189900</v>
      </c>
      <c r="D79" t="s">
        <v>362</v>
      </c>
      <c r="E79" t="s">
        <v>363</v>
      </c>
      <c r="F79">
        <v>12</v>
      </c>
      <c r="I79" t="str">
        <f>HYPERLINK("tel:+17146429226", "714-642-9226")</f>
        <v>714-642-9226</v>
      </c>
      <c r="J79" t="s">
        <v>364</v>
      </c>
      <c r="K79" t="s">
        <v>365</v>
      </c>
      <c r="M79">
        <v>7146429226</v>
      </c>
    </row>
    <row r="80" spans="1:13" x14ac:dyDescent="0.25">
      <c r="A80">
        <v>9475938992</v>
      </c>
      <c r="B80" t="s">
        <v>5</v>
      </c>
      <c r="C80">
        <v>9999500</v>
      </c>
      <c r="D80" t="s">
        <v>6</v>
      </c>
      <c r="E80" t="s">
        <v>366</v>
      </c>
      <c r="F80">
        <v>12</v>
      </c>
      <c r="I80" t="str">
        <f>HYPERLINK("tel:+18189194060", "818-919-4060")</f>
        <v>818-919-4060</v>
      </c>
      <c r="J80" t="s">
        <v>367</v>
      </c>
      <c r="K80" t="s">
        <v>117</v>
      </c>
      <c r="M80">
        <v>8189194060</v>
      </c>
    </row>
    <row r="81" spans="1:13" x14ac:dyDescent="0.25">
      <c r="A81">
        <v>1059753178</v>
      </c>
      <c r="B81" t="s">
        <v>368</v>
      </c>
      <c r="C81">
        <v>832000</v>
      </c>
      <c r="D81" t="s">
        <v>369</v>
      </c>
      <c r="E81" t="s">
        <v>370</v>
      </c>
      <c r="F81">
        <v>12</v>
      </c>
      <c r="I81" t="str">
        <f>HYPERLINK("tel:+19096571022", "909-657-1022")</f>
        <v>909-657-1022</v>
      </c>
      <c r="J81" t="s">
        <v>371</v>
      </c>
      <c r="K81" t="s">
        <v>372</v>
      </c>
      <c r="M81">
        <v>9096571022</v>
      </c>
    </row>
    <row r="82" spans="1:13" x14ac:dyDescent="0.25">
      <c r="A82">
        <v>9767640695</v>
      </c>
      <c r="B82" t="s">
        <v>373</v>
      </c>
      <c r="C82">
        <v>1698000</v>
      </c>
      <c r="D82" t="s">
        <v>374</v>
      </c>
      <c r="E82" t="s">
        <v>375</v>
      </c>
      <c r="F82">
        <v>12</v>
      </c>
      <c r="I82" t="str">
        <f>HYPERLINK("tel:+19492085555", "949-208-5555")</f>
        <v>949-208-5555</v>
      </c>
      <c r="J82" t="s">
        <v>376</v>
      </c>
      <c r="K82" t="s">
        <v>377</v>
      </c>
      <c r="M82">
        <v>9492085555</v>
      </c>
    </row>
    <row r="83" spans="1:13" x14ac:dyDescent="0.25">
      <c r="A83">
        <v>1195560238</v>
      </c>
      <c r="B83" t="s">
        <v>378</v>
      </c>
      <c r="C83">
        <v>5098000</v>
      </c>
      <c r="D83" t="s">
        <v>379</v>
      </c>
      <c r="E83" t="s">
        <v>380</v>
      </c>
      <c r="F83">
        <v>12</v>
      </c>
      <c r="I83" t="str">
        <f>HYPERLINK("tel:+19492806109", "949-280-6109")</f>
        <v>949-280-6109</v>
      </c>
      <c r="J83" t="s">
        <v>381</v>
      </c>
      <c r="K83" t="s">
        <v>382</v>
      </c>
      <c r="M83">
        <v>9492806109</v>
      </c>
    </row>
    <row r="84" spans="1:13" x14ac:dyDescent="0.25">
      <c r="A84">
        <v>2910708520</v>
      </c>
      <c r="B84" t="s">
        <v>383</v>
      </c>
      <c r="C84">
        <v>11988000</v>
      </c>
      <c r="D84" t="s">
        <v>384</v>
      </c>
      <c r="E84" t="s">
        <v>385</v>
      </c>
      <c r="F84">
        <v>12</v>
      </c>
      <c r="I84" t="str">
        <f>HYPERLINK("tel:+19492926545", "949-292-6545")</f>
        <v>949-292-6545</v>
      </c>
      <c r="J84" t="s">
        <v>386</v>
      </c>
      <c r="K84" t="s">
        <v>387</v>
      </c>
      <c r="M84">
        <v>9492926545</v>
      </c>
    </row>
    <row r="85" spans="1:13" x14ac:dyDescent="0.25">
      <c r="A85">
        <v>9767640695</v>
      </c>
      <c r="B85" t="s">
        <v>373</v>
      </c>
      <c r="C85">
        <v>1698000</v>
      </c>
      <c r="D85" t="s">
        <v>374</v>
      </c>
      <c r="E85" t="s">
        <v>388</v>
      </c>
      <c r="F85">
        <v>12</v>
      </c>
      <c r="I85" t="str">
        <f>HYPERLINK("tel:+19495544889", "949-554-4889")</f>
        <v>949-554-4889</v>
      </c>
      <c r="J85" t="s">
        <v>389</v>
      </c>
      <c r="K85" t="s">
        <v>377</v>
      </c>
      <c r="M85">
        <v>9495544889</v>
      </c>
    </row>
    <row r="86" spans="1:13" x14ac:dyDescent="0.25">
      <c r="A86">
        <v>9336196921</v>
      </c>
      <c r="B86" t="s">
        <v>390</v>
      </c>
      <c r="C86">
        <v>1666000</v>
      </c>
      <c r="D86" t="s">
        <v>391</v>
      </c>
      <c r="E86" t="s">
        <v>392</v>
      </c>
      <c r="F86">
        <v>11</v>
      </c>
      <c r="I86" t="str">
        <f>HYPERLINK("tel:+13102597556", "310-259-7556")</f>
        <v>310-259-7556</v>
      </c>
      <c r="J86" t="s">
        <v>393</v>
      </c>
      <c r="K86" t="s">
        <v>173</v>
      </c>
      <c r="M86">
        <v>3102597556</v>
      </c>
    </row>
    <row r="87" spans="1:13" x14ac:dyDescent="0.25">
      <c r="A87">
        <v>1274733216</v>
      </c>
      <c r="B87" t="s">
        <v>394</v>
      </c>
      <c r="C87">
        <v>4500000</v>
      </c>
      <c r="D87" t="s">
        <v>395</v>
      </c>
      <c r="E87" t="s">
        <v>396</v>
      </c>
      <c r="F87">
        <v>11</v>
      </c>
      <c r="I87" t="str">
        <f>HYPERLINK("tel:+13102939280", "310-293-9280")</f>
        <v>310-293-9280</v>
      </c>
      <c r="J87" t="s">
        <v>397</v>
      </c>
      <c r="K87" t="s">
        <v>398</v>
      </c>
      <c r="M87">
        <v>3102939280</v>
      </c>
    </row>
    <row r="88" spans="1:13" x14ac:dyDescent="0.25">
      <c r="A88">
        <v>1490503910</v>
      </c>
      <c r="B88" t="s">
        <v>399</v>
      </c>
      <c r="C88">
        <v>14900000</v>
      </c>
      <c r="D88" t="s">
        <v>400</v>
      </c>
      <c r="E88" t="s">
        <v>401</v>
      </c>
      <c r="F88">
        <v>11</v>
      </c>
      <c r="I88" t="str">
        <f>HYPERLINK("tel:+13103457500", "310-345-7500")</f>
        <v>310-345-7500</v>
      </c>
      <c r="J88" t="s">
        <v>402</v>
      </c>
      <c r="K88" t="s">
        <v>153</v>
      </c>
      <c r="M88">
        <v>3103457500</v>
      </c>
    </row>
    <row r="89" spans="1:13" x14ac:dyDescent="0.25">
      <c r="A89">
        <v>1999903450</v>
      </c>
      <c r="B89" t="s">
        <v>255</v>
      </c>
      <c r="C89">
        <v>2500000</v>
      </c>
      <c r="D89" t="s">
        <v>256</v>
      </c>
      <c r="E89" t="s">
        <v>403</v>
      </c>
      <c r="F89">
        <v>11</v>
      </c>
      <c r="I89" t="str">
        <f>HYPERLINK("tel:+13104677581", "310-467-7581")</f>
        <v>310-467-7581</v>
      </c>
      <c r="J89" t="s">
        <v>404</v>
      </c>
      <c r="K89" t="s">
        <v>173</v>
      </c>
      <c r="M89">
        <v>3104677581</v>
      </c>
    </row>
    <row r="90" spans="1:13" x14ac:dyDescent="0.25">
      <c r="A90">
        <v>1019680917</v>
      </c>
      <c r="B90" t="s">
        <v>405</v>
      </c>
      <c r="C90">
        <v>29800000</v>
      </c>
      <c r="D90" t="s">
        <v>406</v>
      </c>
      <c r="E90" t="s">
        <v>407</v>
      </c>
      <c r="F90">
        <v>11</v>
      </c>
      <c r="I90" t="str">
        <f>HYPERLINK("tel:+13105929030", "310-592-9030")</f>
        <v>310-592-9030</v>
      </c>
      <c r="J90" t="s">
        <v>408</v>
      </c>
      <c r="K90" t="s">
        <v>409</v>
      </c>
      <c r="M90">
        <v>3105929030</v>
      </c>
    </row>
    <row r="91" spans="1:13" x14ac:dyDescent="0.25">
      <c r="A91">
        <v>1287328768</v>
      </c>
      <c r="B91" t="s">
        <v>410</v>
      </c>
      <c r="C91">
        <v>2299000</v>
      </c>
      <c r="D91" t="s">
        <v>411</v>
      </c>
      <c r="E91" t="s">
        <v>412</v>
      </c>
      <c r="F91">
        <v>11</v>
      </c>
      <c r="I91" t="str">
        <f>HYPERLINK("tel:+13106001553", "310-600-1553")</f>
        <v>310-600-1553</v>
      </c>
      <c r="J91" t="s">
        <v>413</v>
      </c>
      <c r="K91" t="s">
        <v>117</v>
      </c>
      <c r="M91">
        <v>3106001553</v>
      </c>
    </row>
    <row r="92" spans="1:13" x14ac:dyDescent="0.25">
      <c r="A92">
        <v>1467505749</v>
      </c>
      <c r="B92" t="s">
        <v>414</v>
      </c>
      <c r="C92">
        <v>2179000</v>
      </c>
      <c r="D92" t="s">
        <v>415</v>
      </c>
      <c r="E92" t="s">
        <v>416</v>
      </c>
      <c r="F92">
        <v>11</v>
      </c>
      <c r="I92" t="str">
        <f>HYPERLINK("tel:+13107795868", "310-779-5868")</f>
        <v>310-779-5868</v>
      </c>
      <c r="J92" t="s">
        <v>417</v>
      </c>
      <c r="K92" t="s">
        <v>418</v>
      </c>
      <c r="M92">
        <v>3107795868</v>
      </c>
    </row>
    <row r="93" spans="1:13" x14ac:dyDescent="0.25">
      <c r="A93">
        <v>2860385281</v>
      </c>
      <c r="B93" t="s">
        <v>419</v>
      </c>
      <c r="C93">
        <v>5895000</v>
      </c>
      <c r="D93" t="s">
        <v>420</v>
      </c>
      <c r="E93" t="s">
        <v>421</v>
      </c>
      <c r="F93">
        <v>11</v>
      </c>
      <c r="I93" t="str">
        <f>HYPERLINK("tel:+13108820064", "310-882-0064")</f>
        <v>310-882-0064</v>
      </c>
      <c r="J93" t="s">
        <v>422</v>
      </c>
      <c r="K93" t="s">
        <v>409</v>
      </c>
      <c r="M93">
        <v>3108820064</v>
      </c>
    </row>
    <row r="94" spans="1:13" x14ac:dyDescent="0.25">
      <c r="A94">
        <v>2204611570</v>
      </c>
      <c r="B94" t="s">
        <v>423</v>
      </c>
      <c r="C94">
        <v>449000</v>
      </c>
      <c r="D94" t="s">
        <v>424</v>
      </c>
      <c r="E94" t="s">
        <v>425</v>
      </c>
      <c r="F94">
        <v>11</v>
      </c>
      <c r="I94" t="str">
        <f>HYPERLINK("tel:+13109052775", "310-905-2775")</f>
        <v>310-905-2775</v>
      </c>
      <c r="J94" t="s">
        <v>426</v>
      </c>
      <c r="K94" t="s">
        <v>24</v>
      </c>
      <c r="M94">
        <v>3109052775</v>
      </c>
    </row>
    <row r="95" spans="1:13" x14ac:dyDescent="0.25">
      <c r="A95">
        <v>1321072116</v>
      </c>
      <c r="B95" t="s">
        <v>427</v>
      </c>
      <c r="C95">
        <v>3300000</v>
      </c>
      <c r="D95" t="s">
        <v>428</v>
      </c>
      <c r="E95" t="s">
        <v>429</v>
      </c>
      <c r="F95">
        <v>11</v>
      </c>
      <c r="I95" t="str">
        <f>HYPERLINK("tel:+14242099129", "424-209-9129")</f>
        <v>424-209-9129</v>
      </c>
      <c r="J95" t="s">
        <v>430</v>
      </c>
      <c r="K95" t="s">
        <v>431</v>
      </c>
      <c r="M95">
        <v>4242099129</v>
      </c>
    </row>
    <row r="96" spans="1:13" x14ac:dyDescent="0.25">
      <c r="A96">
        <v>2062855777</v>
      </c>
      <c r="B96" t="s">
        <v>432</v>
      </c>
      <c r="C96">
        <v>6495000</v>
      </c>
      <c r="D96" t="s">
        <v>433</v>
      </c>
      <c r="E96" t="s">
        <v>434</v>
      </c>
      <c r="F96">
        <v>11</v>
      </c>
      <c r="I96" t="str">
        <f>HYPERLINK("tel:+14242303701", "424-230-3701")</f>
        <v>424-230-3701</v>
      </c>
      <c r="J96" t="s">
        <v>435</v>
      </c>
      <c r="K96" t="s">
        <v>63</v>
      </c>
      <c r="M96">
        <v>4242303701</v>
      </c>
    </row>
    <row r="97" spans="1:13" x14ac:dyDescent="0.25">
      <c r="A97">
        <v>1191119477</v>
      </c>
      <c r="B97" t="s">
        <v>436</v>
      </c>
      <c r="C97">
        <v>1725000</v>
      </c>
      <c r="D97" t="s">
        <v>437</v>
      </c>
      <c r="E97" t="s">
        <v>438</v>
      </c>
      <c r="F97">
        <v>11</v>
      </c>
      <c r="I97" t="str">
        <f>HYPERLINK("tel:+15594774332", "559-477-4332")</f>
        <v>559-477-4332</v>
      </c>
      <c r="J97" t="s">
        <v>439</v>
      </c>
      <c r="K97" t="s">
        <v>440</v>
      </c>
      <c r="M97">
        <v>5594774332</v>
      </c>
    </row>
    <row r="98" spans="1:13" x14ac:dyDescent="0.25">
      <c r="A98">
        <v>1235347150</v>
      </c>
      <c r="B98" t="s">
        <v>441</v>
      </c>
      <c r="C98">
        <v>3199995</v>
      </c>
      <c r="D98" t="s">
        <v>442</v>
      </c>
      <c r="E98" t="s">
        <v>443</v>
      </c>
      <c r="F98">
        <v>11</v>
      </c>
      <c r="I98" t="str">
        <f>HYPERLINK("tel:+16262301946", "626-230-1946")</f>
        <v>626-230-1946</v>
      </c>
      <c r="J98" t="s">
        <v>444</v>
      </c>
      <c r="K98" t="s">
        <v>445</v>
      </c>
      <c r="M98">
        <v>6262301946</v>
      </c>
    </row>
    <row r="99" spans="1:13" x14ac:dyDescent="0.25">
      <c r="A99">
        <v>9444764800</v>
      </c>
      <c r="B99" t="s">
        <v>446</v>
      </c>
      <c r="C99">
        <v>1828000</v>
      </c>
      <c r="D99" t="s">
        <v>447</v>
      </c>
      <c r="E99" t="s">
        <v>448</v>
      </c>
      <c r="F99">
        <v>11</v>
      </c>
      <c r="I99" t="str">
        <f>HYPERLINK("tel:+16265314092", "626-531-4092")</f>
        <v>626-531-4092</v>
      </c>
      <c r="J99" t="s">
        <v>449</v>
      </c>
      <c r="K99" t="s">
        <v>450</v>
      </c>
      <c r="M99">
        <v>6265314092</v>
      </c>
    </row>
    <row r="100" spans="1:13" x14ac:dyDescent="0.25">
      <c r="A100">
        <v>9890977240</v>
      </c>
      <c r="B100" t="s">
        <v>451</v>
      </c>
      <c r="C100">
        <v>599000</v>
      </c>
      <c r="D100" t="s">
        <v>452</v>
      </c>
      <c r="E100" t="s">
        <v>453</v>
      </c>
      <c r="F100">
        <v>11</v>
      </c>
      <c r="I100" t="str">
        <f>HYPERLINK("tel:+17147134663", "714-713-4663")</f>
        <v>714-713-4663</v>
      </c>
      <c r="J100" t="s">
        <v>454</v>
      </c>
      <c r="K100" t="s">
        <v>455</v>
      </c>
      <c r="M100">
        <v>7147134663</v>
      </c>
    </row>
    <row r="101" spans="1:13" x14ac:dyDescent="0.25">
      <c r="A101">
        <v>1846628629</v>
      </c>
      <c r="B101" t="s">
        <v>456</v>
      </c>
      <c r="C101">
        <v>5250000</v>
      </c>
      <c r="D101" t="s">
        <v>457</v>
      </c>
      <c r="E101" t="s">
        <v>458</v>
      </c>
      <c r="F101">
        <v>11</v>
      </c>
      <c r="I101" t="str">
        <f>HYPERLINK("tel:+18113814092", "811-381-4092")</f>
        <v>811-381-4092</v>
      </c>
      <c r="J101" t="s">
        <v>459</v>
      </c>
      <c r="K101" t="s">
        <v>460</v>
      </c>
      <c r="M101">
        <v>8113814092</v>
      </c>
    </row>
    <row r="102" spans="1:13" x14ac:dyDescent="0.25">
      <c r="A102">
        <v>1685430683</v>
      </c>
      <c r="B102" t="s">
        <v>461</v>
      </c>
      <c r="C102">
        <v>3250000</v>
      </c>
      <c r="D102" t="s">
        <v>462</v>
      </c>
      <c r="E102" t="s">
        <v>463</v>
      </c>
      <c r="F102">
        <v>11</v>
      </c>
      <c r="I102" t="str">
        <f>HYPERLINK("tel:+18183802147", "818-380-2147")</f>
        <v>818-380-2147</v>
      </c>
      <c r="J102" t="s">
        <v>464</v>
      </c>
      <c r="K102" t="s">
        <v>465</v>
      </c>
      <c r="M102">
        <v>8183802147</v>
      </c>
    </row>
    <row r="103" spans="1:13" x14ac:dyDescent="0.25">
      <c r="A103">
        <v>2745519205</v>
      </c>
      <c r="B103" t="s">
        <v>466</v>
      </c>
      <c r="C103">
        <v>1795000</v>
      </c>
      <c r="D103" t="s">
        <v>467</v>
      </c>
      <c r="E103" t="s">
        <v>468</v>
      </c>
      <c r="F103">
        <v>11</v>
      </c>
      <c r="I103" t="str">
        <f>HYPERLINK("tel:+18184151819", "818-415-1819")</f>
        <v>818-415-1819</v>
      </c>
      <c r="J103" t="s">
        <v>469</v>
      </c>
      <c r="K103" t="s">
        <v>470</v>
      </c>
      <c r="M103">
        <v>8184151819</v>
      </c>
    </row>
    <row r="104" spans="1:13" x14ac:dyDescent="0.25">
      <c r="A104">
        <v>2864443051</v>
      </c>
      <c r="B104" t="s">
        <v>471</v>
      </c>
      <c r="C104">
        <v>1650000</v>
      </c>
      <c r="D104" t="s">
        <v>472</v>
      </c>
      <c r="E104" t="s">
        <v>473</v>
      </c>
      <c r="F104">
        <v>11</v>
      </c>
      <c r="I104" t="str">
        <f>HYPERLINK("tel:+18184645113", "818-464-5113")</f>
        <v>818-464-5113</v>
      </c>
      <c r="J104" t="s">
        <v>474</v>
      </c>
      <c r="K104" t="s">
        <v>475</v>
      </c>
      <c r="M104">
        <v>8184645113</v>
      </c>
    </row>
    <row r="105" spans="1:13" x14ac:dyDescent="0.25">
      <c r="A105">
        <v>9757997920</v>
      </c>
      <c r="B105" t="s">
        <v>476</v>
      </c>
      <c r="C105">
        <v>185000</v>
      </c>
      <c r="D105" t="s">
        <v>477</v>
      </c>
      <c r="E105" t="s">
        <v>478</v>
      </c>
      <c r="F105">
        <v>11</v>
      </c>
      <c r="I105" t="str">
        <f>HYPERLINK("tel:+18888058462", "888-805-8462")</f>
        <v>888-805-8462</v>
      </c>
      <c r="J105" t="s">
        <v>479</v>
      </c>
      <c r="K105" t="s">
        <v>480</v>
      </c>
      <c r="M105">
        <v>8888058462</v>
      </c>
    </row>
    <row r="106" spans="1:13" x14ac:dyDescent="0.25">
      <c r="A106">
        <v>2106819284</v>
      </c>
      <c r="B106" t="s">
        <v>481</v>
      </c>
      <c r="C106">
        <v>1688000</v>
      </c>
      <c r="D106" t="s">
        <v>482</v>
      </c>
      <c r="E106" t="s">
        <v>483</v>
      </c>
      <c r="F106">
        <v>11</v>
      </c>
      <c r="I106" t="str">
        <f>HYPERLINK("tel:+19096896818", "909-689-6818")</f>
        <v>909-689-6818</v>
      </c>
      <c r="J106" t="s">
        <v>484</v>
      </c>
      <c r="K106" t="s">
        <v>485</v>
      </c>
      <c r="M106">
        <v>9096896818</v>
      </c>
    </row>
    <row r="107" spans="1:13" x14ac:dyDescent="0.25">
      <c r="A107">
        <v>9957196697</v>
      </c>
      <c r="B107" t="s">
        <v>486</v>
      </c>
      <c r="C107">
        <v>345000</v>
      </c>
      <c r="D107" t="s">
        <v>487</v>
      </c>
      <c r="E107" t="s">
        <v>488</v>
      </c>
      <c r="F107">
        <v>11</v>
      </c>
      <c r="I107" t="str">
        <f>HYPERLINK("tel:+19098553845", "909-855-3845")</f>
        <v>909-855-3845</v>
      </c>
      <c r="J107" t="s">
        <v>489</v>
      </c>
      <c r="K107" t="s">
        <v>490</v>
      </c>
      <c r="M107">
        <v>9098553845</v>
      </c>
    </row>
    <row r="108" spans="1:13" x14ac:dyDescent="0.25">
      <c r="A108">
        <v>2220348987</v>
      </c>
      <c r="B108" t="s">
        <v>491</v>
      </c>
      <c r="C108">
        <v>2299999</v>
      </c>
      <c r="D108" t="s">
        <v>492</v>
      </c>
      <c r="E108" t="s">
        <v>493</v>
      </c>
      <c r="F108">
        <v>11</v>
      </c>
      <c r="I108" t="str">
        <f>HYPERLINK("tel:+19492909754", "949-290-9754")</f>
        <v>949-290-9754</v>
      </c>
      <c r="J108" t="s">
        <v>494</v>
      </c>
      <c r="K108" t="s">
        <v>495</v>
      </c>
      <c r="M108">
        <v>9492909754</v>
      </c>
    </row>
    <row r="109" spans="1:13" x14ac:dyDescent="0.25">
      <c r="A109">
        <v>2308031774</v>
      </c>
      <c r="B109" t="s">
        <v>496</v>
      </c>
      <c r="C109">
        <v>1249000</v>
      </c>
      <c r="D109" t="s">
        <v>497</v>
      </c>
      <c r="E109" t="s">
        <v>498</v>
      </c>
      <c r="F109">
        <v>11</v>
      </c>
      <c r="I109" t="str">
        <f>HYPERLINK("tel:+19499101042", "949-910-1042")</f>
        <v>949-910-1042</v>
      </c>
      <c r="J109" t="s">
        <v>499</v>
      </c>
      <c r="K109" t="s">
        <v>500</v>
      </c>
      <c r="M109">
        <v>9499101042</v>
      </c>
    </row>
    <row r="110" spans="1:13" x14ac:dyDescent="0.25">
      <c r="A110">
        <v>1886982386</v>
      </c>
      <c r="B110" t="s">
        <v>501</v>
      </c>
      <c r="C110">
        <v>559000</v>
      </c>
      <c r="D110" t="s">
        <v>502</v>
      </c>
      <c r="E110" t="s">
        <v>503</v>
      </c>
      <c r="F110">
        <v>11</v>
      </c>
      <c r="I110" t="str">
        <f>HYPERLINK("tel:+19499395747", "949-939-5747")</f>
        <v>949-939-5747</v>
      </c>
      <c r="J110" t="s">
        <v>504</v>
      </c>
      <c r="K110" t="s">
        <v>505</v>
      </c>
      <c r="M110">
        <v>9499395747</v>
      </c>
    </row>
    <row r="111" spans="1:13" x14ac:dyDescent="0.25">
      <c r="A111">
        <v>1573730007</v>
      </c>
      <c r="B111" t="s">
        <v>506</v>
      </c>
      <c r="C111">
        <v>8600000</v>
      </c>
      <c r="D111" t="s">
        <v>507</v>
      </c>
      <c r="E111" t="s">
        <v>508</v>
      </c>
      <c r="F111">
        <v>10</v>
      </c>
      <c r="I111" t="str">
        <f>HYPERLINK("tel:+12132334394", "213-233-4394")</f>
        <v>213-233-4394</v>
      </c>
      <c r="J111" t="s">
        <v>509</v>
      </c>
      <c r="K111" t="s">
        <v>100</v>
      </c>
      <c r="M111">
        <v>2132334394</v>
      </c>
    </row>
    <row r="112" spans="1:13" x14ac:dyDescent="0.25">
      <c r="A112">
        <v>1195420805</v>
      </c>
      <c r="B112" t="s">
        <v>510</v>
      </c>
      <c r="C112">
        <v>7499000</v>
      </c>
      <c r="D112" t="s">
        <v>511</v>
      </c>
      <c r="E112" t="s">
        <v>512</v>
      </c>
      <c r="F112">
        <v>10</v>
      </c>
      <c r="I112" t="str">
        <f>HYPERLINK("tel:+13102303712", "310-230-3712")</f>
        <v>310-230-3712</v>
      </c>
      <c r="J112" t="s">
        <v>513</v>
      </c>
      <c r="K112" t="s">
        <v>431</v>
      </c>
      <c r="M112">
        <v>3102303712</v>
      </c>
    </row>
    <row r="113" spans="1:13" x14ac:dyDescent="0.25">
      <c r="A113">
        <v>1195420805</v>
      </c>
      <c r="B113" t="s">
        <v>510</v>
      </c>
      <c r="C113">
        <v>7499000</v>
      </c>
      <c r="D113" t="s">
        <v>511</v>
      </c>
      <c r="E113" t="s">
        <v>514</v>
      </c>
      <c r="F113">
        <v>10</v>
      </c>
      <c r="I113" t="str">
        <f>HYPERLINK("tel:+13102303752", "310-230-3752")</f>
        <v>310-230-3752</v>
      </c>
      <c r="J113" t="s">
        <v>515</v>
      </c>
      <c r="K113" t="s">
        <v>431</v>
      </c>
      <c r="M113">
        <v>3102303752</v>
      </c>
    </row>
    <row r="114" spans="1:13" x14ac:dyDescent="0.25">
      <c r="A114">
        <v>1074954534</v>
      </c>
      <c r="B114" t="s">
        <v>516</v>
      </c>
      <c r="C114">
        <v>1890000</v>
      </c>
      <c r="D114" t="s">
        <v>517</v>
      </c>
      <c r="E114" t="s">
        <v>518</v>
      </c>
      <c r="F114">
        <v>10</v>
      </c>
      <c r="I114" t="str">
        <f>HYPERLINK("tel:+13102305157", "310-230-5157")</f>
        <v>310-230-5157</v>
      </c>
      <c r="J114" t="s">
        <v>519</v>
      </c>
      <c r="K114" t="s">
        <v>173</v>
      </c>
      <c r="M114">
        <v>3102305157</v>
      </c>
    </row>
    <row r="115" spans="1:13" x14ac:dyDescent="0.25">
      <c r="A115">
        <v>1624377697</v>
      </c>
      <c r="B115" t="s">
        <v>520</v>
      </c>
      <c r="C115">
        <v>2725000</v>
      </c>
      <c r="D115" t="s">
        <v>521</v>
      </c>
      <c r="E115" t="s">
        <v>522</v>
      </c>
      <c r="F115">
        <v>10</v>
      </c>
      <c r="I115" t="str">
        <f>HYPERLINK("tel:+13105250528", "310-525-0528")</f>
        <v>310-525-0528</v>
      </c>
      <c r="J115" t="s">
        <v>523</v>
      </c>
      <c r="K115" t="s">
        <v>214</v>
      </c>
      <c r="M115">
        <v>3105250528</v>
      </c>
    </row>
    <row r="116" spans="1:13" x14ac:dyDescent="0.25">
      <c r="A116">
        <v>1864997590</v>
      </c>
      <c r="B116" t="s">
        <v>524</v>
      </c>
      <c r="C116">
        <v>3195000</v>
      </c>
      <c r="D116" t="s">
        <v>525</v>
      </c>
      <c r="E116" t="s">
        <v>526</v>
      </c>
      <c r="F116">
        <v>10</v>
      </c>
      <c r="I116" t="str">
        <f>HYPERLINK("tel:+13107342100", "310-734-2100")</f>
        <v>310-734-2100</v>
      </c>
      <c r="J116" t="s">
        <v>527</v>
      </c>
      <c r="K116" t="s">
        <v>14</v>
      </c>
      <c r="M116">
        <v>3107342100</v>
      </c>
    </row>
    <row r="117" spans="1:13" x14ac:dyDescent="0.25">
      <c r="A117">
        <v>1474097998</v>
      </c>
      <c r="B117" t="s">
        <v>528</v>
      </c>
      <c r="C117">
        <v>1850000</v>
      </c>
      <c r="D117" t="s">
        <v>529</v>
      </c>
      <c r="E117" t="s">
        <v>530</v>
      </c>
      <c r="F117">
        <v>10</v>
      </c>
      <c r="I117" t="str">
        <f>HYPERLINK("tel:+13107451600", "310-745-1600")</f>
        <v>310-745-1600</v>
      </c>
      <c r="J117" t="s">
        <v>531</v>
      </c>
      <c r="K117" t="s">
        <v>532</v>
      </c>
      <c r="M117">
        <v>3107451600</v>
      </c>
    </row>
    <row r="118" spans="1:13" x14ac:dyDescent="0.25">
      <c r="A118">
        <v>2506184023</v>
      </c>
      <c r="B118" t="s">
        <v>533</v>
      </c>
      <c r="C118">
        <v>2175000</v>
      </c>
      <c r="D118" t="s">
        <v>534</v>
      </c>
      <c r="E118" t="s">
        <v>535</v>
      </c>
      <c r="F118">
        <v>10</v>
      </c>
      <c r="I118" t="str">
        <f>HYPERLINK("tel:+13233779379", "323-377-9379")</f>
        <v>323-377-9379</v>
      </c>
      <c r="J118" t="s">
        <v>536</v>
      </c>
      <c r="K118" t="s">
        <v>537</v>
      </c>
      <c r="M118">
        <v>3233779379</v>
      </c>
    </row>
    <row r="119" spans="1:13" x14ac:dyDescent="0.25">
      <c r="A119">
        <v>1826880828</v>
      </c>
      <c r="B119" t="s">
        <v>538</v>
      </c>
      <c r="C119">
        <v>1749000</v>
      </c>
      <c r="D119" t="s">
        <v>539</v>
      </c>
      <c r="E119" t="s">
        <v>540</v>
      </c>
      <c r="F119">
        <v>10</v>
      </c>
      <c r="I119" t="str">
        <f>HYPERLINK("tel:+13234879222", "323-487-9222")</f>
        <v>323-487-9222</v>
      </c>
      <c r="J119" t="s">
        <v>541</v>
      </c>
      <c r="K119" t="s">
        <v>323</v>
      </c>
      <c r="M119">
        <v>3234879222</v>
      </c>
    </row>
    <row r="120" spans="1:13" x14ac:dyDescent="0.25">
      <c r="A120">
        <v>1186979106</v>
      </c>
      <c r="B120" t="s">
        <v>542</v>
      </c>
      <c r="C120">
        <v>2995000</v>
      </c>
      <c r="D120" t="s">
        <v>543</v>
      </c>
      <c r="E120" t="s">
        <v>544</v>
      </c>
      <c r="F120">
        <v>10</v>
      </c>
      <c r="I120" t="str">
        <f>HYPERLINK("tel:+13238413839", "323-841-3839")</f>
        <v>323-841-3839</v>
      </c>
      <c r="J120" t="s">
        <v>545</v>
      </c>
      <c r="K120" t="s">
        <v>24</v>
      </c>
      <c r="M120">
        <v>3238413839</v>
      </c>
    </row>
    <row r="121" spans="1:13" x14ac:dyDescent="0.25">
      <c r="A121">
        <v>1467505749</v>
      </c>
      <c r="B121" t="s">
        <v>414</v>
      </c>
      <c r="C121">
        <v>2179000</v>
      </c>
      <c r="D121" t="s">
        <v>415</v>
      </c>
      <c r="E121" t="s">
        <v>546</v>
      </c>
      <c r="F121">
        <v>10</v>
      </c>
      <c r="I121" t="str">
        <f>HYPERLINK("tel:+16264607300", "626-460-7300")</f>
        <v>626-460-7300</v>
      </c>
      <c r="J121" t="s">
        <v>547</v>
      </c>
      <c r="K121" t="s">
        <v>418</v>
      </c>
      <c r="M121">
        <v>6264607300</v>
      </c>
    </row>
    <row r="122" spans="1:13" x14ac:dyDescent="0.25">
      <c r="A122">
        <v>1284875330</v>
      </c>
      <c r="B122" t="s">
        <v>548</v>
      </c>
      <c r="C122">
        <v>1900000</v>
      </c>
      <c r="D122" t="s">
        <v>549</v>
      </c>
      <c r="E122" t="s">
        <v>550</v>
      </c>
      <c r="F122">
        <v>10</v>
      </c>
      <c r="I122" t="str">
        <f>HYPERLINK("tel:+16572335233", "657-233-5233")</f>
        <v>657-233-5233</v>
      </c>
      <c r="J122" t="s">
        <v>551</v>
      </c>
      <c r="K122" t="s">
        <v>450</v>
      </c>
      <c r="M122">
        <v>6572335233</v>
      </c>
    </row>
    <row r="123" spans="1:13" x14ac:dyDescent="0.25">
      <c r="A123">
        <v>2351011605</v>
      </c>
      <c r="B123" t="s">
        <v>552</v>
      </c>
      <c r="C123">
        <v>1399900</v>
      </c>
      <c r="D123" t="s">
        <v>553</v>
      </c>
      <c r="E123" t="s">
        <v>554</v>
      </c>
      <c r="F123">
        <v>10</v>
      </c>
      <c r="I123" t="str">
        <f>HYPERLINK("tel:+17142314489", "714-231-4489")</f>
        <v>714-231-4489</v>
      </c>
      <c r="J123" t="s">
        <v>555</v>
      </c>
      <c r="K123" t="s">
        <v>556</v>
      </c>
      <c r="M123">
        <v>7142314489</v>
      </c>
    </row>
    <row r="124" spans="1:13" x14ac:dyDescent="0.25">
      <c r="A124">
        <v>1856455282</v>
      </c>
      <c r="B124" t="s">
        <v>557</v>
      </c>
      <c r="C124">
        <v>2189999</v>
      </c>
      <c r="D124" t="s">
        <v>558</v>
      </c>
      <c r="E124" t="s">
        <v>559</v>
      </c>
      <c r="F124">
        <v>10</v>
      </c>
      <c r="I124" t="str">
        <f>HYPERLINK("tel:+17146023557", "714-602-3557")</f>
        <v>714-602-3557</v>
      </c>
      <c r="J124" t="s">
        <v>560</v>
      </c>
      <c r="K124" t="s">
        <v>561</v>
      </c>
      <c r="M124">
        <v>7146023557</v>
      </c>
    </row>
    <row r="125" spans="1:13" x14ac:dyDescent="0.25">
      <c r="A125">
        <v>1306782630</v>
      </c>
      <c r="B125" t="s">
        <v>562</v>
      </c>
      <c r="C125">
        <v>2279000</v>
      </c>
      <c r="D125" t="s">
        <v>563</v>
      </c>
      <c r="E125" t="s">
        <v>564</v>
      </c>
      <c r="F125">
        <v>10</v>
      </c>
      <c r="I125" t="str">
        <f>HYPERLINK("tel:+17146233543", "714-623-3543")</f>
        <v>714-623-3543</v>
      </c>
      <c r="J125" t="s">
        <v>565</v>
      </c>
      <c r="K125" t="s">
        <v>68</v>
      </c>
      <c r="M125">
        <v>7146233543</v>
      </c>
    </row>
    <row r="126" spans="1:13" x14ac:dyDescent="0.25">
      <c r="A126">
        <v>1839758549</v>
      </c>
      <c r="B126" t="s">
        <v>566</v>
      </c>
      <c r="C126">
        <v>548000</v>
      </c>
      <c r="D126" t="s">
        <v>567</v>
      </c>
      <c r="E126" t="s">
        <v>568</v>
      </c>
      <c r="F126">
        <v>10</v>
      </c>
      <c r="I126" t="str">
        <f>HYPERLINK("tel:+17148019882", "714-801-9882")</f>
        <v>714-801-9882</v>
      </c>
      <c r="J126" t="s">
        <v>569</v>
      </c>
      <c r="K126" t="s">
        <v>311</v>
      </c>
      <c r="M126">
        <v>7148019882</v>
      </c>
    </row>
    <row r="127" spans="1:13" x14ac:dyDescent="0.25">
      <c r="A127">
        <v>2834748392</v>
      </c>
      <c r="B127" t="s">
        <v>570</v>
      </c>
      <c r="C127">
        <v>809000</v>
      </c>
      <c r="D127" t="s">
        <v>571</v>
      </c>
      <c r="E127" t="s">
        <v>572</v>
      </c>
      <c r="F127">
        <v>10</v>
      </c>
      <c r="I127" t="str">
        <f>HYPERLINK("tel:+18183710000", "818-371-0000")</f>
        <v>818-371-0000</v>
      </c>
      <c r="J127" t="s">
        <v>573</v>
      </c>
      <c r="K127" t="s">
        <v>574</v>
      </c>
      <c r="M127">
        <v>8183710000</v>
      </c>
    </row>
    <row r="128" spans="1:13" x14ac:dyDescent="0.25">
      <c r="A128">
        <v>2182084476</v>
      </c>
      <c r="B128" t="s">
        <v>575</v>
      </c>
      <c r="C128">
        <v>2200000</v>
      </c>
      <c r="D128" t="s">
        <v>576</v>
      </c>
      <c r="E128" t="s">
        <v>577</v>
      </c>
      <c r="F128">
        <v>10</v>
      </c>
      <c r="I128" t="str">
        <f>HYPERLINK("tel:+18184321562", "818-432-1562")</f>
        <v>818-432-1562</v>
      </c>
      <c r="J128" t="s">
        <v>578</v>
      </c>
      <c r="K128" t="s">
        <v>9</v>
      </c>
      <c r="M128">
        <v>8184321562</v>
      </c>
    </row>
    <row r="129" spans="1:13" x14ac:dyDescent="0.25">
      <c r="A129">
        <v>1195211730</v>
      </c>
      <c r="B129" t="s">
        <v>579</v>
      </c>
      <c r="C129">
        <v>999000</v>
      </c>
      <c r="D129" t="s">
        <v>580</v>
      </c>
      <c r="E129" t="s">
        <v>581</v>
      </c>
      <c r="F129">
        <v>10</v>
      </c>
      <c r="I129" t="str">
        <f>HYPERLINK("tel:+18185775257", "818-577-5257")</f>
        <v>818-577-5257</v>
      </c>
      <c r="J129" t="s">
        <v>582</v>
      </c>
      <c r="K129" t="s">
        <v>583</v>
      </c>
      <c r="M129">
        <v>8185775257</v>
      </c>
    </row>
    <row r="130" spans="1:13" x14ac:dyDescent="0.25">
      <c r="A130">
        <v>1899656842</v>
      </c>
      <c r="B130" t="s">
        <v>584</v>
      </c>
      <c r="C130">
        <v>5700000</v>
      </c>
      <c r="D130" t="s">
        <v>585</v>
      </c>
      <c r="E130" t="s">
        <v>586</v>
      </c>
      <c r="F130">
        <v>10</v>
      </c>
      <c r="I130" t="str">
        <f>HYPERLINK("tel:+18186404360", "818-640-4360")</f>
        <v>818-640-4360</v>
      </c>
      <c r="J130" t="s">
        <v>587</v>
      </c>
      <c r="K130" t="s">
        <v>9</v>
      </c>
      <c r="M130">
        <v>8186404360</v>
      </c>
    </row>
    <row r="131" spans="1:13" x14ac:dyDescent="0.25">
      <c r="A131">
        <v>1543371229</v>
      </c>
      <c r="B131" t="s">
        <v>588</v>
      </c>
      <c r="C131">
        <v>4499900</v>
      </c>
      <c r="D131" t="s">
        <v>589</v>
      </c>
      <c r="E131" t="s">
        <v>590</v>
      </c>
      <c r="F131">
        <v>10</v>
      </c>
      <c r="I131" t="str">
        <f>HYPERLINK("tel:+18186441477", "818-644-1477")</f>
        <v>818-644-1477</v>
      </c>
      <c r="J131" t="s">
        <v>591</v>
      </c>
      <c r="K131" t="s">
        <v>409</v>
      </c>
      <c r="M131">
        <v>8186441477</v>
      </c>
    </row>
    <row r="132" spans="1:13" x14ac:dyDescent="0.25">
      <c r="A132">
        <v>1630544950</v>
      </c>
      <c r="B132" t="s">
        <v>592</v>
      </c>
      <c r="C132">
        <v>1999000</v>
      </c>
      <c r="D132" t="s">
        <v>593</v>
      </c>
      <c r="E132" t="s">
        <v>594</v>
      </c>
      <c r="F132">
        <v>10</v>
      </c>
      <c r="I132" t="str">
        <f>HYPERLINK("tel:+18186573030", "818-657-3030")</f>
        <v>818-657-3030</v>
      </c>
      <c r="J132" t="s">
        <v>595</v>
      </c>
      <c r="K132" t="s">
        <v>117</v>
      </c>
      <c r="M132">
        <v>8186573030</v>
      </c>
    </row>
    <row r="133" spans="1:13" x14ac:dyDescent="0.25">
      <c r="A133">
        <v>1630544950</v>
      </c>
      <c r="B133" t="s">
        <v>592</v>
      </c>
      <c r="C133">
        <v>1999000</v>
      </c>
      <c r="D133" t="s">
        <v>593</v>
      </c>
      <c r="E133" t="s">
        <v>596</v>
      </c>
      <c r="F133">
        <v>10</v>
      </c>
      <c r="I133" t="str">
        <f>HYPERLINK("tel:+18189703000", "818-970-3000")</f>
        <v>818-970-3000</v>
      </c>
      <c r="J133" t="s">
        <v>597</v>
      </c>
      <c r="K133" t="s">
        <v>117</v>
      </c>
      <c r="M133">
        <v>8189703000</v>
      </c>
    </row>
    <row r="134" spans="1:13" x14ac:dyDescent="0.25">
      <c r="A134">
        <v>2564924595</v>
      </c>
      <c r="B134" t="s">
        <v>598</v>
      </c>
      <c r="C134">
        <v>1650000</v>
      </c>
      <c r="D134" t="s">
        <v>599</v>
      </c>
      <c r="E134" t="s">
        <v>600</v>
      </c>
      <c r="F134">
        <v>10</v>
      </c>
      <c r="I134" t="str">
        <f>HYPERLINK("tel:+18888632820", "888-863-2820")</f>
        <v>888-863-2820</v>
      </c>
      <c r="J134" t="s">
        <v>601</v>
      </c>
      <c r="K134" t="s">
        <v>14</v>
      </c>
      <c r="M134">
        <v>8888632820</v>
      </c>
    </row>
    <row r="135" spans="1:13" x14ac:dyDescent="0.25">
      <c r="A135">
        <v>2351011605</v>
      </c>
      <c r="B135" t="s">
        <v>552</v>
      </c>
      <c r="C135">
        <v>1399900</v>
      </c>
      <c r="D135" t="s">
        <v>553</v>
      </c>
      <c r="E135" t="s">
        <v>602</v>
      </c>
      <c r="F135">
        <v>10</v>
      </c>
      <c r="I135" t="str">
        <f>HYPERLINK("tel:+19492440225", "949-244-0225")</f>
        <v>949-244-0225</v>
      </c>
      <c r="J135" t="s">
        <v>603</v>
      </c>
      <c r="K135" t="s">
        <v>556</v>
      </c>
      <c r="M135">
        <v>9492440225</v>
      </c>
    </row>
    <row r="136" spans="1:13" x14ac:dyDescent="0.25">
      <c r="A136">
        <v>9292492390</v>
      </c>
      <c r="B136" t="s">
        <v>604</v>
      </c>
      <c r="C136">
        <v>1980000</v>
      </c>
      <c r="D136" t="s">
        <v>605</v>
      </c>
      <c r="E136" t="s">
        <v>606</v>
      </c>
      <c r="F136">
        <v>10</v>
      </c>
      <c r="I136" t="str">
        <f>HYPERLINK("tel:+19493222660", "949-322-2660")</f>
        <v>949-322-2660</v>
      </c>
      <c r="J136" t="s">
        <v>607</v>
      </c>
      <c r="K136" t="s">
        <v>608</v>
      </c>
      <c r="M136">
        <v>9493222660</v>
      </c>
    </row>
    <row r="137" spans="1:13" x14ac:dyDescent="0.25">
      <c r="A137">
        <v>1963857654</v>
      </c>
      <c r="B137" t="s">
        <v>609</v>
      </c>
      <c r="C137">
        <v>7559000</v>
      </c>
      <c r="D137" t="s">
        <v>610</v>
      </c>
      <c r="E137" t="s">
        <v>611</v>
      </c>
      <c r="F137">
        <v>10</v>
      </c>
      <c r="I137" t="str">
        <f>HYPERLINK("tel:+19494595400", "949-459-5400")</f>
        <v>949-459-5400</v>
      </c>
      <c r="J137" t="s">
        <v>612</v>
      </c>
      <c r="K137" t="s">
        <v>495</v>
      </c>
      <c r="M137">
        <v>9494595400</v>
      </c>
    </row>
    <row r="138" spans="1:13" x14ac:dyDescent="0.25">
      <c r="A138">
        <v>2060494601</v>
      </c>
      <c r="B138" t="s">
        <v>613</v>
      </c>
      <c r="C138">
        <v>4075000</v>
      </c>
      <c r="D138" t="s">
        <v>614</v>
      </c>
      <c r="E138" t="s">
        <v>615</v>
      </c>
      <c r="F138">
        <v>10</v>
      </c>
      <c r="I138" t="str">
        <f>HYPERLINK("tel:+19496319999", "949-631-9999")</f>
        <v>949-631-9999</v>
      </c>
      <c r="J138" t="s">
        <v>616</v>
      </c>
      <c r="K138" t="s">
        <v>617</v>
      </c>
      <c r="M138">
        <v>9496319999</v>
      </c>
    </row>
    <row r="139" spans="1:13" x14ac:dyDescent="0.25">
      <c r="A139">
        <v>1799407605</v>
      </c>
      <c r="B139" t="s">
        <v>618</v>
      </c>
      <c r="C139">
        <v>2285000</v>
      </c>
      <c r="D139" t="s">
        <v>619</v>
      </c>
      <c r="E139" t="s">
        <v>620</v>
      </c>
      <c r="F139">
        <v>9</v>
      </c>
      <c r="I139" t="str">
        <f>HYPERLINK("tel:+12135000317", "213-500-0317")</f>
        <v>213-500-0317</v>
      </c>
      <c r="J139" t="s">
        <v>621</v>
      </c>
      <c r="K139" t="s">
        <v>622</v>
      </c>
      <c r="M139">
        <v>2135000317</v>
      </c>
    </row>
    <row r="140" spans="1:13" x14ac:dyDescent="0.25">
      <c r="A140">
        <v>2954310131</v>
      </c>
      <c r="B140" t="s">
        <v>623</v>
      </c>
      <c r="C140">
        <v>2999999</v>
      </c>
      <c r="D140" t="s">
        <v>624</v>
      </c>
      <c r="E140" t="s">
        <v>625</v>
      </c>
      <c r="F140">
        <v>9</v>
      </c>
      <c r="I140" t="str">
        <f>HYPERLINK("tel:+13102662777", "310-266-2777")</f>
        <v>310-266-2777</v>
      </c>
      <c r="J140" t="s">
        <v>626</v>
      </c>
      <c r="K140" t="s">
        <v>107</v>
      </c>
      <c r="M140">
        <v>3102662777</v>
      </c>
    </row>
    <row r="141" spans="1:13" x14ac:dyDescent="0.25">
      <c r="A141">
        <v>2781843349</v>
      </c>
      <c r="B141" t="s">
        <v>627</v>
      </c>
      <c r="C141">
        <v>3950000</v>
      </c>
      <c r="D141" t="s">
        <v>628</v>
      </c>
      <c r="E141" t="s">
        <v>629</v>
      </c>
      <c r="F141">
        <v>9</v>
      </c>
      <c r="I141" t="str">
        <f>HYPERLINK("tel:+13104037557", "310-403-7557")</f>
        <v>310-403-7557</v>
      </c>
      <c r="J141" t="s">
        <v>630</v>
      </c>
      <c r="K141" t="s">
        <v>409</v>
      </c>
      <c r="M141">
        <v>3104037557</v>
      </c>
    </row>
    <row r="142" spans="1:13" x14ac:dyDescent="0.25">
      <c r="A142">
        <v>1752133571</v>
      </c>
      <c r="B142" t="s">
        <v>631</v>
      </c>
      <c r="C142">
        <v>1324099</v>
      </c>
      <c r="D142" t="s">
        <v>632</v>
      </c>
      <c r="E142" t="s">
        <v>633</v>
      </c>
      <c r="F142">
        <v>9</v>
      </c>
      <c r="I142" t="str">
        <f>HYPERLINK("tel:+13104208101", "310-420-8101")</f>
        <v>310-420-8101</v>
      </c>
      <c r="J142" t="s">
        <v>634</v>
      </c>
      <c r="K142" t="s">
        <v>635</v>
      </c>
      <c r="M142">
        <v>3104208101</v>
      </c>
    </row>
    <row r="143" spans="1:13" x14ac:dyDescent="0.25">
      <c r="A143">
        <v>1085119912</v>
      </c>
      <c r="B143" t="s">
        <v>636</v>
      </c>
      <c r="C143">
        <v>1649000</v>
      </c>
      <c r="D143" t="s">
        <v>637</v>
      </c>
      <c r="E143" t="s">
        <v>638</v>
      </c>
      <c r="F143">
        <v>9</v>
      </c>
      <c r="I143" t="str">
        <f>HYPERLINK("tel:+13104281094", "310-428-1094")</f>
        <v>310-428-1094</v>
      </c>
      <c r="J143" t="s">
        <v>639</v>
      </c>
      <c r="K143" t="s">
        <v>640</v>
      </c>
      <c r="M143">
        <v>3104281094</v>
      </c>
    </row>
    <row r="144" spans="1:13" x14ac:dyDescent="0.25">
      <c r="A144">
        <v>1407185486</v>
      </c>
      <c r="B144" t="s">
        <v>641</v>
      </c>
      <c r="C144">
        <v>2799000</v>
      </c>
      <c r="D144" t="s">
        <v>642</v>
      </c>
      <c r="E144" t="s">
        <v>643</v>
      </c>
      <c r="F144">
        <v>9</v>
      </c>
      <c r="I144" t="str">
        <f>HYPERLINK("tel:+13108772374", "310-877-2374")</f>
        <v>310-877-2374</v>
      </c>
      <c r="J144" t="s">
        <v>644</v>
      </c>
      <c r="K144" t="s">
        <v>532</v>
      </c>
      <c r="M144">
        <v>3108772374</v>
      </c>
    </row>
    <row r="145" spans="1:13" x14ac:dyDescent="0.25">
      <c r="A145">
        <v>9213681575</v>
      </c>
      <c r="B145" t="s">
        <v>645</v>
      </c>
      <c r="C145">
        <v>1650000</v>
      </c>
      <c r="D145" t="s">
        <v>646</v>
      </c>
      <c r="E145" t="s">
        <v>647</v>
      </c>
      <c r="F145">
        <v>9</v>
      </c>
      <c r="I145" t="str">
        <f>HYPERLINK("tel:+13109095444", "310-909-5444")</f>
        <v>310-909-5444</v>
      </c>
      <c r="J145" t="s">
        <v>648</v>
      </c>
      <c r="K145" t="s">
        <v>131</v>
      </c>
      <c r="M145">
        <v>3109095444</v>
      </c>
    </row>
    <row r="146" spans="1:13" x14ac:dyDescent="0.25">
      <c r="A146">
        <v>1202433099</v>
      </c>
      <c r="B146" t="s">
        <v>649</v>
      </c>
      <c r="C146">
        <v>4995000</v>
      </c>
      <c r="D146" t="s">
        <v>650</v>
      </c>
      <c r="E146" t="s">
        <v>651</v>
      </c>
      <c r="F146">
        <v>9</v>
      </c>
      <c r="I146" t="str">
        <f>HYPERLINK("tel:+13109904060", "310-990-4060")</f>
        <v>310-990-4060</v>
      </c>
      <c r="J146" t="s">
        <v>652</v>
      </c>
      <c r="K146" t="s">
        <v>653</v>
      </c>
      <c r="M146">
        <v>3109904060</v>
      </c>
    </row>
    <row r="147" spans="1:13" x14ac:dyDescent="0.25">
      <c r="A147">
        <v>2665358144</v>
      </c>
      <c r="B147" t="s">
        <v>654</v>
      </c>
      <c r="C147">
        <v>865000</v>
      </c>
      <c r="D147" t="s">
        <v>655</v>
      </c>
      <c r="E147" t="s">
        <v>656</v>
      </c>
      <c r="F147">
        <v>9</v>
      </c>
      <c r="I147" t="str">
        <f>HYPERLINK("tel:+13232850471", "323-285-0471")</f>
        <v>323-285-0471</v>
      </c>
      <c r="J147" t="s">
        <v>657</v>
      </c>
      <c r="K147" t="s">
        <v>658</v>
      </c>
      <c r="M147">
        <v>3232850471</v>
      </c>
    </row>
    <row r="148" spans="1:13" x14ac:dyDescent="0.25">
      <c r="A148">
        <v>2128279548</v>
      </c>
      <c r="B148" t="s">
        <v>659</v>
      </c>
      <c r="C148">
        <v>1850000</v>
      </c>
      <c r="D148" t="s">
        <v>660</v>
      </c>
      <c r="E148" t="s">
        <v>661</v>
      </c>
      <c r="F148">
        <v>9</v>
      </c>
      <c r="I148" t="str">
        <f>HYPERLINK("tel:+13238828533", "323-882-8533")</f>
        <v>323-882-8533</v>
      </c>
      <c r="J148" t="s">
        <v>662</v>
      </c>
      <c r="K148" t="s">
        <v>663</v>
      </c>
      <c r="M148">
        <v>3238828533</v>
      </c>
    </row>
    <row r="149" spans="1:13" x14ac:dyDescent="0.25">
      <c r="A149">
        <v>9965647791</v>
      </c>
      <c r="B149" t="s">
        <v>664</v>
      </c>
      <c r="C149">
        <v>899000</v>
      </c>
      <c r="D149" t="s">
        <v>665</v>
      </c>
      <c r="E149" t="s">
        <v>666</v>
      </c>
      <c r="F149">
        <v>9</v>
      </c>
      <c r="I149" t="str">
        <f>HYPERLINK("tel:+14153568100", "415-356-8100")</f>
        <v>415-356-8100</v>
      </c>
      <c r="J149" t="s">
        <v>667</v>
      </c>
      <c r="K149" t="s">
        <v>668</v>
      </c>
      <c r="M149">
        <v>4153568100</v>
      </c>
    </row>
    <row r="150" spans="1:13" x14ac:dyDescent="0.25">
      <c r="A150">
        <v>2479517963</v>
      </c>
      <c r="B150" t="s">
        <v>669</v>
      </c>
      <c r="C150">
        <v>2095000</v>
      </c>
      <c r="D150" t="s">
        <v>670</v>
      </c>
      <c r="E150" t="s">
        <v>671</v>
      </c>
      <c r="F150">
        <v>9</v>
      </c>
      <c r="I150" t="str">
        <f>HYPERLINK("tel:+14243941030", "424-394-1030")</f>
        <v>424-394-1030</v>
      </c>
      <c r="J150" t="s">
        <v>672</v>
      </c>
      <c r="K150" t="s">
        <v>673</v>
      </c>
      <c r="M150">
        <v>4243941030</v>
      </c>
    </row>
    <row r="151" spans="1:13" x14ac:dyDescent="0.25">
      <c r="A151">
        <v>2865246454</v>
      </c>
      <c r="B151" t="s">
        <v>674</v>
      </c>
      <c r="C151">
        <v>1795000</v>
      </c>
      <c r="D151" t="s">
        <v>675</v>
      </c>
      <c r="E151" t="s">
        <v>676</v>
      </c>
      <c r="F151">
        <v>9</v>
      </c>
      <c r="I151" t="str">
        <f>HYPERLINK("tel:+14246530560", "424-653-0560")</f>
        <v>424-653-0560</v>
      </c>
      <c r="J151" t="s">
        <v>677</v>
      </c>
      <c r="K151" t="s">
        <v>678</v>
      </c>
      <c r="M151">
        <v>4246530560</v>
      </c>
    </row>
    <row r="152" spans="1:13" x14ac:dyDescent="0.25">
      <c r="A152">
        <v>2551040846</v>
      </c>
      <c r="B152" t="s">
        <v>679</v>
      </c>
      <c r="C152">
        <v>4125000</v>
      </c>
      <c r="D152" t="s">
        <v>680</v>
      </c>
      <c r="E152" t="s">
        <v>681</v>
      </c>
      <c r="F152">
        <v>9</v>
      </c>
      <c r="I152" t="str">
        <f>HYPERLINK("tel:+14246728220", "424-672-8220")</f>
        <v>424-672-8220</v>
      </c>
      <c r="J152" t="s">
        <v>682</v>
      </c>
      <c r="K152" t="s">
        <v>683</v>
      </c>
      <c r="M152">
        <v>4246728220</v>
      </c>
    </row>
    <row r="153" spans="1:13" x14ac:dyDescent="0.25">
      <c r="A153">
        <v>2204611570</v>
      </c>
      <c r="B153" t="s">
        <v>423</v>
      </c>
      <c r="C153">
        <v>449000</v>
      </c>
      <c r="D153" t="s">
        <v>424</v>
      </c>
      <c r="E153" t="s">
        <v>684</v>
      </c>
      <c r="F153">
        <v>9</v>
      </c>
      <c r="I153" t="str">
        <f>HYPERLINK("tel:+15623358548", "562-335-8548")</f>
        <v>562-335-8548</v>
      </c>
      <c r="J153" t="s">
        <v>685</v>
      </c>
      <c r="K153" t="s">
        <v>24</v>
      </c>
      <c r="M153">
        <v>5623358548</v>
      </c>
    </row>
    <row r="154" spans="1:13" x14ac:dyDescent="0.25">
      <c r="A154">
        <v>2444139284</v>
      </c>
      <c r="B154" t="s">
        <v>686</v>
      </c>
      <c r="C154">
        <v>2298000</v>
      </c>
      <c r="D154" t="s">
        <v>687</v>
      </c>
      <c r="E154" t="s">
        <v>688</v>
      </c>
      <c r="F154">
        <v>9</v>
      </c>
      <c r="I154" t="str">
        <f>HYPERLINK("tel:+17143360394", "714-336-0394")</f>
        <v>714-336-0394</v>
      </c>
      <c r="J154" t="s">
        <v>689</v>
      </c>
      <c r="K154" t="s">
        <v>690</v>
      </c>
      <c r="M154">
        <v>7143360394</v>
      </c>
    </row>
    <row r="155" spans="1:13" x14ac:dyDescent="0.25">
      <c r="A155">
        <v>9800462544</v>
      </c>
      <c r="B155" t="s">
        <v>691</v>
      </c>
      <c r="C155">
        <v>824900</v>
      </c>
      <c r="D155" t="s">
        <v>692</v>
      </c>
      <c r="E155" t="s">
        <v>693</v>
      </c>
      <c r="F155">
        <v>9</v>
      </c>
      <c r="I155" t="str">
        <f>HYPERLINK("tel:+17145017132", "714-501-7132")</f>
        <v>714-501-7132</v>
      </c>
      <c r="J155" t="s">
        <v>694</v>
      </c>
      <c r="K155" t="s">
        <v>431</v>
      </c>
      <c r="M155">
        <v>7145017132</v>
      </c>
    </row>
    <row r="156" spans="1:13" x14ac:dyDescent="0.25">
      <c r="A156">
        <v>9545736204</v>
      </c>
      <c r="B156" t="s">
        <v>695</v>
      </c>
      <c r="C156">
        <v>3198888</v>
      </c>
      <c r="D156" t="s">
        <v>696</v>
      </c>
      <c r="E156" t="s">
        <v>697</v>
      </c>
      <c r="F156">
        <v>9</v>
      </c>
      <c r="I156" t="str">
        <f>HYPERLINK("tel:+17148144664", "714-814-4664")</f>
        <v>714-814-4664</v>
      </c>
      <c r="J156" t="s">
        <v>698</v>
      </c>
      <c r="K156" t="s">
        <v>377</v>
      </c>
      <c r="M156">
        <v>7148144664</v>
      </c>
    </row>
    <row r="157" spans="1:13" x14ac:dyDescent="0.25">
      <c r="A157">
        <v>2822100716</v>
      </c>
      <c r="B157" t="s">
        <v>699</v>
      </c>
      <c r="C157">
        <v>3000000</v>
      </c>
      <c r="D157" t="s">
        <v>700</v>
      </c>
      <c r="E157" t="s">
        <v>701</v>
      </c>
      <c r="F157">
        <v>9</v>
      </c>
      <c r="I157" t="str">
        <f>HYPERLINK("tel:+18182818643", "818-281-8643")</f>
        <v>818-281-8643</v>
      </c>
      <c r="J157" t="s">
        <v>702</v>
      </c>
      <c r="K157" t="s">
        <v>34</v>
      </c>
      <c r="M157">
        <v>8182818643</v>
      </c>
    </row>
    <row r="158" spans="1:13" x14ac:dyDescent="0.25">
      <c r="A158">
        <v>2425773199</v>
      </c>
      <c r="B158" t="s">
        <v>703</v>
      </c>
      <c r="C158">
        <v>4495000</v>
      </c>
      <c r="D158" t="s">
        <v>704</v>
      </c>
      <c r="E158" t="s">
        <v>705</v>
      </c>
      <c r="F158">
        <v>9</v>
      </c>
      <c r="I158" t="str">
        <f>HYPERLINK("tel:+18183832792", "818-383-2792")</f>
        <v>818-383-2792</v>
      </c>
      <c r="J158" t="s">
        <v>706</v>
      </c>
      <c r="K158" t="s">
        <v>707</v>
      </c>
      <c r="M158">
        <v>8183832792</v>
      </c>
    </row>
    <row r="159" spans="1:13" x14ac:dyDescent="0.25">
      <c r="A159">
        <v>1257061027</v>
      </c>
      <c r="B159" t="s">
        <v>708</v>
      </c>
      <c r="C159">
        <v>3295000</v>
      </c>
      <c r="D159" t="s">
        <v>709</v>
      </c>
      <c r="E159" t="s">
        <v>710</v>
      </c>
      <c r="F159">
        <v>9</v>
      </c>
      <c r="I159" t="str">
        <f>HYPERLINK("tel:+18184321575", "818-432-1575")</f>
        <v>818-432-1575</v>
      </c>
      <c r="J159" t="s">
        <v>711</v>
      </c>
      <c r="K159" t="s">
        <v>712</v>
      </c>
      <c r="M159">
        <v>8184321575</v>
      </c>
    </row>
    <row r="160" spans="1:13" x14ac:dyDescent="0.25">
      <c r="A160">
        <v>1257061027</v>
      </c>
      <c r="B160" t="s">
        <v>708</v>
      </c>
      <c r="C160">
        <v>3295000</v>
      </c>
      <c r="D160" t="s">
        <v>709</v>
      </c>
      <c r="E160" t="s">
        <v>713</v>
      </c>
      <c r="F160">
        <v>9</v>
      </c>
      <c r="I160" t="str">
        <f>HYPERLINK("tel:+18184321580", "818-432-1580")</f>
        <v>818-432-1580</v>
      </c>
      <c r="J160" t="s">
        <v>714</v>
      </c>
      <c r="K160" t="s">
        <v>712</v>
      </c>
      <c r="M160">
        <v>8184321580</v>
      </c>
    </row>
    <row r="161" spans="1:13" x14ac:dyDescent="0.25">
      <c r="A161">
        <v>2145455998</v>
      </c>
      <c r="B161" t="s">
        <v>715</v>
      </c>
      <c r="C161">
        <v>599000</v>
      </c>
      <c r="D161" t="s">
        <v>716</v>
      </c>
      <c r="E161" t="s">
        <v>717</v>
      </c>
      <c r="F161">
        <v>9</v>
      </c>
      <c r="I161" t="str">
        <f>HYPERLINK("tel:+18185014888", "818-501-4888")</f>
        <v>818-501-4888</v>
      </c>
      <c r="J161" t="s">
        <v>718</v>
      </c>
      <c r="K161" t="s">
        <v>719</v>
      </c>
      <c r="M161">
        <v>8185014888</v>
      </c>
    </row>
    <row r="162" spans="1:13" x14ac:dyDescent="0.25">
      <c r="A162">
        <v>1973835112</v>
      </c>
      <c r="B162" t="s">
        <v>720</v>
      </c>
      <c r="C162">
        <v>1995000</v>
      </c>
      <c r="D162" t="s">
        <v>721</v>
      </c>
      <c r="E162" t="s">
        <v>722</v>
      </c>
      <c r="F162">
        <v>9</v>
      </c>
      <c r="I162" t="str">
        <f>HYPERLINK("tel:+18185225280", "818-522-5280")</f>
        <v>818-522-5280</v>
      </c>
      <c r="J162" t="s">
        <v>723</v>
      </c>
      <c r="K162" t="s">
        <v>724</v>
      </c>
      <c r="M162">
        <v>8185225280</v>
      </c>
    </row>
    <row r="163" spans="1:13" x14ac:dyDescent="0.25">
      <c r="A163">
        <v>1689201544</v>
      </c>
      <c r="B163" t="s">
        <v>725</v>
      </c>
      <c r="C163">
        <v>1999000</v>
      </c>
      <c r="D163" t="s">
        <v>726</v>
      </c>
      <c r="E163" t="s">
        <v>727</v>
      </c>
      <c r="F163">
        <v>9</v>
      </c>
      <c r="I163" t="str">
        <f>HYPERLINK("tel:+18186525824", "818-652-5824")</f>
        <v>818-652-5824</v>
      </c>
      <c r="J163" t="s">
        <v>728</v>
      </c>
      <c r="K163" t="s">
        <v>729</v>
      </c>
      <c r="M163">
        <v>8186525824</v>
      </c>
    </row>
    <row r="164" spans="1:13" x14ac:dyDescent="0.25">
      <c r="A164">
        <v>9660057127</v>
      </c>
      <c r="B164" t="s">
        <v>730</v>
      </c>
      <c r="C164">
        <v>725000</v>
      </c>
      <c r="D164" t="s">
        <v>731</v>
      </c>
      <c r="E164" t="s">
        <v>732</v>
      </c>
      <c r="F164">
        <v>9</v>
      </c>
      <c r="I164" t="str">
        <f>HYPERLINK("tel:+18186688768", "818-668-8768")</f>
        <v>818-668-8768</v>
      </c>
      <c r="J164" t="s">
        <v>733</v>
      </c>
      <c r="K164" t="s">
        <v>734</v>
      </c>
      <c r="M164">
        <v>8186688768</v>
      </c>
    </row>
    <row r="165" spans="1:13" x14ac:dyDescent="0.25">
      <c r="A165">
        <v>2387306891</v>
      </c>
      <c r="B165" t="s">
        <v>735</v>
      </c>
      <c r="C165">
        <v>472500</v>
      </c>
      <c r="D165" t="s">
        <v>736</v>
      </c>
      <c r="E165" t="s">
        <v>737</v>
      </c>
      <c r="F165">
        <v>9</v>
      </c>
      <c r="I165" t="str">
        <f>HYPERLINK("tel:+18885045327", "888-504-5327")</f>
        <v>888-504-5327</v>
      </c>
      <c r="J165" t="s">
        <v>738</v>
      </c>
      <c r="K165" t="s">
        <v>739</v>
      </c>
      <c r="M165">
        <v>8885045327</v>
      </c>
    </row>
    <row r="166" spans="1:13" x14ac:dyDescent="0.25">
      <c r="A166">
        <v>9849949834</v>
      </c>
      <c r="B166" t="s">
        <v>740</v>
      </c>
      <c r="C166">
        <v>2480000</v>
      </c>
      <c r="D166" t="s">
        <v>741</v>
      </c>
      <c r="E166" t="s">
        <v>742</v>
      </c>
      <c r="F166">
        <v>9</v>
      </c>
      <c r="I166" t="str">
        <f>HYPERLINK("tel:+19492295889", "949-229-5889")</f>
        <v>949-229-5889</v>
      </c>
      <c r="J166" t="s">
        <v>743</v>
      </c>
      <c r="K166" t="s">
        <v>744</v>
      </c>
      <c r="M166">
        <v>9492295889</v>
      </c>
    </row>
    <row r="167" spans="1:13" x14ac:dyDescent="0.25">
      <c r="A167">
        <v>1582240401</v>
      </c>
      <c r="B167" t="s">
        <v>210</v>
      </c>
      <c r="C167">
        <v>1775000</v>
      </c>
      <c r="D167" t="s">
        <v>211</v>
      </c>
      <c r="E167" t="s">
        <v>745</v>
      </c>
      <c r="F167">
        <v>9</v>
      </c>
      <c r="I167" t="str">
        <f>HYPERLINK("tel:+19492357315", "949-235-7315")</f>
        <v>949-235-7315</v>
      </c>
      <c r="J167" t="s">
        <v>746</v>
      </c>
      <c r="K167" t="s">
        <v>214</v>
      </c>
      <c r="M167">
        <v>9492357315</v>
      </c>
    </row>
    <row r="168" spans="1:13" x14ac:dyDescent="0.25">
      <c r="A168">
        <v>1406555845</v>
      </c>
      <c r="B168" t="s">
        <v>747</v>
      </c>
      <c r="C168">
        <v>510000</v>
      </c>
      <c r="D168" t="s">
        <v>748</v>
      </c>
      <c r="E168" t="s">
        <v>749</v>
      </c>
      <c r="F168">
        <v>9</v>
      </c>
      <c r="I168" t="str">
        <f>HYPERLINK("tel:+19493445000", "949-344-5000")</f>
        <v>949-344-5000</v>
      </c>
      <c r="J168" t="s">
        <v>750</v>
      </c>
      <c r="K168" t="s">
        <v>751</v>
      </c>
      <c r="M168">
        <v>9493445000</v>
      </c>
    </row>
    <row r="169" spans="1:13" x14ac:dyDescent="0.25">
      <c r="A169">
        <v>9745147898</v>
      </c>
      <c r="B169" t="s">
        <v>752</v>
      </c>
      <c r="C169">
        <v>450000</v>
      </c>
      <c r="D169" t="s">
        <v>753</v>
      </c>
      <c r="E169" t="s">
        <v>754</v>
      </c>
      <c r="F169">
        <v>9</v>
      </c>
      <c r="I169" t="str">
        <f>HYPERLINK("tel:+19493544551", "949-354-4551")</f>
        <v>949-354-4551</v>
      </c>
      <c r="J169" t="s">
        <v>755</v>
      </c>
      <c r="K169" t="s">
        <v>744</v>
      </c>
      <c r="M169">
        <v>9493544551</v>
      </c>
    </row>
    <row r="170" spans="1:13" x14ac:dyDescent="0.25">
      <c r="A170">
        <v>9214550852</v>
      </c>
      <c r="B170" t="s">
        <v>756</v>
      </c>
      <c r="C170">
        <v>68000</v>
      </c>
      <c r="D170" t="s">
        <v>757</v>
      </c>
      <c r="E170" t="s">
        <v>758</v>
      </c>
      <c r="F170">
        <v>9</v>
      </c>
      <c r="I170" t="str">
        <f>HYPERLINK("tel:+19496565328", "949-656-5328")</f>
        <v>949-656-5328</v>
      </c>
      <c r="J170" t="s">
        <v>759</v>
      </c>
      <c r="K170" t="s">
        <v>760</v>
      </c>
      <c r="M170">
        <v>9496565328</v>
      </c>
    </row>
    <row r="171" spans="1:13" x14ac:dyDescent="0.25">
      <c r="A171">
        <v>2025220168</v>
      </c>
      <c r="B171" t="s">
        <v>206</v>
      </c>
      <c r="C171">
        <v>1130000</v>
      </c>
      <c r="D171" t="s">
        <v>207</v>
      </c>
      <c r="E171" t="s">
        <v>761</v>
      </c>
      <c r="F171">
        <v>9</v>
      </c>
      <c r="I171" t="str">
        <f>HYPERLINK("tel:+19497057471", "949-705-7471")</f>
        <v>949-705-7471</v>
      </c>
      <c r="J171" t="s">
        <v>762</v>
      </c>
      <c r="K171" t="s">
        <v>158</v>
      </c>
      <c r="M171">
        <v>9497057471</v>
      </c>
    </row>
    <row r="172" spans="1:13" x14ac:dyDescent="0.25">
      <c r="A172">
        <v>9247462773</v>
      </c>
      <c r="B172" t="s">
        <v>763</v>
      </c>
      <c r="C172">
        <v>649900</v>
      </c>
      <c r="D172" t="s">
        <v>764</v>
      </c>
      <c r="E172" t="s">
        <v>765</v>
      </c>
      <c r="F172">
        <v>9</v>
      </c>
      <c r="I172" t="str">
        <f>HYPERLINK("tel:+19498745225", "949-874-5225")</f>
        <v>949-874-5225</v>
      </c>
      <c r="J172" t="s">
        <v>766</v>
      </c>
      <c r="K172" t="s">
        <v>556</v>
      </c>
      <c r="M172">
        <v>9498745225</v>
      </c>
    </row>
    <row r="173" spans="1:13" x14ac:dyDescent="0.25">
      <c r="A173">
        <v>1772007691</v>
      </c>
      <c r="B173" t="s">
        <v>767</v>
      </c>
      <c r="C173">
        <v>1780000</v>
      </c>
      <c r="D173" t="s">
        <v>768</v>
      </c>
      <c r="E173" t="s">
        <v>769</v>
      </c>
      <c r="F173">
        <v>9</v>
      </c>
      <c r="I173" t="str">
        <f>HYPERLINK("tel:+19515473567", "951-547-3567")</f>
        <v>951-547-3567</v>
      </c>
      <c r="J173" t="s">
        <v>770</v>
      </c>
      <c r="K173" t="s">
        <v>771</v>
      </c>
      <c r="M173">
        <v>9515473567</v>
      </c>
    </row>
    <row r="174" spans="1:13" x14ac:dyDescent="0.25">
      <c r="A174">
        <v>9965647791</v>
      </c>
      <c r="B174" t="s">
        <v>664</v>
      </c>
      <c r="C174">
        <v>899000</v>
      </c>
      <c r="D174" t="s">
        <v>665</v>
      </c>
      <c r="E174" t="s">
        <v>772</v>
      </c>
      <c r="F174">
        <v>9</v>
      </c>
      <c r="I174" t="str">
        <f>HYPERLINK("tel:+19542292222", "954-229-2222")</f>
        <v>954-229-2222</v>
      </c>
      <c r="J174" t="s">
        <v>773</v>
      </c>
      <c r="K174" t="s">
        <v>668</v>
      </c>
      <c r="M174">
        <v>9542292222</v>
      </c>
    </row>
    <row r="175" spans="1:13" x14ac:dyDescent="0.25">
      <c r="A175">
        <v>9996037507</v>
      </c>
      <c r="B175" t="s">
        <v>774</v>
      </c>
      <c r="C175">
        <v>845000</v>
      </c>
      <c r="D175" t="s">
        <v>775</v>
      </c>
      <c r="E175" t="s">
        <v>776</v>
      </c>
      <c r="F175">
        <v>8</v>
      </c>
      <c r="I175" t="str">
        <f>HYPERLINK("tel:+12134075353", "213-407-5353")</f>
        <v>213-407-5353</v>
      </c>
      <c r="J175" t="s">
        <v>777</v>
      </c>
      <c r="K175" t="s">
        <v>778</v>
      </c>
      <c r="M175">
        <v>2134075353</v>
      </c>
    </row>
    <row r="176" spans="1:13" x14ac:dyDescent="0.25">
      <c r="A176">
        <v>2900109707</v>
      </c>
      <c r="B176" t="s">
        <v>88</v>
      </c>
      <c r="C176">
        <v>12990000</v>
      </c>
      <c r="D176" t="s">
        <v>89</v>
      </c>
      <c r="E176" t="s">
        <v>779</v>
      </c>
      <c r="F176">
        <v>8</v>
      </c>
      <c r="I176" t="str">
        <f>HYPERLINK("tel:+12134148088", "213-414-8088")</f>
        <v>213-414-8088</v>
      </c>
      <c r="J176" t="s">
        <v>780</v>
      </c>
      <c r="K176" t="s">
        <v>781</v>
      </c>
      <c r="M176">
        <v>2134148088</v>
      </c>
    </row>
    <row r="177" spans="1:13" x14ac:dyDescent="0.25">
      <c r="A177">
        <v>1346163010</v>
      </c>
      <c r="B177" t="s">
        <v>782</v>
      </c>
      <c r="C177">
        <v>1999999</v>
      </c>
      <c r="D177" t="s">
        <v>783</v>
      </c>
      <c r="E177" t="s">
        <v>784</v>
      </c>
      <c r="F177">
        <v>8</v>
      </c>
      <c r="I177" t="str">
        <f>HYPERLINK("tel:+13102480047", "310-248-0047")</f>
        <v>310-248-0047</v>
      </c>
      <c r="J177" t="s">
        <v>785</v>
      </c>
      <c r="K177" t="s">
        <v>786</v>
      </c>
      <c r="M177">
        <v>3102480047</v>
      </c>
    </row>
    <row r="178" spans="1:13" x14ac:dyDescent="0.25">
      <c r="A178">
        <v>2816550782</v>
      </c>
      <c r="B178" t="s">
        <v>787</v>
      </c>
      <c r="C178">
        <v>3275000</v>
      </c>
      <c r="D178" t="s">
        <v>788</v>
      </c>
      <c r="E178" t="s">
        <v>789</v>
      </c>
      <c r="F178">
        <v>8</v>
      </c>
      <c r="I178" t="str">
        <f>HYPERLINK("tel:+13104207861", "310-420-7861")</f>
        <v>310-420-7861</v>
      </c>
      <c r="J178" t="s">
        <v>790</v>
      </c>
      <c r="K178" t="s">
        <v>24</v>
      </c>
      <c r="M178">
        <v>3104207861</v>
      </c>
    </row>
    <row r="179" spans="1:13" x14ac:dyDescent="0.25">
      <c r="A179">
        <v>2776297021</v>
      </c>
      <c r="B179" t="s">
        <v>791</v>
      </c>
      <c r="C179">
        <v>3399950</v>
      </c>
      <c r="D179" t="s">
        <v>792</v>
      </c>
      <c r="E179" t="s">
        <v>793</v>
      </c>
      <c r="F179">
        <v>8</v>
      </c>
      <c r="I179" t="str">
        <f>HYPERLINK("tel:+13104223374", "310-422-3374")</f>
        <v>310-422-3374</v>
      </c>
      <c r="J179" t="s">
        <v>794</v>
      </c>
      <c r="K179" t="s">
        <v>795</v>
      </c>
      <c r="M179">
        <v>3104223374</v>
      </c>
    </row>
    <row r="180" spans="1:13" x14ac:dyDescent="0.25">
      <c r="A180">
        <v>2954720056</v>
      </c>
      <c r="B180" t="s">
        <v>796</v>
      </c>
      <c r="C180">
        <v>2495000</v>
      </c>
      <c r="D180" t="s">
        <v>797</v>
      </c>
      <c r="E180" t="s">
        <v>798</v>
      </c>
      <c r="F180">
        <v>8</v>
      </c>
      <c r="I180" t="str">
        <f>HYPERLINK("tel:+13107296852", "310-729-6852")</f>
        <v>310-729-6852</v>
      </c>
      <c r="J180" t="s">
        <v>799</v>
      </c>
      <c r="K180" t="s">
        <v>24</v>
      </c>
      <c r="M180">
        <v>3107296852</v>
      </c>
    </row>
    <row r="181" spans="1:13" x14ac:dyDescent="0.25">
      <c r="A181">
        <v>1087355869</v>
      </c>
      <c r="B181" t="s">
        <v>800</v>
      </c>
      <c r="C181">
        <v>2995000</v>
      </c>
      <c r="D181" t="s">
        <v>801</v>
      </c>
      <c r="E181" t="s">
        <v>802</v>
      </c>
      <c r="F181">
        <v>8</v>
      </c>
      <c r="I181" t="str">
        <f>HYPERLINK("tel:+13107385180", "310-738-5180")</f>
        <v>310-738-5180</v>
      </c>
      <c r="J181" t="s">
        <v>803</v>
      </c>
      <c r="K181" t="s">
        <v>24</v>
      </c>
      <c r="M181">
        <v>3107385180</v>
      </c>
    </row>
    <row r="182" spans="1:13" x14ac:dyDescent="0.25">
      <c r="A182">
        <v>2559615161</v>
      </c>
      <c r="B182" t="s">
        <v>804</v>
      </c>
      <c r="C182">
        <v>2800000</v>
      </c>
      <c r="D182" t="s">
        <v>805</v>
      </c>
      <c r="E182" t="s">
        <v>806</v>
      </c>
      <c r="F182">
        <v>8</v>
      </c>
      <c r="I182" t="str">
        <f>HYPERLINK("tel:+13107485959", "310-748-5959")</f>
        <v>310-748-5959</v>
      </c>
      <c r="J182" t="s">
        <v>807</v>
      </c>
      <c r="K182" t="s">
        <v>24</v>
      </c>
      <c r="M182">
        <v>3107485959</v>
      </c>
    </row>
    <row r="183" spans="1:13" x14ac:dyDescent="0.25">
      <c r="A183">
        <v>1853004254</v>
      </c>
      <c r="B183" t="s">
        <v>808</v>
      </c>
      <c r="C183">
        <v>2395000</v>
      </c>
      <c r="D183" t="s">
        <v>809</v>
      </c>
      <c r="E183" t="s">
        <v>810</v>
      </c>
      <c r="F183">
        <v>8</v>
      </c>
      <c r="I183" t="str">
        <f>HYPERLINK("tel:+13107936136", "310-793-6136")</f>
        <v>310-793-6136</v>
      </c>
      <c r="J183" t="s">
        <v>811</v>
      </c>
      <c r="K183" t="s">
        <v>812</v>
      </c>
      <c r="M183">
        <v>3107936136</v>
      </c>
    </row>
    <row r="184" spans="1:13" x14ac:dyDescent="0.25">
      <c r="A184">
        <v>2634068143</v>
      </c>
      <c r="B184" t="s">
        <v>813</v>
      </c>
      <c r="C184">
        <v>1995000</v>
      </c>
      <c r="D184" t="s">
        <v>814</v>
      </c>
      <c r="E184" t="s">
        <v>815</v>
      </c>
      <c r="F184">
        <v>8</v>
      </c>
      <c r="I184" t="str">
        <f>HYPERLINK("tel:+13109093464", "310-909-3464")</f>
        <v>310-909-3464</v>
      </c>
      <c r="J184" t="s">
        <v>816</v>
      </c>
      <c r="K184" t="s">
        <v>583</v>
      </c>
      <c r="M184">
        <v>3109093464</v>
      </c>
    </row>
    <row r="185" spans="1:13" x14ac:dyDescent="0.25">
      <c r="A185">
        <v>2870238165</v>
      </c>
      <c r="B185" t="s">
        <v>817</v>
      </c>
      <c r="C185">
        <v>1699000</v>
      </c>
      <c r="D185" t="s">
        <v>818</v>
      </c>
      <c r="E185" t="s">
        <v>819</v>
      </c>
      <c r="F185">
        <v>8</v>
      </c>
      <c r="I185" t="str">
        <f>HYPERLINK("tel:+13109409574", "310-940-9574")</f>
        <v>310-940-9574</v>
      </c>
      <c r="J185" t="s">
        <v>820</v>
      </c>
      <c r="K185" t="s">
        <v>622</v>
      </c>
      <c r="M185">
        <v>3109409574</v>
      </c>
    </row>
    <row r="186" spans="1:13" x14ac:dyDescent="0.25">
      <c r="A186">
        <v>1210464873</v>
      </c>
      <c r="B186" t="s">
        <v>821</v>
      </c>
      <c r="C186">
        <v>1799000</v>
      </c>
      <c r="D186" t="s">
        <v>822</v>
      </c>
      <c r="E186" t="s">
        <v>823</v>
      </c>
      <c r="F186">
        <v>8</v>
      </c>
      <c r="I186" t="str">
        <f>HYPERLINK("tel:+13235711124", "323-571-1124")</f>
        <v>323-571-1124</v>
      </c>
      <c r="J186" t="s">
        <v>824</v>
      </c>
      <c r="K186" t="s">
        <v>825</v>
      </c>
      <c r="M186">
        <v>3235711124</v>
      </c>
    </row>
    <row r="187" spans="1:13" x14ac:dyDescent="0.25">
      <c r="A187">
        <v>9106007290</v>
      </c>
      <c r="B187" t="s">
        <v>826</v>
      </c>
      <c r="C187">
        <v>2800000</v>
      </c>
      <c r="D187" t="s">
        <v>827</v>
      </c>
      <c r="E187" t="s">
        <v>828</v>
      </c>
      <c r="F187">
        <v>8</v>
      </c>
      <c r="I187" t="str">
        <f>HYPERLINK("tel:+13238558656", "323-855-8656")</f>
        <v>323-855-8656</v>
      </c>
      <c r="J187" t="s">
        <v>829</v>
      </c>
      <c r="K187" t="s">
        <v>830</v>
      </c>
      <c r="M187">
        <v>3238558656</v>
      </c>
    </row>
    <row r="188" spans="1:13" x14ac:dyDescent="0.25">
      <c r="A188">
        <v>2336367741</v>
      </c>
      <c r="B188" t="s">
        <v>831</v>
      </c>
      <c r="C188">
        <v>3199998</v>
      </c>
      <c r="D188" t="s">
        <v>832</v>
      </c>
      <c r="E188" t="s">
        <v>833</v>
      </c>
      <c r="F188">
        <v>8</v>
      </c>
      <c r="I188" t="str">
        <f>HYPERLINK("tel:+13239487507", "323-948-7507")</f>
        <v>323-948-7507</v>
      </c>
      <c r="J188" t="s">
        <v>834</v>
      </c>
      <c r="K188" t="s">
        <v>835</v>
      </c>
      <c r="M188">
        <v>3239487507</v>
      </c>
    </row>
    <row r="189" spans="1:13" x14ac:dyDescent="0.25">
      <c r="A189">
        <v>1707277971</v>
      </c>
      <c r="B189" t="s">
        <v>836</v>
      </c>
      <c r="C189">
        <v>949900</v>
      </c>
      <c r="D189" t="s">
        <v>837</v>
      </c>
      <c r="E189" t="s">
        <v>838</v>
      </c>
      <c r="F189">
        <v>8</v>
      </c>
      <c r="I189" t="str">
        <f>HYPERLINK("tel:+15622192452", "562-219-2452")</f>
        <v>562-219-2452</v>
      </c>
      <c r="J189" t="s">
        <v>839</v>
      </c>
      <c r="K189" t="s">
        <v>445</v>
      </c>
      <c r="M189">
        <v>5622192452</v>
      </c>
    </row>
    <row r="190" spans="1:13" x14ac:dyDescent="0.25">
      <c r="A190">
        <v>1649524929</v>
      </c>
      <c r="B190" t="s">
        <v>840</v>
      </c>
      <c r="C190">
        <v>649999</v>
      </c>
      <c r="D190" t="s">
        <v>841</v>
      </c>
      <c r="E190" t="s">
        <v>842</v>
      </c>
      <c r="F190">
        <v>8</v>
      </c>
      <c r="I190" t="str">
        <f>HYPERLINK("tel:+16262744294", "626-274-4294")</f>
        <v>626-274-4294</v>
      </c>
      <c r="J190" t="s">
        <v>843</v>
      </c>
      <c r="K190" t="s">
        <v>844</v>
      </c>
      <c r="M190">
        <v>6262744294</v>
      </c>
    </row>
    <row r="191" spans="1:13" x14ac:dyDescent="0.25">
      <c r="A191">
        <v>2195950128</v>
      </c>
      <c r="B191" t="s">
        <v>845</v>
      </c>
      <c r="C191">
        <v>1019000</v>
      </c>
      <c r="D191" t="s">
        <v>846</v>
      </c>
      <c r="E191" t="s">
        <v>847</v>
      </c>
      <c r="F191">
        <v>8</v>
      </c>
      <c r="I191" t="str">
        <f>HYPERLINK("tel:+16265361485", "626-536-1485")</f>
        <v>626-536-1485</v>
      </c>
      <c r="J191" t="s">
        <v>848</v>
      </c>
      <c r="K191" t="s">
        <v>431</v>
      </c>
      <c r="M191">
        <v>6265361485</v>
      </c>
    </row>
    <row r="192" spans="1:13" x14ac:dyDescent="0.25">
      <c r="A192">
        <v>1143193179</v>
      </c>
      <c r="B192" t="s">
        <v>849</v>
      </c>
      <c r="C192">
        <v>2249999</v>
      </c>
      <c r="D192" t="s">
        <v>850</v>
      </c>
      <c r="E192" t="s">
        <v>851</v>
      </c>
      <c r="F192">
        <v>8</v>
      </c>
      <c r="I192" t="str">
        <f>HYPERLINK("tel:+16616197335", "661-619-7335")</f>
        <v>661-619-7335</v>
      </c>
      <c r="J192" t="s">
        <v>852</v>
      </c>
      <c r="K192" t="s">
        <v>82</v>
      </c>
      <c r="M192">
        <v>6616197335</v>
      </c>
    </row>
    <row r="193" spans="1:13" x14ac:dyDescent="0.25">
      <c r="A193">
        <v>1498551427</v>
      </c>
      <c r="B193" t="s">
        <v>853</v>
      </c>
      <c r="C193">
        <v>1595000</v>
      </c>
      <c r="D193" t="s">
        <v>854</v>
      </c>
      <c r="E193" t="s">
        <v>855</v>
      </c>
      <c r="F193">
        <v>8</v>
      </c>
      <c r="I193" t="str">
        <f>HYPERLINK("tel:+17142700817", "714-270-0817")</f>
        <v>714-270-0817</v>
      </c>
      <c r="J193" t="s">
        <v>856</v>
      </c>
      <c r="K193" t="s">
        <v>24</v>
      </c>
      <c r="M193">
        <v>7142700817</v>
      </c>
    </row>
    <row r="194" spans="1:13" x14ac:dyDescent="0.25">
      <c r="A194">
        <v>1015800062</v>
      </c>
      <c r="B194" t="s">
        <v>857</v>
      </c>
      <c r="C194">
        <v>160000</v>
      </c>
      <c r="D194" t="s">
        <v>858</v>
      </c>
      <c r="E194" t="s">
        <v>859</v>
      </c>
      <c r="F194">
        <v>8</v>
      </c>
      <c r="I194" t="str">
        <f>HYPERLINK("tel:+17143627192", "714-362-7192")</f>
        <v>714-362-7192</v>
      </c>
      <c r="J194" t="s">
        <v>860</v>
      </c>
      <c r="K194" t="s">
        <v>861</v>
      </c>
      <c r="M194">
        <v>7143627192</v>
      </c>
    </row>
    <row r="195" spans="1:13" x14ac:dyDescent="0.25">
      <c r="A195">
        <v>2664377491</v>
      </c>
      <c r="B195" t="s">
        <v>862</v>
      </c>
      <c r="C195">
        <v>3590000</v>
      </c>
      <c r="D195" t="s">
        <v>863</v>
      </c>
      <c r="E195" t="s">
        <v>864</v>
      </c>
      <c r="F195">
        <v>8</v>
      </c>
      <c r="I195" t="str">
        <f>HYPERLINK("tel:+17144256904", "714-425-6904")</f>
        <v>714-425-6904</v>
      </c>
      <c r="J195" t="s">
        <v>865</v>
      </c>
      <c r="K195" t="s">
        <v>744</v>
      </c>
      <c r="M195">
        <v>7144256904</v>
      </c>
    </row>
    <row r="196" spans="1:13" x14ac:dyDescent="0.25">
      <c r="A196">
        <v>1313235935</v>
      </c>
      <c r="B196" t="s">
        <v>866</v>
      </c>
      <c r="C196">
        <v>719000</v>
      </c>
      <c r="D196" t="s">
        <v>867</v>
      </c>
      <c r="E196" t="s">
        <v>868</v>
      </c>
      <c r="F196">
        <v>8</v>
      </c>
      <c r="I196" t="str">
        <f>HYPERLINK("tel:+17144970160", "714-497-0160")</f>
        <v>714-497-0160</v>
      </c>
      <c r="J196" t="s">
        <v>869</v>
      </c>
      <c r="K196" t="s">
        <v>158</v>
      </c>
      <c r="M196">
        <v>7144970160</v>
      </c>
    </row>
    <row r="197" spans="1:13" x14ac:dyDescent="0.25">
      <c r="A197">
        <v>1628478693</v>
      </c>
      <c r="B197" t="s">
        <v>870</v>
      </c>
      <c r="C197">
        <v>1048000</v>
      </c>
      <c r="D197" t="s">
        <v>871</v>
      </c>
      <c r="E197" t="s">
        <v>872</v>
      </c>
      <c r="F197">
        <v>8</v>
      </c>
      <c r="I197" t="str">
        <f>HYPERLINK("tel:+17147229195", "714-722-9195")</f>
        <v>714-722-9195</v>
      </c>
      <c r="J197" t="s">
        <v>873</v>
      </c>
      <c r="K197" t="s">
        <v>874</v>
      </c>
      <c r="M197">
        <v>7147229195</v>
      </c>
    </row>
    <row r="198" spans="1:13" x14ac:dyDescent="0.25">
      <c r="A198">
        <v>1164554700</v>
      </c>
      <c r="B198" t="s">
        <v>875</v>
      </c>
      <c r="C198">
        <v>1753500</v>
      </c>
      <c r="D198" t="s">
        <v>876</v>
      </c>
      <c r="E198" t="s">
        <v>877</v>
      </c>
      <c r="F198">
        <v>8</v>
      </c>
      <c r="I198" t="str">
        <f>HYPERLINK("tel:+17706127382", "770-612-7382")</f>
        <v>770-612-7382</v>
      </c>
      <c r="J198" t="s">
        <v>878</v>
      </c>
      <c r="K198" t="s">
        <v>879</v>
      </c>
      <c r="M198">
        <v>7706127382</v>
      </c>
    </row>
    <row r="199" spans="1:13" x14ac:dyDescent="0.25">
      <c r="A199">
        <v>1593655855</v>
      </c>
      <c r="B199" t="s">
        <v>880</v>
      </c>
      <c r="C199">
        <v>1140000</v>
      </c>
      <c r="D199" t="s">
        <v>881</v>
      </c>
      <c r="E199" t="s">
        <v>882</v>
      </c>
      <c r="F199">
        <v>8</v>
      </c>
      <c r="I199" t="str">
        <f>HYPERLINK("tel:+18007500021", "800-750-0021")</f>
        <v>800-750-0021</v>
      </c>
      <c r="J199" t="s">
        <v>883</v>
      </c>
      <c r="K199" t="s">
        <v>884</v>
      </c>
      <c r="M199">
        <v>8007500021</v>
      </c>
    </row>
    <row r="200" spans="1:13" x14ac:dyDescent="0.25">
      <c r="A200">
        <v>2208344154</v>
      </c>
      <c r="B200" t="s">
        <v>885</v>
      </c>
      <c r="C200">
        <v>1749997</v>
      </c>
      <c r="D200" t="s">
        <v>886</v>
      </c>
      <c r="E200" t="s">
        <v>887</v>
      </c>
      <c r="F200">
        <v>8</v>
      </c>
      <c r="I200" t="str">
        <f>HYPERLINK("tel:+18183639639", "818-363-9639")</f>
        <v>818-363-9639</v>
      </c>
      <c r="J200" t="s">
        <v>888</v>
      </c>
      <c r="K200" t="s">
        <v>889</v>
      </c>
      <c r="M200">
        <v>8183639639</v>
      </c>
    </row>
    <row r="201" spans="1:13" x14ac:dyDescent="0.25">
      <c r="A201">
        <v>1805511699</v>
      </c>
      <c r="B201" t="s">
        <v>890</v>
      </c>
      <c r="C201">
        <v>6500000</v>
      </c>
      <c r="D201" t="s">
        <v>891</v>
      </c>
      <c r="E201" t="s">
        <v>892</v>
      </c>
      <c r="F201">
        <v>8</v>
      </c>
      <c r="I201" t="str">
        <f>HYPERLINK("tel:+18185218088", "818-521-8088")</f>
        <v>818-521-8088</v>
      </c>
      <c r="J201" t="s">
        <v>893</v>
      </c>
      <c r="K201" t="s">
        <v>894</v>
      </c>
      <c r="M201">
        <v>8185218088</v>
      </c>
    </row>
    <row r="202" spans="1:13" x14ac:dyDescent="0.25">
      <c r="A202">
        <v>1561025684</v>
      </c>
      <c r="B202" t="s">
        <v>895</v>
      </c>
      <c r="C202">
        <v>1248000</v>
      </c>
      <c r="D202" t="s">
        <v>896</v>
      </c>
      <c r="E202" t="s">
        <v>897</v>
      </c>
      <c r="F202">
        <v>8</v>
      </c>
      <c r="I202" t="str">
        <f>HYPERLINK("tel:+18582042279", "858-204-2279")</f>
        <v>858-204-2279</v>
      </c>
      <c r="J202" t="s">
        <v>898</v>
      </c>
      <c r="K202" t="s">
        <v>505</v>
      </c>
      <c r="M202">
        <v>8582042279</v>
      </c>
    </row>
    <row r="203" spans="1:13" x14ac:dyDescent="0.25">
      <c r="A203">
        <v>1627925726</v>
      </c>
      <c r="B203" t="s">
        <v>899</v>
      </c>
      <c r="C203">
        <v>179898</v>
      </c>
      <c r="D203" t="s">
        <v>900</v>
      </c>
      <c r="E203" t="s">
        <v>901</v>
      </c>
      <c r="F203">
        <v>8</v>
      </c>
      <c r="I203" t="str">
        <f>HYPERLINK("tel:+18779592488", "877-959-2488")</f>
        <v>877-959-2488</v>
      </c>
      <c r="J203" t="s">
        <v>902</v>
      </c>
      <c r="K203" t="s">
        <v>903</v>
      </c>
      <c r="M203">
        <v>8779592488</v>
      </c>
    </row>
    <row r="204" spans="1:13" x14ac:dyDescent="0.25">
      <c r="A204">
        <v>9824490021</v>
      </c>
      <c r="B204" t="s">
        <v>904</v>
      </c>
      <c r="C204">
        <v>2400000</v>
      </c>
      <c r="D204" t="s">
        <v>905</v>
      </c>
      <c r="E204" t="s">
        <v>906</v>
      </c>
      <c r="F204">
        <v>8</v>
      </c>
      <c r="I204" t="str">
        <f>HYPERLINK("tel:+19176606233", "917-660-6233")</f>
        <v>917-660-6233</v>
      </c>
      <c r="J204" t="s">
        <v>907</v>
      </c>
      <c r="K204" t="s">
        <v>351</v>
      </c>
      <c r="M204">
        <v>9176606233</v>
      </c>
    </row>
    <row r="205" spans="1:13" x14ac:dyDescent="0.25">
      <c r="A205">
        <v>1955012327</v>
      </c>
      <c r="B205" t="s">
        <v>908</v>
      </c>
      <c r="C205">
        <v>3550000</v>
      </c>
      <c r="D205" t="s">
        <v>909</v>
      </c>
      <c r="E205" t="s">
        <v>910</v>
      </c>
      <c r="F205">
        <v>8</v>
      </c>
      <c r="I205" t="str">
        <f>HYPERLINK("tel:+19492518800", "949-251-8800")</f>
        <v>949-251-8800</v>
      </c>
      <c r="J205" t="s">
        <v>911</v>
      </c>
      <c r="K205" t="s">
        <v>912</v>
      </c>
      <c r="M205">
        <v>9492518800</v>
      </c>
    </row>
    <row r="206" spans="1:13" x14ac:dyDescent="0.25">
      <c r="A206">
        <v>9704628782</v>
      </c>
      <c r="B206" t="s">
        <v>913</v>
      </c>
      <c r="C206">
        <v>2250000</v>
      </c>
      <c r="D206" t="s">
        <v>914</v>
      </c>
      <c r="E206" t="s">
        <v>915</v>
      </c>
      <c r="F206">
        <v>8</v>
      </c>
      <c r="I206" t="str">
        <f>HYPERLINK("tel:+19492582228", "949-258-2228")</f>
        <v>949-258-2228</v>
      </c>
      <c r="J206" t="s">
        <v>916</v>
      </c>
      <c r="K206" t="s">
        <v>917</v>
      </c>
      <c r="M206">
        <v>9492582228</v>
      </c>
    </row>
    <row r="207" spans="1:13" x14ac:dyDescent="0.25">
      <c r="A207">
        <v>2273928913</v>
      </c>
      <c r="B207" t="s">
        <v>918</v>
      </c>
      <c r="C207">
        <v>18500000</v>
      </c>
      <c r="D207" t="s">
        <v>919</v>
      </c>
      <c r="E207" t="s">
        <v>920</v>
      </c>
      <c r="F207">
        <v>8</v>
      </c>
      <c r="I207" t="str">
        <f>HYPERLINK("tel:+19492787333", "949-278-7333")</f>
        <v>949-278-7333</v>
      </c>
      <c r="J207" t="s">
        <v>921</v>
      </c>
      <c r="K207" t="s">
        <v>24</v>
      </c>
      <c r="M207">
        <v>9492787333</v>
      </c>
    </row>
    <row r="208" spans="1:13" x14ac:dyDescent="0.25">
      <c r="A208">
        <v>2988824508</v>
      </c>
      <c r="B208" t="s">
        <v>922</v>
      </c>
      <c r="C208">
        <v>2299000</v>
      </c>
      <c r="D208" t="s">
        <v>923</v>
      </c>
      <c r="E208" t="s">
        <v>924</v>
      </c>
      <c r="F208">
        <v>8</v>
      </c>
      <c r="I208" t="str">
        <f>HYPERLINK("tel:+19492855797", "949-285-5797")</f>
        <v>949-285-5797</v>
      </c>
      <c r="J208" t="s">
        <v>925</v>
      </c>
      <c r="K208" t="s">
        <v>926</v>
      </c>
      <c r="M208">
        <v>9492855797</v>
      </c>
    </row>
    <row r="209" spans="1:13" x14ac:dyDescent="0.25">
      <c r="A209">
        <v>9063259768</v>
      </c>
      <c r="B209" t="s">
        <v>927</v>
      </c>
      <c r="C209">
        <v>1788000</v>
      </c>
      <c r="D209" t="s">
        <v>928</v>
      </c>
      <c r="E209" t="s">
        <v>929</v>
      </c>
      <c r="F209">
        <v>8</v>
      </c>
      <c r="I209" t="str">
        <f>HYPERLINK("tel:+19493024883", "949-302-4883")</f>
        <v>949-302-4883</v>
      </c>
      <c r="J209" t="s">
        <v>930</v>
      </c>
      <c r="K209" t="s">
        <v>744</v>
      </c>
      <c r="M209">
        <v>9493024883</v>
      </c>
    </row>
    <row r="210" spans="1:13" x14ac:dyDescent="0.25">
      <c r="A210">
        <v>1479020925</v>
      </c>
      <c r="B210" t="s">
        <v>931</v>
      </c>
      <c r="C210">
        <v>3350000</v>
      </c>
      <c r="D210" t="s">
        <v>932</v>
      </c>
      <c r="E210" t="s">
        <v>933</v>
      </c>
      <c r="F210">
        <v>8</v>
      </c>
      <c r="I210" t="str">
        <f>HYPERLINK("tel:+19493445131", "949-344-5131")</f>
        <v>949-344-5131</v>
      </c>
      <c r="J210" t="s">
        <v>934</v>
      </c>
      <c r="K210" t="s">
        <v>935</v>
      </c>
      <c r="M210">
        <v>9493445131</v>
      </c>
    </row>
    <row r="211" spans="1:13" x14ac:dyDescent="0.25">
      <c r="A211">
        <v>2988824508</v>
      </c>
      <c r="B211" t="s">
        <v>922</v>
      </c>
      <c r="C211">
        <v>2299000</v>
      </c>
      <c r="D211" t="s">
        <v>923</v>
      </c>
      <c r="E211" t="s">
        <v>936</v>
      </c>
      <c r="F211">
        <v>8</v>
      </c>
      <c r="I211" t="str">
        <f>HYPERLINK("tel:+19495428348", "949-542-8348")</f>
        <v>949-542-8348</v>
      </c>
      <c r="J211" t="s">
        <v>937</v>
      </c>
      <c r="K211" t="s">
        <v>926</v>
      </c>
      <c r="M211">
        <v>9495428348</v>
      </c>
    </row>
    <row r="212" spans="1:13" x14ac:dyDescent="0.25">
      <c r="A212">
        <v>9063259768</v>
      </c>
      <c r="B212" t="s">
        <v>927</v>
      </c>
      <c r="C212">
        <v>1788000</v>
      </c>
      <c r="D212" t="s">
        <v>928</v>
      </c>
      <c r="E212" t="s">
        <v>938</v>
      </c>
      <c r="F212">
        <v>8</v>
      </c>
      <c r="I212" t="str">
        <f>HYPERLINK("tel:+19495730260", "949-573-0260")</f>
        <v>949-573-0260</v>
      </c>
      <c r="J212" t="s">
        <v>939</v>
      </c>
      <c r="K212" t="s">
        <v>744</v>
      </c>
      <c r="M212">
        <v>9495730260</v>
      </c>
    </row>
    <row r="213" spans="1:13" x14ac:dyDescent="0.25">
      <c r="A213">
        <v>2775622902</v>
      </c>
      <c r="B213" t="s">
        <v>940</v>
      </c>
      <c r="C213">
        <v>3259000</v>
      </c>
      <c r="D213" t="s">
        <v>941</v>
      </c>
      <c r="E213" t="s">
        <v>942</v>
      </c>
      <c r="F213">
        <v>8</v>
      </c>
      <c r="I213" t="str">
        <f>HYPERLINK("tel:+19496785198", "949-678-5198")</f>
        <v>949-678-5198</v>
      </c>
      <c r="J213" t="s">
        <v>943</v>
      </c>
      <c r="K213" t="s">
        <v>944</v>
      </c>
      <c r="M213">
        <v>9496785198</v>
      </c>
    </row>
    <row r="214" spans="1:13" x14ac:dyDescent="0.25">
      <c r="A214">
        <v>9184434168</v>
      </c>
      <c r="B214" t="s">
        <v>945</v>
      </c>
      <c r="C214">
        <v>1099000</v>
      </c>
      <c r="D214" t="s">
        <v>946</v>
      </c>
      <c r="E214" t="s">
        <v>947</v>
      </c>
      <c r="F214">
        <v>8</v>
      </c>
      <c r="I214" t="str">
        <f>HYPERLINK("tel:+19498122880", "949-812-2880")</f>
        <v>949-812-2880</v>
      </c>
      <c r="J214" t="s">
        <v>948</v>
      </c>
      <c r="K214" t="s">
        <v>744</v>
      </c>
      <c r="M214">
        <v>9498122880</v>
      </c>
    </row>
    <row r="215" spans="1:13" x14ac:dyDescent="0.25">
      <c r="A215">
        <v>1872444297</v>
      </c>
      <c r="B215" t="s">
        <v>949</v>
      </c>
      <c r="C215">
        <v>59000000</v>
      </c>
      <c r="D215" t="s">
        <v>950</v>
      </c>
      <c r="E215" t="s">
        <v>951</v>
      </c>
      <c r="F215">
        <v>8</v>
      </c>
      <c r="I215" t="str">
        <f>HYPERLINK("tel:+19499337046", "949-933-7046")</f>
        <v>949-933-7046</v>
      </c>
      <c r="J215" t="s">
        <v>952</v>
      </c>
      <c r="K215" t="s">
        <v>953</v>
      </c>
      <c r="M215">
        <v>9499337046</v>
      </c>
    </row>
    <row r="216" spans="1:13" x14ac:dyDescent="0.25">
      <c r="A216">
        <v>9173181068</v>
      </c>
      <c r="B216" t="s">
        <v>954</v>
      </c>
      <c r="C216">
        <v>255000</v>
      </c>
      <c r="D216" t="s">
        <v>955</v>
      </c>
      <c r="E216" t="s">
        <v>956</v>
      </c>
      <c r="F216">
        <v>8</v>
      </c>
      <c r="I216" t="str">
        <f>HYPERLINK("tel:+19518804530", "951-880-4530")</f>
        <v>951-880-4530</v>
      </c>
      <c r="J216" t="s">
        <v>957</v>
      </c>
      <c r="K216" t="s">
        <v>958</v>
      </c>
      <c r="M216">
        <v>9518804530</v>
      </c>
    </row>
    <row r="217" spans="1:13" x14ac:dyDescent="0.25">
      <c r="A217">
        <v>1031427913</v>
      </c>
      <c r="B217" t="s">
        <v>959</v>
      </c>
      <c r="C217">
        <v>2575000</v>
      </c>
      <c r="D217" t="s">
        <v>960</v>
      </c>
      <c r="E217" t="s">
        <v>961</v>
      </c>
      <c r="F217">
        <v>7</v>
      </c>
      <c r="I217" t="str">
        <f>HYPERLINK("tel:+12092986020", "209-298-6020")</f>
        <v>209-298-6020</v>
      </c>
      <c r="J217" t="s">
        <v>962</v>
      </c>
      <c r="K217" t="s">
        <v>963</v>
      </c>
      <c r="M217">
        <v>2092986020</v>
      </c>
    </row>
    <row r="218" spans="1:13" x14ac:dyDescent="0.25">
      <c r="A218">
        <v>2802494521</v>
      </c>
      <c r="B218" t="s">
        <v>964</v>
      </c>
      <c r="C218">
        <v>440000</v>
      </c>
      <c r="D218" t="s">
        <v>965</v>
      </c>
      <c r="E218" t="s">
        <v>966</v>
      </c>
      <c r="F218">
        <v>7</v>
      </c>
      <c r="I218" t="str">
        <f>HYPERLINK("tel:+12132472337", "213-247-2337")</f>
        <v>213-247-2337</v>
      </c>
      <c r="J218" t="s">
        <v>967</v>
      </c>
      <c r="K218" t="s">
        <v>82</v>
      </c>
      <c r="M218">
        <v>2132472337</v>
      </c>
    </row>
    <row r="219" spans="1:13" x14ac:dyDescent="0.25">
      <c r="A219">
        <v>1390857928</v>
      </c>
      <c r="B219" t="s">
        <v>968</v>
      </c>
      <c r="C219">
        <v>1288000</v>
      </c>
      <c r="D219" t="s">
        <v>969</v>
      </c>
      <c r="E219" t="s">
        <v>970</v>
      </c>
      <c r="F219">
        <v>7</v>
      </c>
      <c r="I219" t="str">
        <f>HYPERLINK("tel:+12134580787", "213-458-0787")</f>
        <v>213-458-0787</v>
      </c>
      <c r="J219" t="s">
        <v>971</v>
      </c>
      <c r="K219" t="s">
        <v>972</v>
      </c>
      <c r="M219">
        <v>2134580787</v>
      </c>
    </row>
    <row r="220" spans="1:13" x14ac:dyDescent="0.25">
      <c r="A220">
        <v>2327224745</v>
      </c>
      <c r="B220" t="s">
        <v>973</v>
      </c>
      <c r="C220">
        <v>1749000</v>
      </c>
      <c r="D220" t="s">
        <v>974</v>
      </c>
      <c r="E220" t="s">
        <v>975</v>
      </c>
      <c r="F220">
        <v>7</v>
      </c>
      <c r="I220" t="str">
        <f>HYPERLINK("tel:+12137005066", "213-700-5066")</f>
        <v>213-700-5066</v>
      </c>
      <c r="J220" t="s">
        <v>976</v>
      </c>
      <c r="K220" t="s">
        <v>977</v>
      </c>
      <c r="M220">
        <v>2137005066</v>
      </c>
    </row>
    <row r="221" spans="1:13" x14ac:dyDescent="0.25">
      <c r="A221">
        <v>1728506963</v>
      </c>
      <c r="B221" t="s">
        <v>978</v>
      </c>
      <c r="C221">
        <v>1650000</v>
      </c>
      <c r="D221" t="s">
        <v>979</v>
      </c>
      <c r="E221" t="s">
        <v>980</v>
      </c>
      <c r="F221">
        <v>7</v>
      </c>
      <c r="I221" t="str">
        <f>HYPERLINK("tel:+13102669946", "310-266-9946")</f>
        <v>310-266-9946</v>
      </c>
      <c r="J221" t="s">
        <v>981</v>
      </c>
      <c r="K221" t="s">
        <v>58</v>
      </c>
      <c r="M221">
        <v>3102669946</v>
      </c>
    </row>
    <row r="222" spans="1:13" x14ac:dyDescent="0.25">
      <c r="A222">
        <v>1350756625</v>
      </c>
      <c r="B222" t="s">
        <v>982</v>
      </c>
      <c r="C222">
        <v>2695000</v>
      </c>
      <c r="D222" t="s">
        <v>983</v>
      </c>
      <c r="E222" t="s">
        <v>984</v>
      </c>
      <c r="F222">
        <v>7</v>
      </c>
      <c r="I222" t="str">
        <f>HYPERLINK("tel:+13103398002", "310-339-8002")</f>
        <v>310-339-8002</v>
      </c>
      <c r="J222" t="s">
        <v>985</v>
      </c>
      <c r="K222" t="s">
        <v>351</v>
      </c>
      <c r="M222">
        <v>3103398002</v>
      </c>
    </row>
    <row r="223" spans="1:13" x14ac:dyDescent="0.25">
      <c r="A223">
        <v>9391367743</v>
      </c>
      <c r="B223" t="s">
        <v>986</v>
      </c>
      <c r="C223">
        <v>59500</v>
      </c>
      <c r="D223" t="s">
        <v>987</v>
      </c>
      <c r="E223" t="s">
        <v>988</v>
      </c>
      <c r="F223">
        <v>7</v>
      </c>
      <c r="I223" t="str">
        <f>HYPERLINK("tel:+13103629932", "310-362-9932")</f>
        <v>310-362-9932</v>
      </c>
      <c r="J223" t="s">
        <v>989</v>
      </c>
      <c r="K223" t="s">
        <v>990</v>
      </c>
      <c r="M223">
        <v>3103629932</v>
      </c>
    </row>
    <row r="224" spans="1:13" x14ac:dyDescent="0.25">
      <c r="A224">
        <v>9138321482</v>
      </c>
      <c r="B224" t="s">
        <v>991</v>
      </c>
      <c r="C224">
        <v>7995000</v>
      </c>
      <c r="D224" t="s">
        <v>992</v>
      </c>
      <c r="E224" t="s">
        <v>993</v>
      </c>
      <c r="F224">
        <v>7</v>
      </c>
      <c r="I224" t="str">
        <f>HYPERLINK("tel:+13104152653", "310-415-2653")</f>
        <v>310-415-2653</v>
      </c>
      <c r="J224" t="s">
        <v>994</v>
      </c>
      <c r="K224" t="s">
        <v>995</v>
      </c>
      <c r="M224">
        <v>3104152653</v>
      </c>
    </row>
    <row r="225" spans="1:13" x14ac:dyDescent="0.25">
      <c r="A225">
        <v>2671685312</v>
      </c>
      <c r="B225" t="s">
        <v>996</v>
      </c>
      <c r="C225">
        <v>2495000</v>
      </c>
      <c r="D225" t="s">
        <v>997</v>
      </c>
      <c r="E225" t="s">
        <v>998</v>
      </c>
      <c r="F225">
        <v>7</v>
      </c>
      <c r="I225" t="str">
        <f>HYPERLINK("tel:+13104478527", "310-447-8527")</f>
        <v>310-447-8527</v>
      </c>
      <c r="J225" t="s">
        <v>999</v>
      </c>
      <c r="K225" t="s">
        <v>24</v>
      </c>
      <c r="M225">
        <v>3104478527</v>
      </c>
    </row>
    <row r="226" spans="1:13" x14ac:dyDescent="0.25">
      <c r="A226">
        <v>1759862142</v>
      </c>
      <c r="B226" t="s">
        <v>1000</v>
      </c>
      <c r="C226">
        <v>3750000</v>
      </c>
      <c r="D226" t="s">
        <v>1001</v>
      </c>
      <c r="E226" t="s">
        <v>1002</v>
      </c>
      <c r="F226">
        <v>7</v>
      </c>
      <c r="I226" t="str">
        <f>HYPERLINK("tel:+13106144952", "310-614-4952")</f>
        <v>310-614-4952</v>
      </c>
      <c r="J226" t="s">
        <v>1003</v>
      </c>
      <c r="K226" t="s">
        <v>107</v>
      </c>
      <c r="M226">
        <v>3106144952</v>
      </c>
    </row>
    <row r="227" spans="1:13" x14ac:dyDescent="0.25">
      <c r="A227">
        <v>2799144896</v>
      </c>
      <c r="B227" t="s">
        <v>1004</v>
      </c>
      <c r="C227">
        <v>4799990</v>
      </c>
      <c r="D227" t="s">
        <v>1005</v>
      </c>
      <c r="E227" t="s">
        <v>1006</v>
      </c>
      <c r="F227">
        <v>7</v>
      </c>
      <c r="I227" t="str">
        <f>HYPERLINK("tel:+13107433301", "310-743-3301")</f>
        <v>310-743-3301</v>
      </c>
      <c r="J227" t="s">
        <v>1007</v>
      </c>
      <c r="K227" t="s">
        <v>1008</v>
      </c>
      <c r="M227">
        <v>3107433301</v>
      </c>
    </row>
    <row r="228" spans="1:13" x14ac:dyDescent="0.25">
      <c r="A228">
        <v>1972329802</v>
      </c>
      <c r="B228" t="s">
        <v>1009</v>
      </c>
      <c r="C228">
        <v>849000</v>
      </c>
      <c r="D228" t="s">
        <v>1010</v>
      </c>
      <c r="E228" t="s">
        <v>1011</v>
      </c>
      <c r="F228">
        <v>7</v>
      </c>
      <c r="I228" t="str">
        <f>HYPERLINK("tel:+13107772858", "310-777-2858")</f>
        <v>310-777-2858</v>
      </c>
      <c r="J228" t="s">
        <v>1012</v>
      </c>
      <c r="K228" t="s">
        <v>635</v>
      </c>
      <c r="M228">
        <v>3107772858</v>
      </c>
    </row>
    <row r="229" spans="1:13" x14ac:dyDescent="0.25">
      <c r="A229">
        <v>1972329802</v>
      </c>
      <c r="B229" t="s">
        <v>1009</v>
      </c>
      <c r="C229">
        <v>849000</v>
      </c>
      <c r="D229" t="s">
        <v>1010</v>
      </c>
      <c r="E229" t="s">
        <v>1013</v>
      </c>
      <c r="F229">
        <v>7</v>
      </c>
      <c r="I229" t="str">
        <f>HYPERLINK("tel:+13107772864", "310-777-2864")</f>
        <v>310-777-2864</v>
      </c>
      <c r="J229" t="s">
        <v>1014</v>
      </c>
      <c r="K229" t="s">
        <v>635</v>
      </c>
      <c r="M229">
        <v>3107772864</v>
      </c>
    </row>
    <row r="230" spans="1:13" x14ac:dyDescent="0.25">
      <c r="A230">
        <v>9192793009</v>
      </c>
      <c r="B230" t="s">
        <v>1015</v>
      </c>
      <c r="C230">
        <v>3400000</v>
      </c>
      <c r="D230" t="s">
        <v>1016</v>
      </c>
      <c r="E230" t="s">
        <v>1017</v>
      </c>
      <c r="F230">
        <v>7</v>
      </c>
      <c r="I230" t="str">
        <f>HYPERLINK("tel:+13107798213", "310-779-8213")</f>
        <v>310-779-8213</v>
      </c>
      <c r="J230" t="s">
        <v>1018</v>
      </c>
      <c r="K230" t="s">
        <v>1019</v>
      </c>
      <c r="M230">
        <v>3107798213</v>
      </c>
    </row>
    <row r="231" spans="1:13" x14ac:dyDescent="0.25">
      <c r="A231">
        <v>9227601212</v>
      </c>
      <c r="B231" t="s">
        <v>1020</v>
      </c>
      <c r="C231">
        <v>939099</v>
      </c>
      <c r="D231" t="s">
        <v>1021</v>
      </c>
      <c r="E231" t="s">
        <v>1022</v>
      </c>
      <c r="F231">
        <v>7</v>
      </c>
      <c r="I231" t="str">
        <f>HYPERLINK("tel:+13108728686", "310-872-8686")</f>
        <v>310-872-8686</v>
      </c>
      <c r="J231" t="s">
        <v>1023</v>
      </c>
      <c r="K231" t="s">
        <v>1024</v>
      </c>
      <c r="M231">
        <v>3108728686</v>
      </c>
    </row>
    <row r="232" spans="1:13" x14ac:dyDescent="0.25">
      <c r="A232">
        <v>9929246505</v>
      </c>
      <c r="B232" t="s">
        <v>1025</v>
      </c>
      <c r="C232">
        <v>1700000</v>
      </c>
      <c r="D232" t="s">
        <v>1026</v>
      </c>
      <c r="E232" t="s">
        <v>1027</v>
      </c>
      <c r="F232">
        <v>7</v>
      </c>
      <c r="I232" t="str">
        <f>HYPERLINK("tel:+13108771887", "310-877-1887")</f>
        <v>310-877-1887</v>
      </c>
      <c r="J232" t="s">
        <v>1028</v>
      </c>
      <c r="K232" t="s">
        <v>1029</v>
      </c>
      <c r="M232">
        <v>3108771887</v>
      </c>
    </row>
    <row r="233" spans="1:13" x14ac:dyDescent="0.25">
      <c r="A233">
        <v>1570264399</v>
      </c>
      <c r="B233" t="s">
        <v>1030</v>
      </c>
      <c r="C233">
        <v>4545000</v>
      </c>
      <c r="D233" t="s">
        <v>1031</v>
      </c>
      <c r="E233" t="s">
        <v>1032</v>
      </c>
      <c r="F233">
        <v>7</v>
      </c>
      <c r="I233" t="str">
        <f>HYPERLINK("tel:+13109027122", "310-902-7122")</f>
        <v>310-902-7122</v>
      </c>
      <c r="J233" t="s">
        <v>1033</v>
      </c>
      <c r="K233" t="s">
        <v>107</v>
      </c>
      <c r="M233">
        <v>3109027122</v>
      </c>
    </row>
    <row r="234" spans="1:13" x14ac:dyDescent="0.25">
      <c r="A234">
        <v>1472350321</v>
      </c>
      <c r="B234" t="s">
        <v>1034</v>
      </c>
      <c r="C234">
        <v>2400000</v>
      </c>
      <c r="D234" t="s">
        <v>1035</v>
      </c>
      <c r="E234" t="s">
        <v>1036</v>
      </c>
      <c r="F234">
        <v>7</v>
      </c>
      <c r="I234" t="str">
        <f>HYPERLINK("tel:+13109031876", "310-903-1876")</f>
        <v>310-903-1876</v>
      </c>
      <c r="J234" t="s">
        <v>1037</v>
      </c>
      <c r="K234" t="s">
        <v>1038</v>
      </c>
      <c r="M234">
        <v>3109031876</v>
      </c>
    </row>
    <row r="235" spans="1:13" x14ac:dyDescent="0.25">
      <c r="A235">
        <v>2479517963</v>
      </c>
      <c r="B235" t="s">
        <v>669</v>
      </c>
      <c r="C235">
        <v>2095000</v>
      </c>
      <c r="D235" t="s">
        <v>670</v>
      </c>
      <c r="E235" t="s">
        <v>1039</v>
      </c>
      <c r="F235">
        <v>7</v>
      </c>
      <c r="I235" t="str">
        <f>HYPERLINK("tel:+13109677707", "310-967-7707")</f>
        <v>310-967-7707</v>
      </c>
      <c r="J235" t="s">
        <v>1040</v>
      </c>
      <c r="K235" t="s">
        <v>673</v>
      </c>
      <c r="M235">
        <v>3109677707</v>
      </c>
    </row>
    <row r="236" spans="1:13" x14ac:dyDescent="0.25">
      <c r="A236">
        <v>1330725921</v>
      </c>
      <c r="B236" t="s">
        <v>1041</v>
      </c>
      <c r="C236">
        <v>1799000</v>
      </c>
      <c r="D236" t="s">
        <v>1042</v>
      </c>
      <c r="E236" t="s">
        <v>1043</v>
      </c>
      <c r="F236">
        <v>7</v>
      </c>
      <c r="I236" t="str">
        <f>HYPERLINK("tel:+13109900063", "310-990-0063")</f>
        <v>310-990-0063</v>
      </c>
      <c r="J236" t="s">
        <v>1044</v>
      </c>
      <c r="K236" t="s">
        <v>63</v>
      </c>
      <c r="M236">
        <v>3109900063</v>
      </c>
    </row>
    <row r="237" spans="1:13" x14ac:dyDescent="0.25">
      <c r="A237">
        <v>1906406349</v>
      </c>
      <c r="B237" t="s">
        <v>1045</v>
      </c>
      <c r="C237">
        <v>1999000</v>
      </c>
      <c r="D237" t="s">
        <v>1046</v>
      </c>
      <c r="E237" t="s">
        <v>1047</v>
      </c>
      <c r="F237">
        <v>7</v>
      </c>
      <c r="I237" t="str">
        <f>HYPERLINK("tel:+13109913977", "310-991-3977")</f>
        <v>310-991-3977</v>
      </c>
      <c r="J237" t="s">
        <v>1048</v>
      </c>
      <c r="K237" t="s">
        <v>14</v>
      </c>
      <c r="M237">
        <v>3109913977</v>
      </c>
    </row>
    <row r="238" spans="1:13" x14ac:dyDescent="0.25">
      <c r="A238">
        <v>1012309260</v>
      </c>
      <c r="B238" t="s">
        <v>1049</v>
      </c>
      <c r="C238">
        <v>2299000</v>
      </c>
      <c r="D238" t="s">
        <v>1050</v>
      </c>
      <c r="E238" t="s">
        <v>1051</v>
      </c>
      <c r="F238">
        <v>7</v>
      </c>
      <c r="I238" t="str">
        <f>HYPERLINK("tel:+13233175151", "323-317-5151")</f>
        <v>323-317-5151</v>
      </c>
      <c r="J238" t="s">
        <v>1052</v>
      </c>
      <c r="K238" t="s">
        <v>1053</v>
      </c>
      <c r="M238">
        <v>3233175151</v>
      </c>
    </row>
    <row r="239" spans="1:13" x14ac:dyDescent="0.25">
      <c r="A239">
        <v>1698906433</v>
      </c>
      <c r="B239" t="s">
        <v>1054</v>
      </c>
      <c r="C239">
        <v>3998000</v>
      </c>
      <c r="D239" t="s">
        <v>1055</v>
      </c>
      <c r="E239" t="s">
        <v>1056</v>
      </c>
      <c r="F239">
        <v>7</v>
      </c>
      <c r="I239" t="str">
        <f>HYPERLINK("tel:+13234227147", "323-422-7147")</f>
        <v>323-422-7147</v>
      </c>
      <c r="J239" t="s">
        <v>1057</v>
      </c>
      <c r="K239" t="s">
        <v>351</v>
      </c>
      <c r="M239">
        <v>3234227147</v>
      </c>
    </row>
    <row r="240" spans="1:13" x14ac:dyDescent="0.25">
      <c r="A240">
        <v>1754983453</v>
      </c>
      <c r="B240" t="s">
        <v>1058</v>
      </c>
      <c r="C240">
        <v>2100000</v>
      </c>
      <c r="D240" t="s">
        <v>1059</v>
      </c>
      <c r="E240" t="s">
        <v>1060</v>
      </c>
      <c r="F240">
        <v>7</v>
      </c>
      <c r="I240" t="str">
        <f>HYPERLINK("tel:+13238107157", "323-810-7157")</f>
        <v>323-810-7157</v>
      </c>
      <c r="J240" t="s">
        <v>1061</v>
      </c>
      <c r="K240" t="s">
        <v>1062</v>
      </c>
      <c r="M240">
        <v>3238107157</v>
      </c>
    </row>
    <row r="241" spans="1:13" x14ac:dyDescent="0.25">
      <c r="A241">
        <v>2322905044</v>
      </c>
      <c r="B241" t="s">
        <v>1063</v>
      </c>
      <c r="C241">
        <v>3390000</v>
      </c>
      <c r="D241" t="s">
        <v>1064</v>
      </c>
      <c r="E241" t="s">
        <v>1065</v>
      </c>
      <c r="F241">
        <v>7</v>
      </c>
      <c r="I241" t="str">
        <f>HYPERLINK("tel:+13239546420", "323-954-6420")</f>
        <v>323-954-6420</v>
      </c>
      <c r="J241" t="s">
        <v>1066</v>
      </c>
      <c r="K241" t="s">
        <v>24</v>
      </c>
      <c r="M241">
        <v>3239546420</v>
      </c>
    </row>
    <row r="242" spans="1:13" x14ac:dyDescent="0.25">
      <c r="A242">
        <v>1406691582</v>
      </c>
      <c r="B242" t="s">
        <v>1067</v>
      </c>
      <c r="C242">
        <v>11495000</v>
      </c>
      <c r="D242" t="s">
        <v>1068</v>
      </c>
      <c r="E242" t="s">
        <v>1069</v>
      </c>
      <c r="F242">
        <v>7</v>
      </c>
      <c r="I242" t="str">
        <f>HYPERLINK("tel:+14245278889", "424-527-8889")</f>
        <v>424-527-8889</v>
      </c>
      <c r="J242" t="s">
        <v>1070</v>
      </c>
      <c r="K242" t="s">
        <v>136</v>
      </c>
      <c r="M242">
        <v>4245278889</v>
      </c>
    </row>
    <row r="243" spans="1:13" x14ac:dyDescent="0.25">
      <c r="A243">
        <v>9128474379</v>
      </c>
      <c r="B243" t="s">
        <v>1071</v>
      </c>
      <c r="C243">
        <v>649000</v>
      </c>
      <c r="D243" t="s">
        <v>1072</v>
      </c>
      <c r="E243" t="s">
        <v>1073</v>
      </c>
      <c r="F243">
        <v>7</v>
      </c>
      <c r="I243" t="str">
        <f>HYPERLINK("tel:+15627161547", "562-716-1547")</f>
        <v>562-716-1547</v>
      </c>
      <c r="J243" t="s">
        <v>1074</v>
      </c>
      <c r="K243" t="s">
        <v>1075</v>
      </c>
      <c r="M243">
        <v>5627161547</v>
      </c>
    </row>
    <row r="244" spans="1:13" x14ac:dyDescent="0.25">
      <c r="A244">
        <v>2753200177</v>
      </c>
      <c r="B244" t="s">
        <v>1076</v>
      </c>
      <c r="C244">
        <v>3495000</v>
      </c>
      <c r="D244" t="s">
        <v>1077</v>
      </c>
      <c r="E244" t="s">
        <v>1078</v>
      </c>
      <c r="F244">
        <v>7</v>
      </c>
      <c r="I244" t="str">
        <f>HYPERLINK("tel:+17142316058", "714-231-6058")</f>
        <v>714-231-6058</v>
      </c>
      <c r="J244" t="s">
        <v>1079</v>
      </c>
      <c r="K244" t="s">
        <v>1080</v>
      </c>
      <c r="M244">
        <v>7142316058</v>
      </c>
    </row>
    <row r="245" spans="1:13" x14ac:dyDescent="0.25">
      <c r="A245">
        <v>1236484724</v>
      </c>
      <c r="B245" t="s">
        <v>1081</v>
      </c>
      <c r="C245">
        <v>999998</v>
      </c>
      <c r="D245" t="s">
        <v>1082</v>
      </c>
      <c r="E245" t="s">
        <v>1083</v>
      </c>
      <c r="F245">
        <v>7</v>
      </c>
      <c r="I245" t="str">
        <f>HYPERLINK("tel:+17143336407", "714-333-6407")</f>
        <v>714-333-6407</v>
      </c>
      <c r="J245" t="s">
        <v>1084</v>
      </c>
      <c r="K245" t="s">
        <v>1085</v>
      </c>
      <c r="M245">
        <v>7143336407</v>
      </c>
    </row>
    <row r="246" spans="1:13" x14ac:dyDescent="0.25">
      <c r="A246">
        <v>9896325428</v>
      </c>
      <c r="B246" t="s">
        <v>1086</v>
      </c>
      <c r="C246">
        <v>755000</v>
      </c>
      <c r="D246" t="s">
        <v>1087</v>
      </c>
      <c r="E246" t="s">
        <v>1088</v>
      </c>
      <c r="F246">
        <v>7</v>
      </c>
      <c r="I246" t="str">
        <f>HYPERLINK("tel:+17143341773", "714-334-1773")</f>
        <v>714-334-1773</v>
      </c>
      <c r="J246" t="s">
        <v>1089</v>
      </c>
      <c r="K246" t="s">
        <v>1090</v>
      </c>
      <c r="M246">
        <v>7143341773</v>
      </c>
    </row>
    <row r="247" spans="1:13" x14ac:dyDescent="0.25">
      <c r="A247">
        <v>2318063437</v>
      </c>
      <c r="B247" t="s">
        <v>1091</v>
      </c>
      <c r="C247">
        <v>350000</v>
      </c>
      <c r="D247" t="s">
        <v>1092</v>
      </c>
      <c r="E247" t="s">
        <v>1093</v>
      </c>
      <c r="F247">
        <v>7</v>
      </c>
      <c r="I247" t="str">
        <f>HYPERLINK("tel:+17143761212", "714-376-1212")</f>
        <v>714-376-1212</v>
      </c>
      <c r="J247" t="s">
        <v>1094</v>
      </c>
      <c r="K247" t="s">
        <v>158</v>
      </c>
      <c r="M247">
        <v>7143761212</v>
      </c>
    </row>
    <row r="248" spans="1:13" x14ac:dyDescent="0.25">
      <c r="A248">
        <v>2275943534</v>
      </c>
      <c r="B248" t="s">
        <v>1095</v>
      </c>
      <c r="C248">
        <v>459000</v>
      </c>
      <c r="D248" t="s">
        <v>1096</v>
      </c>
      <c r="E248" t="s">
        <v>1097</v>
      </c>
      <c r="F248">
        <v>7</v>
      </c>
      <c r="I248" t="str">
        <f>HYPERLINK("tel:+17144485968", "714-448-5968")</f>
        <v>714-448-5968</v>
      </c>
      <c r="J248" t="s">
        <v>1098</v>
      </c>
      <c r="K248" t="s">
        <v>1099</v>
      </c>
      <c r="M248">
        <v>7144485968</v>
      </c>
    </row>
    <row r="249" spans="1:13" x14ac:dyDescent="0.25">
      <c r="A249">
        <v>2688692830</v>
      </c>
      <c r="B249" t="s">
        <v>1100</v>
      </c>
      <c r="C249">
        <v>2995000</v>
      </c>
      <c r="D249" t="s">
        <v>1101</v>
      </c>
      <c r="E249" t="s">
        <v>1102</v>
      </c>
      <c r="F249">
        <v>7</v>
      </c>
      <c r="I249" t="str">
        <f>HYPERLINK("tel:+17144889029", "714-488-9029")</f>
        <v>714-488-9029</v>
      </c>
      <c r="J249" t="s">
        <v>1103</v>
      </c>
      <c r="K249" t="s">
        <v>306</v>
      </c>
      <c r="M249">
        <v>7144889029</v>
      </c>
    </row>
    <row r="250" spans="1:13" x14ac:dyDescent="0.25">
      <c r="A250">
        <v>1117999846</v>
      </c>
      <c r="B250" t="s">
        <v>1104</v>
      </c>
      <c r="C250">
        <v>899000</v>
      </c>
      <c r="D250" t="s">
        <v>1105</v>
      </c>
      <c r="E250" t="s">
        <v>1106</v>
      </c>
      <c r="F250">
        <v>7</v>
      </c>
      <c r="I250" t="str">
        <f>HYPERLINK("tel:+17145012732", "714-501-2732")</f>
        <v>714-501-2732</v>
      </c>
      <c r="J250" t="s">
        <v>1107</v>
      </c>
      <c r="K250" t="s">
        <v>450</v>
      </c>
      <c r="M250">
        <v>7145012732</v>
      </c>
    </row>
    <row r="251" spans="1:13" x14ac:dyDescent="0.25">
      <c r="A251">
        <v>2496249147</v>
      </c>
      <c r="B251" t="s">
        <v>1108</v>
      </c>
      <c r="C251">
        <v>579000</v>
      </c>
      <c r="D251" t="s">
        <v>1109</v>
      </c>
      <c r="E251" t="s">
        <v>1110</v>
      </c>
      <c r="F251">
        <v>7</v>
      </c>
      <c r="I251" t="str">
        <f>HYPERLINK("tel:+17145499774", "714-549-9774")</f>
        <v>714-549-9774</v>
      </c>
      <c r="J251" t="s">
        <v>1111</v>
      </c>
      <c r="K251" t="s">
        <v>1112</v>
      </c>
      <c r="M251">
        <v>7145499774</v>
      </c>
    </row>
    <row r="252" spans="1:13" x14ac:dyDescent="0.25">
      <c r="A252">
        <v>9141021183</v>
      </c>
      <c r="B252" t="s">
        <v>1113</v>
      </c>
      <c r="C252">
        <v>469995</v>
      </c>
      <c r="D252" t="s">
        <v>1114</v>
      </c>
      <c r="E252" t="s">
        <v>1115</v>
      </c>
      <c r="F252">
        <v>7</v>
      </c>
      <c r="I252" t="str">
        <f>HYPERLINK("tel:+17146032945", "714-603-2945")</f>
        <v>714-603-2945</v>
      </c>
      <c r="J252" t="s">
        <v>1116</v>
      </c>
      <c r="K252" t="s">
        <v>1117</v>
      </c>
      <c r="M252">
        <v>7146032945</v>
      </c>
    </row>
    <row r="253" spans="1:13" x14ac:dyDescent="0.25">
      <c r="A253">
        <v>2335701353</v>
      </c>
      <c r="B253" t="s">
        <v>1118</v>
      </c>
      <c r="C253">
        <v>468000</v>
      </c>
      <c r="D253" t="s">
        <v>1119</v>
      </c>
      <c r="E253" t="s">
        <v>1120</v>
      </c>
      <c r="F253">
        <v>7</v>
      </c>
      <c r="I253" t="str">
        <f>HYPERLINK("tel:+17146559715", "714-655-9715")</f>
        <v>714-655-9715</v>
      </c>
      <c r="J253" t="s">
        <v>1121</v>
      </c>
      <c r="K253" t="s">
        <v>82</v>
      </c>
      <c r="M253">
        <v>7146559715</v>
      </c>
    </row>
    <row r="254" spans="1:13" x14ac:dyDescent="0.25">
      <c r="A254">
        <v>2457789627</v>
      </c>
      <c r="B254" t="s">
        <v>1122</v>
      </c>
      <c r="C254">
        <v>415000</v>
      </c>
      <c r="D254" t="s">
        <v>1123</v>
      </c>
      <c r="E254" t="s">
        <v>1124</v>
      </c>
      <c r="F254">
        <v>7</v>
      </c>
      <c r="I254" t="str">
        <f>HYPERLINK("tel:+17148145212", "714-814-5212")</f>
        <v>714-814-5212</v>
      </c>
      <c r="J254" t="s">
        <v>1125</v>
      </c>
      <c r="K254" t="s">
        <v>306</v>
      </c>
      <c r="M254">
        <v>7148145212</v>
      </c>
    </row>
    <row r="255" spans="1:13" x14ac:dyDescent="0.25">
      <c r="A255">
        <v>2052730813</v>
      </c>
      <c r="B255" t="s">
        <v>1126</v>
      </c>
      <c r="C255">
        <v>2299000</v>
      </c>
      <c r="D255" t="s">
        <v>1127</v>
      </c>
      <c r="E255" t="s">
        <v>1128</v>
      </c>
      <c r="F255">
        <v>7</v>
      </c>
      <c r="I255" t="str">
        <f>HYPERLINK("tel:+18054034935", "805-403-4935")</f>
        <v>805-403-4935</v>
      </c>
      <c r="J255" t="s">
        <v>1129</v>
      </c>
      <c r="K255" t="s">
        <v>24</v>
      </c>
      <c r="M255">
        <v>8054034935</v>
      </c>
    </row>
    <row r="256" spans="1:13" x14ac:dyDescent="0.25">
      <c r="A256">
        <v>1031427913</v>
      </c>
      <c r="B256" t="s">
        <v>959</v>
      </c>
      <c r="C256">
        <v>2575000</v>
      </c>
      <c r="D256" t="s">
        <v>960</v>
      </c>
      <c r="E256" t="s">
        <v>1130</v>
      </c>
      <c r="F256">
        <v>7</v>
      </c>
      <c r="I256" t="str">
        <f>HYPERLINK("tel:+18059737470", "805-973-7470")</f>
        <v>805-973-7470</v>
      </c>
      <c r="J256" t="s">
        <v>1131</v>
      </c>
      <c r="K256" t="s">
        <v>963</v>
      </c>
      <c r="M256">
        <v>8059737470</v>
      </c>
    </row>
    <row r="257" spans="1:13" x14ac:dyDescent="0.25">
      <c r="A257">
        <v>9660057127</v>
      </c>
      <c r="B257" t="s">
        <v>730</v>
      </c>
      <c r="C257">
        <v>725000</v>
      </c>
      <c r="D257" t="s">
        <v>731</v>
      </c>
      <c r="E257" t="s">
        <v>1132</v>
      </c>
      <c r="F257">
        <v>7</v>
      </c>
      <c r="I257" t="str">
        <f>HYPERLINK("tel:+18182018506", "818-201-8506")</f>
        <v>818-201-8506</v>
      </c>
      <c r="J257" t="s">
        <v>1133</v>
      </c>
      <c r="K257" t="s">
        <v>583</v>
      </c>
      <c r="M257">
        <v>8182018506</v>
      </c>
    </row>
    <row r="258" spans="1:13" x14ac:dyDescent="0.25">
      <c r="A258">
        <v>2704985231</v>
      </c>
      <c r="B258" t="s">
        <v>1134</v>
      </c>
      <c r="C258">
        <v>2495000</v>
      </c>
      <c r="D258" t="s">
        <v>1135</v>
      </c>
      <c r="E258" t="s">
        <v>1136</v>
      </c>
      <c r="F258">
        <v>7</v>
      </c>
      <c r="I258" t="str">
        <f>HYPERLINK("tel:+18182942205", "818-294-2205")</f>
        <v>818-294-2205</v>
      </c>
      <c r="J258" t="s">
        <v>1137</v>
      </c>
      <c r="K258" t="s">
        <v>707</v>
      </c>
      <c r="M258">
        <v>8182942205</v>
      </c>
    </row>
    <row r="259" spans="1:13" x14ac:dyDescent="0.25">
      <c r="A259">
        <v>2174195041</v>
      </c>
      <c r="B259" t="s">
        <v>1138</v>
      </c>
      <c r="C259">
        <v>6250000</v>
      </c>
      <c r="D259" t="s">
        <v>1139</v>
      </c>
      <c r="E259" t="s">
        <v>1140</v>
      </c>
      <c r="F259">
        <v>7</v>
      </c>
      <c r="I259" t="str">
        <f>HYPERLINK("tel:+18184645819", "818-464-5819")</f>
        <v>818-464-5819</v>
      </c>
      <c r="J259" t="s">
        <v>1141</v>
      </c>
      <c r="K259" t="s">
        <v>87</v>
      </c>
      <c r="M259">
        <v>8184645819</v>
      </c>
    </row>
    <row r="260" spans="1:13" x14ac:dyDescent="0.25">
      <c r="A260">
        <v>2131361952</v>
      </c>
      <c r="B260" t="s">
        <v>1142</v>
      </c>
      <c r="C260">
        <v>1895000</v>
      </c>
      <c r="D260" t="s">
        <v>1143</v>
      </c>
      <c r="E260" t="s">
        <v>1144</v>
      </c>
      <c r="F260">
        <v>7</v>
      </c>
      <c r="I260" t="str">
        <f>HYPERLINK("tel:+18184811602", "818-481-1602")</f>
        <v>818-481-1602</v>
      </c>
      <c r="J260" t="s">
        <v>1145</v>
      </c>
      <c r="K260" t="s">
        <v>282</v>
      </c>
      <c r="M260">
        <v>8184811602</v>
      </c>
    </row>
    <row r="261" spans="1:13" x14ac:dyDescent="0.25">
      <c r="A261">
        <v>2628840333</v>
      </c>
      <c r="B261" t="s">
        <v>1146</v>
      </c>
      <c r="C261">
        <v>9995000</v>
      </c>
      <c r="D261" t="s">
        <v>1147</v>
      </c>
      <c r="E261" t="s">
        <v>1148</v>
      </c>
      <c r="F261">
        <v>7</v>
      </c>
      <c r="I261" t="str">
        <f>HYPERLINK("tel:+18186151606", "818-615-1606")</f>
        <v>818-615-1606</v>
      </c>
      <c r="J261" t="s">
        <v>1149</v>
      </c>
      <c r="K261" t="s">
        <v>1150</v>
      </c>
      <c r="M261">
        <v>8186151606</v>
      </c>
    </row>
    <row r="262" spans="1:13" x14ac:dyDescent="0.25">
      <c r="A262">
        <v>2045005390</v>
      </c>
      <c r="B262" t="s">
        <v>1151</v>
      </c>
      <c r="C262">
        <v>229900</v>
      </c>
      <c r="D262" t="s">
        <v>1152</v>
      </c>
      <c r="E262" t="s">
        <v>1153</v>
      </c>
      <c r="F262">
        <v>7</v>
      </c>
      <c r="I262" t="str">
        <f>HYPERLINK("tel:+18554303100", "855-430-3100")</f>
        <v>855-430-3100</v>
      </c>
      <c r="J262" t="s">
        <v>1154</v>
      </c>
      <c r="K262" t="s">
        <v>82</v>
      </c>
      <c r="M262">
        <v>8554303100</v>
      </c>
    </row>
    <row r="263" spans="1:13" x14ac:dyDescent="0.25">
      <c r="A263">
        <v>9252767235</v>
      </c>
      <c r="B263" t="s">
        <v>1155</v>
      </c>
      <c r="C263">
        <v>869990</v>
      </c>
      <c r="D263" t="s">
        <v>1156</v>
      </c>
      <c r="E263" t="s">
        <v>1157</v>
      </c>
      <c r="F263">
        <v>7</v>
      </c>
      <c r="I263" t="str">
        <f>HYPERLINK("tel:+18554584663", "855-458-4663")</f>
        <v>855-458-4663</v>
      </c>
      <c r="J263" t="s">
        <v>1158</v>
      </c>
      <c r="K263" t="s">
        <v>1159</v>
      </c>
      <c r="M263">
        <v>8554584663</v>
      </c>
    </row>
    <row r="264" spans="1:13" x14ac:dyDescent="0.25">
      <c r="A264">
        <v>1448875926</v>
      </c>
      <c r="B264" t="s">
        <v>1160</v>
      </c>
      <c r="C264">
        <v>998000</v>
      </c>
      <c r="D264" t="s">
        <v>1161</v>
      </c>
      <c r="E264" t="s">
        <v>1162</v>
      </c>
      <c r="F264">
        <v>7</v>
      </c>
      <c r="I264" t="str">
        <f>HYPERLINK("tel:+18584674727", "858-467-4727")</f>
        <v>858-467-4727</v>
      </c>
      <c r="J264" t="s">
        <v>1163</v>
      </c>
      <c r="K264" t="s">
        <v>1164</v>
      </c>
      <c r="M264">
        <v>8584674727</v>
      </c>
    </row>
    <row r="265" spans="1:13" x14ac:dyDescent="0.25">
      <c r="A265">
        <v>1034036529</v>
      </c>
      <c r="B265" t="s">
        <v>1165</v>
      </c>
      <c r="C265">
        <v>5000000</v>
      </c>
      <c r="D265" t="s">
        <v>1166</v>
      </c>
      <c r="E265" t="s">
        <v>1167</v>
      </c>
      <c r="F265">
        <v>7</v>
      </c>
      <c r="I265" t="str">
        <f>HYPERLINK("tel:+18664462624", "866-446-2624")</f>
        <v>866-446-2624</v>
      </c>
      <c r="J265" t="s">
        <v>1168</v>
      </c>
      <c r="K265" t="s">
        <v>1169</v>
      </c>
      <c r="M265">
        <v>8664462624</v>
      </c>
    </row>
    <row r="266" spans="1:13" x14ac:dyDescent="0.25">
      <c r="A266">
        <v>1241938850</v>
      </c>
      <c r="B266" t="s">
        <v>1170</v>
      </c>
      <c r="C266">
        <v>2175000</v>
      </c>
      <c r="D266" t="s">
        <v>1171</v>
      </c>
      <c r="E266" t="s">
        <v>1172</v>
      </c>
      <c r="F266">
        <v>7</v>
      </c>
      <c r="I266" t="str">
        <f>HYPERLINK("tel:+19093639171", "909-363-9171")</f>
        <v>909-363-9171</v>
      </c>
      <c r="J266" t="s">
        <v>1173</v>
      </c>
      <c r="K266" t="s">
        <v>1174</v>
      </c>
      <c r="M266">
        <v>9093639171</v>
      </c>
    </row>
    <row r="267" spans="1:13" x14ac:dyDescent="0.25">
      <c r="A267">
        <v>9034916136</v>
      </c>
      <c r="B267" t="s">
        <v>1175</v>
      </c>
      <c r="C267">
        <v>715000</v>
      </c>
      <c r="D267" t="s">
        <v>1176</v>
      </c>
      <c r="E267" t="s">
        <v>1177</v>
      </c>
      <c r="F267">
        <v>7</v>
      </c>
      <c r="I267" t="str">
        <f>HYPERLINK("tel:+19492027375", "949-202-7375")</f>
        <v>949-202-7375</v>
      </c>
      <c r="J267" t="s">
        <v>1178</v>
      </c>
      <c r="K267" t="s">
        <v>1179</v>
      </c>
      <c r="M267">
        <v>9492027375</v>
      </c>
    </row>
    <row r="268" spans="1:13" x14ac:dyDescent="0.25">
      <c r="A268">
        <v>1627085332</v>
      </c>
      <c r="B268" t="s">
        <v>1180</v>
      </c>
      <c r="C268">
        <v>2895000</v>
      </c>
      <c r="D268" t="s">
        <v>1181</v>
      </c>
      <c r="E268" t="s">
        <v>1182</v>
      </c>
      <c r="F268">
        <v>7</v>
      </c>
      <c r="I268" t="str">
        <f>HYPERLINK("tel:+19492056382", "949-205-6382")</f>
        <v>949-205-6382</v>
      </c>
      <c r="J268" t="s">
        <v>1183</v>
      </c>
      <c r="K268" t="s">
        <v>1184</v>
      </c>
      <c r="M268">
        <v>9492056382</v>
      </c>
    </row>
    <row r="269" spans="1:13" x14ac:dyDescent="0.25">
      <c r="A269">
        <v>2516423751</v>
      </c>
      <c r="B269" t="s">
        <v>1185</v>
      </c>
      <c r="C269">
        <v>1275000</v>
      </c>
      <c r="D269" t="s">
        <v>1186</v>
      </c>
      <c r="E269" t="s">
        <v>1187</v>
      </c>
      <c r="F269">
        <v>7</v>
      </c>
      <c r="I269" t="str">
        <f>HYPERLINK("tel:+19492335574", "949-233-5574")</f>
        <v>949-233-5574</v>
      </c>
      <c r="J269" t="s">
        <v>1188</v>
      </c>
      <c r="K269" t="s">
        <v>306</v>
      </c>
      <c r="M269">
        <v>9492335574</v>
      </c>
    </row>
    <row r="270" spans="1:13" x14ac:dyDescent="0.25">
      <c r="A270">
        <v>1223423821</v>
      </c>
      <c r="B270" t="s">
        <v>1189</v>
      </c>
      <c r="C270">
        <v>499000</v>
      </c>
      <c r="D270" t="s">
        <v>1190</v>
      </c>
      <c r="E270" t="s">
        <v>1191</v>
      </c>
      <c r="F270">
        <v>7</v>
      </c>
      <c r="I270" t="str">
        <f>HYPERLINK("tel:+19492905491", "949-290-5491")</f>
        <v>949-290-5491</v>
      </c>
      <c r="J270" t="s">
        <v>1192</v>
      </c>
      <c r="K270" t="s">
        <v>1193</v>
      </c>
      <c r="M270">
        <v>9492905491</v>
      </c>
    </row>
    <row r="271" spans="1:13" x14ac:dyDescent="0.25">
      <c r="A271">
        <v>1458383633</v>
      </c>
      <c r="B271" t="s">
        <v>1194</v>
      </c>
      <c r="C271">
        <v>1378500</v>
      </c>
      <c r="D271" t="s">
        <v>1195</v>
      </c>
      <c r="E271" t="s">
        <v>1196</v>
      </c>
      <c r="F271">
        <v>7</v>
      </c>
      <c r="I271" t="str">
        <f>HYPERLINK("tel:+19494122233", "949-412-2233")</f>
        <v>949-412-2233</v>
      </c>
      <c r="J271" t="s">
        <v>1197</v>
      </c>
      <c r="K271" t="s">
        <v>744</v>
      </c>
      <c r="M271">
        <v>9494122233</v>
      </c>
    </row>
    <row r="272" spans="1:13" x14ac:dyDescent="0.25">
      <c r="A272">
        <v>1823796741</v>
      </c>
      <c r="B272" t="s">
        <v>1198</v>
      </c>
      <c r="C272">
        <v>1395000</v>
      </c>
      <c r="D272" t="s">
        <v>1199</v>
      </c>
      <c r="E272" t="s">
        <v>1200</v>
      </c>
      <c r="F272">
        <v>7</v>
      </c>
      <c r="I272" t="str">
        <f>HYPERLINK("tel:+19494236111", "949-423-6111")</f>
        <v>949-423-6111</v>
      </c>
      <c r="J272" t="s">
        <v>1201</v>
      </c>
      <c r="K272" t="s">
        <v>100</v>
      </c>
      <c r="M272">
        <v>9494236111</v>
      </c>
    </row>
    <row r="273" spans="1:13" x14ac:dyDescent="0.25">
      <c r="A273">
        <v>9628071989</v>
      </c>
      <c r="B273" t="s">
        <v>1202</v>
      </c>
      <c r="C273">
        <v>999999</v>
      </c>
      <c r="D273" t="s">
        <v>1203</v>
      </c>
      <c r="E273" t="s">
        <v>1204</v>
      </c>
      <c r="F273">
        <v>7</v>
      </c>
      <c r="I273" t="str">
        <f>HYPERLINK("tel:+19494271101", "949-427-1101")</f>
        <v>949-427-1101</v>
      </c>
      <c r="J273" t="s">
        <v>1205</v>
      </c>
      <c r="K273" t="s">
        <v>450</v>
      </c>
      <c r="M273">
        <v>9494271101</v>
      </c>
    </row>
    <row r="274" spans="1:13" x14ac:dyDescent="0.25">
      <c r="A274">
        <v>1713057861</v>
      </c>
      <c r="B274" t="s">
        <v>1206</v>
      </c>
      <c r="C274">
        <v>21500000</v>
      </c>
      <c r="D274" t="s">
        <v>1207</v>
      </c>
      <c r="E274" t="s">
        <v>1208</v>
      </c>
      <c r="F274">
        <v>7</v>
      </c>
      <c r="I274" t="str">
        <f>HYPERLINK("tel:+19494384908", "949-438-4908")</f>
        <v>949-438-4908</v>
      </c>
      <c r="J274" t="s">
        <v>1209</v>
      </c>
      <c r="K274" t="s">
        <v>4</v>
      </c>
      <c r="M274">
        <v>9494384908</v>
      </c>
    </row>
    <row r="275" spans="1:13" x14ac:dyDescent="0.25">
      <c r="A275">
        <v>2207161643</v>
      </c>
      <c r="B275" t="s">
        <v>1210</v>
      </c>
      <c r="C275">
        <v>3800000</v>
      </c>
      <c r="D275" t="s">
        <v>1211</v>
      </c>
      <c r="E275" t="s">
        <v>1212</v>
      </c>
      <c r="F275">
        <v>7</v>
      </c>
      <c r="I275" t="str">
        <f>HYPERLINK("tel:+19494665661", "949-466-5661")</f>
        <v>949-466-5661</v>
      </c>
      <c r="J275" t="s">
        <v>1213</v>
      </c>
      <c r="K275" t="s">
        <v>168</v>
      </c>
      <c r="M275">
        <v>9494665661</v>
      </c>
    </row>
    <row r="276" spans="1:13" x14ac:dyDescent="0.25">
      <c r="A276">
        <v>2793807336</v>
      </c>
      <c r="B276" t="s">
        <v>1214</v>
      </c>
      <c r="C276">
        <v>1649000</v>
      </c>
      <c r="D276" t="s">
        <v>1215</v>
      </c>
      <c r="E276" t="s">
        <v>1216</v>
      </c>
      <c r="F276">
        <v>7</v>
      </c>
      <c r="I276" t="str">
        <f>HYPERLINK("tel:+19495252927", "949-525-2927")</f>
        <v>949-525-2927</v>
      </c>
      <c r="J276" t="s">
        <v>1217</v>
      </c>
      <c r="K276" t="s">
        <v>1090</v>
      </c>
      <c r="M276">
        <v>9495252927</v>
      </c>
    </row>
    <row r="277" spans="1:13" x14ac:dyDescent="0.25">
      <c r="A277">
        <v>2717361713</v>
      </c>
      <c r="B277" t="s">
        <v>1218</v>
      </c>
      <c r="C277">
        <v>5850000</v>
      </c>
      <c r="D277" t="s">
        <v>1219</v>
      </c>
      <c r="E277" t="s">
        <v>1220</v>
      </c>
      <c r="F277">
        <v>7</v>
      </c>
      <c r="I277" t="str">
        <f>HYPERLINK("tel:+19495337878", "949-533-7878")</f>
        <v>949-533-7878</v>
      </c>
      <c r="J277" t="s">
        <v>1221</v>
      </c>
      <c r="K277" t="s">
        <v>617</v>
      </c>
      <c r="M277">
        <v>9495337878</v>
      </c>
    </row>
    <row r="278" spans="1:13" x14ac:dyDescent="0.25">
      <c r="A278">
        <v>9815567127</v>
      </c>
      <c r="B278" t="s">
        <v>1222</v>
      </c>
      <c r="C278">
        <v>2380000</v>
      </c>
      <c r="D278" t="s">
        <v>1223</v>
      </c>
      <c r="E278" t="s">
        <v>1224</v>
      </c>
      <c r="F278">
        <v>7</v>
      </c>
      <c r="I278" t="str">
        <f>HYPERLINK("tel:+19495769766", "949-576-9766")</f>
        <v>949-576-9766</v>
      </c>
      <c r="J278" t="s">
        <v>1225</v>
      </c>
      <c r="K278" t="s">
        <v>917</v>
      </c>
      <c r="M278">
        <v>9495769766</v>
      </c>
    </row>
    <row r="279" spans="1:13" x14ac:dyDescent="0.25">
      <c r="A279">
        <v>1905577266</v>
      </c>
      <c r="B279" t="s">
        <v>1226</v>
      </c>
      <c r="C279">
        <v>4698000</v>
      </c>
      <c r="D279" t="s">
        <v>1227</v>
      </c>
      <c r="E279" t="s">
        <v>1228</v>
      </c>
      <c r="F279">
        <v>7</v>
      </c>
      <c r="I279" t="str">
        <f>HYPERLINK("tel:+19496333804", "949-633-3804")</f>
        <v>949-633-3804</v>
      </c>
      <c r="J279" t="s">
        <v>1229</v>
      </c>
      <c r="M279">
        <v>9496333804</v>
      </c>
    </row>
    <row r="280" spans="1:13" x14ac:dyDescent="0.25">
      <c r="A280">
        <v>2202062659</v>
      </c>
      <c r="B280" t="s">
        <v>1230</v>
      </c>
      <c r="C280">
        <v>7495000</v>
      </c>
      <c r="D280" t="s">
        <v>1231</v>
      </c>
      <c r="E280" t="s">
        <v>1232</v>
      </c>
      <c r="F280">
        <v>7</v>
      </c>
      <c r="I280" t="str">
        <f>HYPERLINK("tel:+19496905159", "949-690-5159")</f>
        <v>949-690-5159</v>
      </c>
      <c r="J280" t="s">
        <v>1233</v>
      </c>
      <c r="K280" t="s">
        <v>744</v>
      </c>
      <c r="M280">
        <v>9496905159</v>
      </c>
    </row>
    <row r="281" spans="1:13" x14ac:dyDescent="0.25">
      <c r="A281">
        <v>2351570288</v>
      </c>
      <c r="B281" t="s">
        <v>1234</v>
      </c>
      <c r="C281">
        <v>2690000</v>
      </c>
      <c r="D281" t="s">
        <v>1235</v>
      </c>
      <c r="E281" t="s">
        <v>1236</v>
      </c>
      <c r="F281">
        <v>7</v>
      </c>
      <c r="I281" t="str">
        <f>HYPERLINK("tel:+19496972232", "949-697-2232")</f>
        <v>949-697-2232</v>
      </c>
      <c r="J281" t="s">
        <v>1237</v>
      </c>
      <c r="K281" t="s">
        <v>1238</v>
      </c>
      <c r="M281">
        <v>9496972232</v>
      </c>
    </row>
    <row r="282" spans="1:13" x14ac:dyDescent="0.25">
      <c r="A282">
        <v>2816923441</v>
      </c>
      <c r="B282" t="s">
        <v>1239</v>
      </c>
      <c r="C282">
        <v>5000000</v>
      </c>
      <c r="D282" t="s">
        <v>1240</v>
      </c>
      <c r="E282" t="s">
        <v>1241</v>
      </c>
      <c r="F282">
        <v>7</v>
      </c>
      <c r="I282" t="str">
        <f>HYPERLINK("tel:+19497175200", "949-717-5200")</f>
        <v>949-717-5200</v>
      </c>
      <c r="J282" t="s">
        <v>1242</v>
      </c>
      <c r="K282" t="s">
        <v>1243</v>
      </c>
      <c r="M282">
        <v>9497175200</v>
      </c>
    </row>
    <row r="283" spans="1:13" x14ac:dyDescent="0.25">
      <c r="A283">
        <v>9669105599</v>
      </c>
      <c r="B283" t="s">
        <v>1244</v>
      </c>
      <c r="C283">
        <v>999900</v>
      </c>
      <c r="D283" t="s">
        <v>1245</v>
      </c>
      <c r="E283" t="s">
        <v>1246</v>
      </c>
      <c r="F283">
        <v>7</v>
      </c>
      <c r="I283" t="str">
        <f>HYPERLINK("tel:+19498297484", "949-829-7484")</f>
        <v>949-829-7484</v>
      </c>
      <c r="J283" t="s">
        <v>1247</v>
      </c>
      <c r="K283" t="s">
        <v>1248</v>
      </c>
      <c r="M283">
        <v>9498297484</v>
      </c>
    </row>
    <row r="284" spans="1:13" x14ac:dyDescent="0.25">
      <c r="A284">
        <v>2426050323</v>
      </c>
      <c r="B284" t="s">
        <v>1249</v>
      </c>
      <c r="C284">
        <v>987000</v>
      </c>
      <c r="D284" t="s">
        <v>1250</v>
      </c>
      <c r="E284" t="s">
        <v>1251</v>
      </c>
      <c r="F284">
        <v>7</v>
      </c>
      <c r="I284" t="str">
        <f>HYPERLINK("tel:+19499736914", "949-973-6914")</f>
        <v>949-973-6914</v>
      </c>
      <c r="J284" t="s">
        <v>1252</v>
      </c>
      <c r="K284" t="s">
        <v>1253</v>
      </c>
      <c r="M284">
        <v>9499736914</v>
      </c>
    </row>
    <row r="285" spans="1:13" x14ac:dyDescent="0.25">
      <c r="A285">
        <v>9539990708</v>
      </c>
      <c r="B285" t="s">
        <v>1254</v>
      </c>
      <c r="C285">
        <v>1890000</v>
      </c>
      <c r="D285" t="s">
        <v>1255</v>
      </c>
      <c r="E285" t="s">
        <v>1256</v>
      </c>
      <c r="F285">
        <v>7</v>
      </c>
      <c r="I285" t="str">
        <f>HYPERLINK("tel:+19499819836", "949-981-9836")</f>
        <v>949-981-9836</v>
      </c>
      <c r="J285" t="s">
        <v>1257</v>
      </c>
      <c r="K285" t="s">
        <v>1238</v>
      </c>
      <c r="M285">
        <v>9499819836</v>
      </c>
    </row>
    <row r="286" spans="1:13" x14ac:dyDescent="0.25">
      <c r="A286">
        <v>9627581432</v>
      </c>
      <c r="B286" t="s">
        <v>1258</v>
      </c>
      <c r="C286">
        <v>9950000</v>
      </c>
      <c r="D286" t="s">
        <v>1259</v>
      </c>
      <c r="E286" t="s">
        <v>1260</v>
      </c>
      <c r="F286">
        <v>6</v>
      </c>
      <c r="I286" t="str">
        <f>HYPERLINK("tel:+12132006957", "213-200-6957")</f>
        <v>213-200-6957</v>
      </c>
      <c r="J286" t="s">
        <v>1261</v>
      </c>
      <c r="K286" t="s">
        <v>1262</v>
      </c>
      <c r="M286">
        <v>2132006957</v>
      </c>
    </row>
    <row r="287" spans="1:13" x14ac:dyDescent="0.25">
      <c r="A287">
        <v>1491803693</v>
      </c>
      <c r="B287" t="s">
        <v>1263</v>
      </c>
      <c r="C287">
        <v>1775000</v>
      </c>
      <c r="D287" t="s">
        <v>1264</v>
      </c>
      <c r="E287" t="s">
        <v>1265</v>
      </c>
      <c r="F287">
        <v>6</v>
      </c>
      <c r="I287" t="str">
        <f>HYPERLINK("tel:+12132268700", "213-226-8700")</f>
        <v>213-226-8700</v>
      </c>
      <c r="J287" t="s">
        <v>1266</v>
      </c>
      <c r="K287" t="s">
        <v>1267</v>
      </c>
      <c r="M287">
        <v>2132268700</v>
      </c>
    </row>
    <row r="288" spans="1:13" x14ac:dyDescent="0.25">
      <c r="A288">
        <v>1823068330</v>
      </c>
      <c r="B288" t="s">
        <v>1268</v>
      </c>
      <c r="C288">
        <v>799999</v>
      </c>
      <c r="D288" t="s">
        <v>1269</v>
      </c>
      <c r="E288" t="s">
        <v>1270</v>
      </c>
      <c r="F288">
        <v>6</v>
      </c>
      <c r="I288" t="str">
        <f>HYPERLINK("tel:+12136101011", "213-610-1011")</f>
        <v>213-610-1011</v>
      </c>
      <c r="J288" t="s">
        <v>1271</v>
      </c>
      <c r="K288" t="s">
        <v>678</v>
      </c>
      <c r="M288">
        <v>2136101011</v>
      </c>
    </row>
    <row r="289" spans="1:13" x14ac:dyDescent="0.25">
      <c r="A289">
        <v>2872115983</v>
      </c>
      <c r="B289" t="s">
        <v>1272</v>
      </c>
      <c r="C289">
        <v>648000</v>
      </c>
      <c r="D289" t="s">
        <v>1273</v>
      </c>
      <c r="E289" t="s">
        <v>1274</v>
      </c>
      <c r="F289">
        <v>6</v>
      </c>
      <c r="I289" t="str">
        <f>HYPERLINK("tel:+12136170384", "213-617-0384")</f>
        <v>213-617-0384</v>
      </c>
      <c r="J289" t="s">
        <v>1275</v>
      </c>
      <c r="K289" t="s">
        <v>1276</v>
      </c>
      <c r="M289">
        <v>2136170384</v>
      </c>
    </row>
    <row r="290" spans="1:13" x14ac:dyDescent="0.25">
      <c r="A290">
        <v>1236003416</v>
      </c>
      <c r="B290" t="s">
        <v>1277</v>
      </c>
      <c r="C290">
        <v>2195000</v>
      </c>
      <c r="D290" t="s">
        <v>1278</v>
      </c>
      <c r="E290" t="s">
        <v>1279</v>
      </c>
      <c r="F290">
        <v>6</v>
      </c>
      <c r="I290" t="str">
        <f>HYPERLINK("tel:+13102075477", "310-207-5477")</f>
        <v>310-207-5477</v>
      </c>
      <c r="J290" t="s">
        <v>1280</v>
      </c>
      <c r="K290" t="s">
        <v>1281</v>
      </c>
      <c r="M290">
        <v>3102075477</v>
      </c>
    </row>
    <row r="291" spans="1:13" x14ac:dyDescent="0.25">
      <c r="A291">
        <v>2874895918</v>
      </c>
      <c r="B291" t="s">
        <v>1282</v>
      </c>
      <c r="C291">
        <v>5650000</v>
      </c>
      <c r="D291" t="s">
        <v>1283</v>
      </c>
      <c r="E291" t="s">
        <v>1284</v>
      </c>
      <c r="F291">
        <v>6</v>
      </c>
      <c r="I291" t="str">
        <f>HYPERLINK("tel:+13102288398", "310-228-8398")</f>
        <v>310-228-8398</v>
      </c>
      <c r="J291" t="s">
        <v>1285</v>
      </c>
      <c r="K291" t="s">
        <v>107</v>
      </c>
      <c r="M291">
        <v>3102288398</v>
      </c>
    </row>
    <row r="292" spans="1:13" x14ac:dyDescent="0.25">
      <c r="A292">
        <v>2703926561</v>
      </c>
      <c r="B292" t="s">
        <v>1286</v>
      </c>
      <c r="C292">
        <v>2299000</v>
      </c>
      <c r="D292" t="s">
        <v>1287</v>
      </c>
      <c r="E292" t="s">
        <v>1288</v>
      </c>
      <c r="F292">
        <v>6</v>
      </c>
      <c r="I292" t="str">
        <f>HYPERLINK("tel:+13102548124", "310-254-8124")</f>
        <v>310-254-8124</v>
      </c>
      <c r="J292" t="s">
        <v>1289</v>
      </c>
      <c r="K292" t="s">
        <v>9</v>
      </c>
      <c r="M292">
        <v>3102548124</v>
      </c>
    </row>
    <row r="293" spans="1:13" x14ac:dyDescent="0.25">
      <c r="A293">
        <v>1236003416</v>
      </c>
      <c r="B293" t="s">
        <v>1277</v>
      </c>
      <c r="C293">
        <v>2195000</v>
      </c>
      <c r="D293" t="s">
        <v>1278</v>
      </c>
      <c r="E293" t="s">
        <v>1290</v>
      </c>
      <c r="F293">
        <v>6</v>
      </c>
      <c r="I293" t="str">
        <f>HYPERLINK("tel:+13102797759", "310-279-7759")</f>
        <v>310-279-7759</v>
      </c>
      <c r="J293" t="s">
        <v>1291</v>
      </c>
      <c r="K293" t="s">
        <v>1281</v>
      </c>
      <c r="M293">
        <v>3102797759</v>
      </c>
    </row>
    <row r="294" spans="1:13" x14ac:dyDescent="0.25">
      <c r="A294">
        <v>1429522307</v>
      </c>
      <c r="B294" t="s">
        <v>1292</v>
      </c>
      <c r="C294">
        <v>1849000</v>
      </c>
      <c r="D294" t="s">
        <v>1293</v>
      </c>
      <c r="E294" t="s">
        <v>1294</v>
      </c>
      <c r="F294">
        <v>6</v>
      </c>
      <c r="I294" t="str">
        <f>HYPERLINK("tel:+13103003397", "310-300-3397")</f>
        <v>310-300-3397</v>
      </c>
      <c r="J294" t="s">
        <v>1295</v>
      </c>
      <c r="K294" t="s">
        <v>1296</v>
      </c>
      <c r="M294">
        <v>3103003397</v>
      </c>
    </row>
    <row r="295" spans="1:13" x14ac:dyDescent="0.25">
      <c r="A295">
        <v>2552688771</v>
      </c>
      <c r="B295" t="s">
        <v>1297</v>
      </c>
      <c r="C295">
        <v>899999</v>
      </c>
      <c r="D295" t="s">
        <v>1298</v>
      </c>
      <c r="E295" t="s">
        <v>1299</v>
      </c>
      <c r="F295">
        <v>6</v>
      </c>
      <c r="I295" t="str">
        <f>HYPERLINK("tel:+13103371200", "310-337-1200")</f>
        <v>310-337-1200</v>
      </c>
      <c r="J295" t="s">
        <v>1300</v>
      </c>
      <c r="K295" t="s">
        <v>1301</v>
      </c>
      <c r="M295">
        <v>3103371200</v>
      </c>
    </row>
    <row r="296" spans="1:13" x14ac:dyDescent="0.25">
      <c r="A296">
        <v>1417718449</v>
      </c>
      <c r="B296" t="s">
        <v>1302</v>
      </c>
      <c r="C296">
        <v>5750000</v>
      </c>
      <c r="D296" t="s">
        <v>1303</v>
      </c>
      <c r="E296" t="s">
        <v>1304</v>
      </c>
      <c r="F296">
        <v>6</v>
      </c>
      <c r="I296" t="str">
        <f>HYPERLINK("tel:+13103671680", "310-367-1680")</f>
        <v>310-367-1680</v>
      </c>
      <c r="J296" t="s">
        <v>1305</v>
      </c>
      <c r="K296" t="s">
        <v>351</v>
      </c>
      <c r="M296">
        <v>3103671680</v>
      </c>
    </row>
    <row r="297" spans="1:13" x14ac:dyDescent="0.25">
      <c r="A297">
        <v>1017103270</v>
      </c>
      <c r="B297" t="s">
        <v>1306</v>
      </c>
      <c r="C297">
        <v>2995000</v>
      </c>
      <c r="D297" t="s">
        <v>1307</v>
      </c>
      <c r="E297" t="s">
        <v>1308</v>
      </c>
      <c r="F297">
        <v>6</v>
      </c>
      <c r="I297" t="str">
        <f>HYPERLINK("tel:+13103741800", "310-374-1800")</f>
        <v>310-374-1800</v>
      </c>
      <c r="J297" t="s">
        <v>1309</v>
      </c>
      <c r="K297" t="s">
        <v>1310</v>
      </c>
      <c r="M297">
        <v>3103741800</v>
      </c>
    </row>
    <row r="298" spans="1:13" x14ac:dyDescent="0.25">
      <c r="A298">
        <v>1084166222</v>
      </c>
      <c r="B298" t="s">
        <v>1311</v>
      </c>
      <c r="C298">
        <v>4799999</v>
      </c>
      <c r="D298" t="s">
        <v>1312</v>
      </c>
      <c r="E298" t="s">
        <v>1313</v>
      </c>
      <c r="F298">
        <v>6</v>
      </c>
      <c r="I298" t="str">
        <f>HYPERLINK("tel:+13104096667", "310-409-6667")</f>
        <v>310-409-6667</v>
      </c>
      <c r="J298" t="s">
        <v>1314</v>
      </c>
      <c r="K298" t="s">
        <v>24</v>
      </c>
      <c r="M298">
        <v>3104096667</v>
      </c>
    </row>
    <row r="299" spans="1:13" x14ac:dyDescent="0.25">
      <c r="A299">
        <v>1180040028</v>
      </c>
      <c r="B299" t="s">
        <v>1315</v>
      </c>
      <c r="C299">
        <v>2485000</v>
      </c>
      <c r="D299" t="s">
        <v>1316</v>
      </c>
      <c r="E299" t="s">
        <v>1317</v>
      </c>
      <c r="F299">
        <v>6</v>
      </c>
      <c r="I299" t="str">
        <f>HYPERLINK("tel:+13104472213", "310-447-2213")</f>
        <v>310-447-2213</v>
      </c>
      <c r="J299" t="s">
        <v>1318</v>
      </c>
      <c r="K299" t="s">
        <v>173</v>
      </c>
      <c r="M299">
        <v>3104472213</v>
      </c>
    </row>
    <row r="300" spans="1:13" x14ac:dyDescent="0.25">
      <c r="A300">
        <v>2914375562</v>
      </c>
      <c r="B300" t="s">
        <v>1319</v>
      </c>
      <c r="C300">
        <v>6500000</v>
      </c>
      <c r="D300" t="s">
        <v>1320</v>
      </c>
      <c r="E300" t="s">
        <v>1321</v>
      </c>
      <c r="F300">
        <v>6</v>
      </c>
      <c r="I300" t="str">
        <f>HYPERLINK("tel:+13104641543", "310-464-1543")</f>
        <v>310-464-1543</v>
      </c>
      <c r="J300" t="s">
        <v>1322</v>
      </c>
      <c r="K300" t="s">
        <v>1323</v>
      </c>
      <c r="M300">
        <v>3104641543</v>
      </c>
    </row>
    <row r="301" spans="1:13" x14ac:dyDescent="0.25">
      <c r="A301">
        <v>1190203662</v>
      </c>
      <c r="B301" t="s">
        <v>1324</v>
      </c>
      <c r="C301">
        <v>16495000</v>
      </c>
      <c r="D301" t="s">
        <v>1325</v>
      </c>
      <c r="E301" t="s">
        <v>1326</v>
      </c>
      <c r="F301">
        <v>6</v>
      </c>
      <c r="I301" t="str">
        <f>HYPERLINK("tel:+13104660888", "310-466-0888")</f>
        <v>310-466-0888</v>
      </c>
      <c r="J301" t="s">
        <v>1327</v>
      </c>
      <c r="K301" t="s">
        <v>1328</v>
      </c>
      <c r="M301">
        <v>3104660888</v>
      </c>
    </row>
    <row r="302" spans="1:13" x14ac:dyDescent="0.25">
      <c r="A302">
        <v>1878293308</v>
      </c>
      <c r="B302" t="s">
        <v>1329</v>
      </c>
      <c r="C302">
        <v>1725000</v>
      </c>
      <c r="D302" t="s">
        <v>1330</v>
      </c>
      <c r="E302" t="s">
        <v>1331</v>
      </c>
      <c r="F302">
        <v>6</v>
      </c>
      <c r="I302" t="str">
        <f>HYPERLINK("tel:+13104741013", "310-474-1013")</f>
        <v>310-474-1013</v>
      </c>
      <c r="J302" t="s">
        <v>1332</v>
      </c>
      <c r="K302" t="s">
        <v>1333</v>
      </c>
      <c r="M302">
        <v>3104741013</v>
      </c>
    </row>
    <row r="303" spans="1:13" x14ac:dyDescent="0.25">
      <c r="A303">
        <v>1798059733</v>
      </c>
      <c r="B303" t="s">
        <v>1334</v>
      </c>
      <c r="C303">
        <v>14995000</v>
      </c>
      <c r="D303" t="s">
        <v>1335</v>
      </c>
      <c r="E303" t="s">
        <v>1336</v>
      </c>
      <c r="F303">
        <v>6</v>
      </c>
      <c r="I303" t="str">
        <f>HYPERLINK("tel:+13104882322", "310-488-2322")</f>
        <v>310-488-2322</v>
      </c>
      <c r="J303" t="s">
        <v>1337</v>
      </c>
      <c r="K303" t="s">
        <v>136</v>
      </c>
      <c r="M303">
        <v>3104882322</v>
      </c>
    </row>
    <row r="304" spans="1:13" x14ac:dyDescent="0.25">
      <c r="A304">
        <v>9153943579</v>
      </c>
      <c r="B304" t="s">
        <v>1338</v>
      </c>
      <c r="C304">
        <v>39000000</v>
      </c>
      <c r="D304" t="s">
        <v>1339</v>
      </c>
      <c r="E304" t="s">
        <v>1340</v>
      </c>
      <c r="F304">
        <v>6</v>
      </c>
      <c r="I304" t="str">
        <f>HYPERLINK("tel:+13104934141", "310-493-4141")</f>
        <v>310-493-4141</v>
      </c>
      <c r="J304" t="s">
        <v>1341</v>
      </c>
      <c r="K304" t="s">
        <v>24</v>
      </c>
      <c r="M304">
        <v>3104934141</v>
      </c>
    </row>
    <row r="305" spans="1:13" x14ac:dyDescent="0.25">
      <c r="A305">
        <v>9754832499</v>
      </c>
      <c r="B305" t="s">
        <v>1342</v>
      </c>
      <c r="C305">
        <v>5650000</v>
      </c>
      <c r="D305" t="s">
        <v>1343</v>
      </c>
      <c r="E305" t="s">
        <v>1344</v>
      </c>
      <c r="F305">
        <v>6</v>
      </c>
      <c r="I305" t="str">
        <f>HYPERLINK("tel:+13105250872", "310-525-0872")</f>
        <v>310-525-0872</v>
      </c>
      <c r="J305" t="s">
        <v>1345</v>
      </c>
      <c r="K305" t="s">
        <v>24</v>
      </c>
      <c r="M305">
        <v>3105250872</v>
      </c>
    </row>
    <row r="306" spans="1:13" x14ac:dyDescent="0.25">
      <c r="A306">
        <v>1491803693</v>
      </c>
      <c r="B306" t="s">
        <v>1263</v>
      </c>
      <c r="C306">
        <v>1775000</v>
      </c>
      <c r="D306" t="s">
        <v>1264</v>
      </c>
      <c r="E306" t="s">
        <v>1346</v>
      </c>
      <c r="F306">
        <v>6</v>
      </c>
      <c r="I306" t="str">
        <f>HYPERLINK("tel:+13105253741", "310-525-3741")</f>
        <v>310-525-3741</v>
      </c>
      <c r="J306" t="s">
        <v>1347</v>
      </c>
      <c r="K306" t="s">
        <v>1267</v>
      </c>
      <c r="M306">
        <v>3105253741</v>
      </c>
    </row>
    <row r="307" spans="1:13" x14ac:dyDescent="0.25">
      <c r="A307">
        <v>1874542590</v>
      </c>
      <c r="B307" t="s">
        <v>334</v>
      </c>
      <c r="C307">
        <v>27000000</v>
      </c>
      <c r="D307" t="s">
        <v>335</v>
      </c>
      <c r="E307" t="s">
        <v>1348</v>
      </c>
      <c r="F307">
        <v>6</v>
      </c>
      <c r="I307" t="str">
        <f>HYPERLINK("tel:+13105795887", "310-579-5887")</f>
        <v>310-579-5887</v>
      </c>
      <c r="J307" t="s">
        <v>1349</v>
      </c>
      <c r="K307" t="s">
        <v>24</v>
      </c>
      <c r="M307">
        <v>3105795887</v>
      </c>
    </row>
    <row r="308" spans="1:13" x14ac:dyDescent="0.25">
      <c r="A308">
        <v>1159629756</v>
      </c>
      <c r="B308" t="s">
        <v>1350</v>
      </c>
      <c r="C308">
        <v>2850000</v>
      </c>
      <c r="D308" t="s">
        <v>1351</v>
      </c>
      <c r="E308" t="s">
        <v>1352</v>
      </c>
      <c r="F308">
        <v>6</v>
      </c>
      <c r="I308" t="str">
        <f>HYPERLINK("tel:+13106000715", "310-600-0715")</f>
        <v>310-600-0715</v>
      </c>
      <c r="J308" t="s">
        <v>1353</v>
      </c>
      <c r="K308" t="s">
        <v>168</v>
      </c>
      <c r="M308">
        <v>3106000715</v>
      </c>
    </row>
    <row r="309" spans="1:13" x14ac:dyDescent="0.25">
      <c r="A309">
        <v>1181825033</v>
      </c>
      <c r="B309" t="s">
        <v>1354</v>
      </c>
      <c r="C309">
        <v>5495000</v>
      </c>
      <c r="D309" t="s">
        <v>1355</v>
      </c>
      <c r="E309" t="s">
        <v>1356</v>
      </c>
      <c r="F309">
        <v>6</v>
      </c>
      <c r="I309" t="str">
        <f>HYPERLINK("tel:+13106009119", "310-600-9119")</f>
        <v>310-600-9119</v>
      </c>
      <c r="J309" t="s">
        <v>1357</v>
      </c>
      <c r="K309" t="s">
        <v>409</v>
      </c>
      <c r="M309">
        <v>3106009119</v>
      </c>
    </row>
    <row r="310" spans="1:13" x14ac:dyDescent="0.25">
      <c r="A310">
        <v>1154844491</v>
      </c>
      <c r="B310" t="s">
        <v>1358</v>
      </c>
      <c r="C310">
        <v>3155000</v>
      </c>
      <c r="D310" t="s">
        <v>1359</v>
      </c>
      <c r="E310" t="s">
        <v>1360</v>
      </c>
      <c r="F310">
        <v>6</v>
      </c>
      <c r="I310" t="str">
        <f>HYPERLINK("tel:+13106220312", "310-622-0312")</f>
        <v>310-622-0312</v>
      </c>
      <c r="J310" t="s">
        <v>1361</v>
      </c>
      <c r="K310" t="s">
        <v>24</v>
      </c>
      <c r="M310">
        <v>3106220312</v>
      </c>
    </row>
    <row r="311" spans="1:13" x14ac:dyDescent="0.25">
      <c r="A311">
        <v>1725349508</v>
      </c>
      <c r="B311" t="s">
        <v>1362</v>
      </c>
      <c r="C311">
        <v>2299000</v>
      </c>
      <c r="D311" t="s">
        <v>1363</v>
      </c>
      <c r="E311" t="s">
        <v>1364</v>
      </c>
      <c r="F311">
        <v>6</v>
      </c>
      <c r="I311" t="str">
        <f>HYPERLINK("tel:+13106262096", "310-626-2096")</f>
        <v>310-626-2096</v>
      </c>
      <c r="J311" t="s">
        <v>1365</v>
      </c>
      <c r="K311" t="s">
        <v>14</v>
      </c>
      <c r="M311">
        <v>3106262096</v>
      </c>
    </row>
    <row r="312" spans="1:13" x14ac:dyDescent="0.25">
      <c r="A312">
        <v>1160210787</v>
      </c>
      <c r="B312" t="s">
        <v>1366</v>
      </c>
      <c r="C312">
        <v>2250000</v>
      </c>
      <c r="D312" t="s">
        <v>1367</v>
      </c>
      <c r="E312" t="s">
        <v>1368</v>
      </c>
      <c r="F312">
        <v>6</v>
      </c>
      <c r="I312" t="str">
        <f>HYPERLINK("tel:+13106995062", "310-699-5062")</f>
        <v>310-699-5062</v>
      </c>
      <c r="J312" t="s">
        <v>1369</v>
      </c>
      <c r="K312" t="s">
        <v>24</v>
      </c>
      <c r="M312">
        <v>3106995062</v>
      </c>
    </row>
    <row r="313" spans="1:13" x14ac:dyDescent="0.25">
      <c r="A313">
        <v>2900498110</v>
      </c>
      <c r="B313" t="s">
        <v>1370</v>
      </c>
      <c r="C313">
        <v>1540000</v>
      </c>
      <c r="D313" t="s">
        <v>1371</v>
      </c>
      <c r="E313" t="s">
        <v>1372</v>
      </c>
      <c r="F313">
        <v>6</v>
      </c>
      <c r="I313" t="str">
        <f>HYPERLINK("tel:+13107292470", "310-729-2470")</f>
        <v>310-729-2470</v>
      </c>
      <c r="J313" t="s">
        <v>1373</v>
      </c>
      <c r="K313" t="s">
        <v>1374</v>
      </c>
      <c r="M313">
        <v>3107292470</v>
      </c>
    </row>
    <row r="314" spans="1:13" x14ac:dyDescent="0.25">
      <c r="A314">
        <v>1971793557</v>
      </c>
      <c r="B314" t="s">
        <v>1375</v>
      </c>
      <c r="C314">
        <v>4595000</v>
      </c>
      <c r="D314" t="s">
        <v>1376</v>
      </c>
      <c r="E314" t="s">
        <v>1377</v>
      </c>
      <c r="F314">
        <v>6</v>
      </c>
      <c r="I314" t="str">
        <f>HYPERLINK("tel:+13107772879", "310-777-2879")</f>
        <v>310-777-2879</v>
      </c>
      <c r="J314" t="s">
        <v>1378</v>
      </c>
      <c r="K314" t="s">
        <v>635</v>
      </c>
      <c r="M314">
        <v>3107772879</v>
      </c>
    </row>
    <row r="315" spans="1:13" x14ac:dyDescent="0.25">
      <c r="A315">
        <v>2057106672</v>
      </c>
      <c r="B315" t="s">
        <v>1379</v>
      </c>
      <c r="C315">
        <v>6295000</v>
      </c>
      <c r="D315" t="s">
        <v>1380</v>
      </c>
      <c r="E315" t="s">
        <v>1381</v>
      </c>
      <c r="F315">
        <v>6</v>
      </c>
      <c r="I315" t="str">
        <f>HYPERLINK("tel:+13107799929", "310-779-9929")</f>
        <v>310-779-9929</v>
      </c>
      <c r="J315" t="s">
        <v>1382</v>
      </c>
      <c r="K315" t="s">
        <v>24</v>
      </c>
      <c r="M315">
        <v>3107799929</v>
      </c>
    </row>
    <row r="316" spans="1:13" x14ac:dyDescent="0.25">
      <c r="A316">
        <v>2597850018</v>
      </c>
      <c r="B316" t="s">
        <v>1383</v>
      </c>
      <c r="C316">
        <v>2499000</v>
      </c>
      <c r="D316" t="s">
        <v>1384</v>
      </c>
      <c r="E316" t="s">
        <v>1385</v>
      </c>
      <c r="F316">
        <v>6</v>
      </c>
      <c r="I316" t="str">
        <f>HYPERLINK("tel:+13107800214", "310-780-0214")</f>
        <v>310-780-0214</v>
      </c>
      <c r="J316" t="s">
        <v>1386</v>
      </c>
      <c r="K316" t="s">
        <v>24</v>
      </c>
      <c r="M316">
        <v>3107800214</v>
      </c>
    </row>
    <row r="317" spans="1:13" x14ac:dyDescent="0.25">
      <c r="A317">
        <v>2016953582</v>
      </c>
      <c r="B317" t="s">
        <v>1387</v>
      </c>
      <c r="C317">
        <v>3650000</v>
      </c>
      <c r="D317" t="s">
        <v>1388</v>
      </c>
      <c r="E317" t="s">
        <v>1389</v>
      </c>
      <c r="F317">
        <v>6</v>
      </c>
      <c r="I317" t="str">
        <f>HYPERLINK("tel:+13107801899", "310-780-1899")</f>
        <v>310-780-1899</v>
      </c>
      <c r="J317" t="s">
        <v>1390</v>
      </c>
      <c r="K317" t="s">
        <v>173</v>
      </c>
      <c r="M317">
        <v>3107801899</v>
      </c>
    </row>
    <row r="318" spans="1:13" x14ac:dyDescent="0.25">
      <c r="A318">
        <v>1763932354</v>
      </c>
      <c r="B318" t="s">
        <v>1391</v>
      </c>
      <c r="C318">
        <v>4099000</v>
      </c>
      <c r="D318" t="s">
        <v>1392</v>
      </c>
      <c r="E318" t="s">
        <v>1393</v>
      </c>
      <c r="F318">
        <v>6</v>
      </c>
      <c r="I318" t="str">
        <f>HYPERLINK("tel:+13108621761", "310-862-1761")</f>
        <v>310-862-1761</v>
      </c>
      <c r="J318" t="s">
        <v>1394</v>
      </c>
      <c r="K318" t="s">
        <v>450</v>
      </c>
      <c r="M318">
        <v>3108621761</v>
      </c>
    </row>
    <row r="319" spans="1:13" x14ac:dyDescent="0.25">
      <c r="A319">
        <v>2648062984</v>
      </c>
      <c r="B319" t="s">
        <v>1395</v>
      </c>
      <c r="C319">
        <v>1995000</v>
      </c>
      <c r="D319" t="s">
        <v>1396</v>
      </c>
      <c r="E319" t="s">
        <v>1397</v>
      </c>
      <c r="F319">
        <v>6</v>
      </c>
      <c r="I319" t="str">
        <f>HYPERLINK("tel:+13108670142", "310-867-0142")</f>
        <v>310-867-0142</v>
      </c>
      <c r="J319" t="s">
        <v>1398</v>
      </c>
      <c r="K319" t="s">
        <v>1399</v>
      </c>
      <c r="M319">
        <v>3108670142</v>
      </c>
    </row>
    <row r="320" spans="1:13" x14ac:dyDescent="0.25">
      <c r="A320">
        <v>2960063607</v>
      </c>
      <c r="B320" t="s">
        <v>1400</v>
      </c>
      <c r="C320">
        <v>1929999</v>
      </c>
      <c r="D320" t="s">
        <v>1401</v>
      </c>
      <c r="E320" t="s">
        <v>1402</v>
      </c>
      <c r="F320">
        <v>6</v>
      </c>
      <c r="I320" t="str">
        <f>HYPERLINK("tel:+13108726664", "310-872-6664")</f>
        <v>310-872-6664</v>
      </c>
      <c r="J320" t="s">
        <v>1403</v>
      </c>
      <c r="K320" t="s">
        <v>1404</v>
      </c>
      <c r="M320">
        <v>3108726664</v>
      </c>
    </row>
    <row r="321" spans="1:13" x14ac:dyDescent="0.25">
      <c r="A321">
        <v>9227601212</v>
      </c>
      <c r="B321" t="s">
        <v>1020</v>
      </c>
      <c r="C321">
        <v>939099</v>
      </c>
      <c r="D321" t="s">
        <v>1021</v>
      </c>
      <c r="E321" t="s">
        <v>1405</v>
      </c>
      <c r="F321">
        <v>6</v>
      </c>
      <c r="I321" t="str">
        <f>HYPERLINK("tel:+13108728371", "310-872-8371")</f>
        <v>310-872-8371</v>
      </c>
      <c r="J321" t="s">
        <v>1406</v>
      </c>
      <c r="K321" t="s">
        <v>1407</v>
      </c>
      <c r="M321">
        <v>3108728371</v>
      </c>
    </row>
    <row r="322" spans="1:13" x14ac:dyDescent="0.25">
      <c r="A322">
        <v>9806617369</v>
      </c>
      <c r="B322" t="s">
        <v>1408</v>
      </c>
      <c r="C322">
        <v>70000</v>
      </c>
      <c r="D322" t="s">
        <v>1409</v>
      </c>
      <c r="E322" t="s">
        <v>1410</v>
      </c>
      <c r="F322">
        <v>6</v>
      </c>
      <c r="I322" t="str">
        <f>HYPERLINK("tel:+13108745693", "310-874-5693")</f>
        <v>310-874-5693</v>
      </c>
      <c r="J322" t="s">
        <v>1411</v>
      </c>
      <c r="K322" t="s">
        <v>1412</v>
      </c>
      <c r="M322">
        <v>3108745693</v>
      </c>
    </row>
    <row r="323" spans="1:13" x14ac:dyDescent="0.25">
      <c r="A323">
        <v>1420220342</v>
      </c>
      <c r="B323" t="s">
        <v>1413</v>
      </c>
      <c r="C323">
        <v>849000</v>
      </c>
      <c r="D323" t="s">
        <v>1414</v>
      </c>
      <c r="E323" t="s">
        <v>1415</v>
      </c>
      <c r="F323">
        <v>6</v>
      </c>
      <c r="I323" t="str">
        <f>HYPERLINK("tel:+13109020616", "310-902-0616")</f>
        <v>310-902-0616</v>
      </c>
      <c r="J323" t="s">
        <v>1416</v>
      </c>
      <c r="K323" t="s">
        <v>1417</v>
      </c>
      <c r="M323">
        <v>3109020616</v>
      </c>
    </row>
    <row r="324" spans="1:13" x14ac:dyDescent="0.25">
      <c r="A324">
        <v>1588918036</v>
      </c>
      <c r="B324" t="s">
        <v>1418</v>
      </c>
      <c r="C324">
        <v>1795000</v>
      </c>
      <c r="D324" t="s">
        <v>1419</v>
      </c>
      <c r="E324" t="s">
        <v>1420</v>
      </c>
      <c r="F324">
        <v>6</v>
      </c>
      <c r="I324" t="str">
        <f>HYPERLINK("tel:+13109684557", "310-968-4557")</f>
        <v>310-968-4557</v>
      </c>
      <c r="J324" t="s">
        <v>1421</v>
      </c>
      <c r="K324" t="s">
        <v>58</v>
      </c>
      <c r="M324">
        <v>3109684557</v>
      </c>
    </row>
    <row r="325" spans="1:13" x14ac:dyDescent="0.25">
      <c r="A325">
        <v>1274356368</v>
      </c>
      <c r="B325" t="s">
        <v>1422</v>
      </c>
      <c r="C325">
        <v>1049000</v>
      </c>
      <c r="D325" t="s">
        <v>1423</v>
      </c>
      <c r="E325" t="s">
        <v>1424</v>
      </c>
      <c r="F325">
        <v>6</v>
      </c>
      <c r="I325" t="str">
        <f>HYPERLINK("tel:+13232518626", "323-251-8626")</f>
        <v>323-251-8626</v>
      </c>
      <c r="J325" t="s">
        <v>1425</v>
      </c>
      <c r="K325" t="s">
        <v>24</v>
      </c>
      <c r="M325">
        <v>3232518626</v>
      </c>
    </row>
    <row r="326" spans="1:13" x14ac:dyDescent="0.25">
      <c r="A326">
        <v>1917581761</v>
      </c>
      <c r="B326" t="s">
        <v>1426</v>
      </c>
      <c r="C326">
        <v>1099950</v>
      </c>
      <c r="D326" t="s">
        <v>1427</v>
      </c>
      <c r="E326" t="s">
        <v>1428</v>
      </c>
      <c r="F326">
        <v>6</v>
      </c>
      <c r="I326" t="str">
        <f>HYPERLINK("tel:+13233526021", "323-352-6021")</f>
        <v>323-352-6021</v>
      </c>
      <c r="J326" t="s">
        <v>1429</v>
      </c>
      <c r="K326" t="s">
        <v>34</v>
      </c>
      <c r="M326">
        <v>3233526021</v>
      </c>
    </row>
    <row r="327" spans="1:13" x14ac:dyDescent="0.25">
      <c r="A327">
        <v>2379524055</v>
      </c>
      <c r="B327" t="s">
        <v>1430</v>
      </c>
      <c r="C327">
        <v>6300000</v>
      </c>
      <c r="D327" t="s">
        <v>1431</v>
      </c>
      <c r="E327" t="s">
        <v>1432</v>
      </c>
      <c r="F327">
        <v>6</v>
      </c>
      <c r="I327" t="str">
        <f>HYPERLINK("tel:+13235598865", "323-559-8865")</f>
        <v>323-559-8865</v>
      </c>
      <c r="J327" t="s">
        <v>1433</v>
      </c>
      <c r="K327" t="s">
        <v>24</v>
      </c>
      <c r="M327">
        <v>3235598865</v>
      </c>
    </row>
    <row r="328" spans="1:13" x14ac:dyDescent="0.25">
      <c r="A328">
        <v>1642749806</v>
      </c>
      <c r="B328" t="s">
        <v>1434</v>
      </c>
      <c r="C328">
        <v>3495000</v>
      </c>
      <c r="D328" t="s">
        <v>1435</v>
      </c>
      <c r="E328" t="s">
        <v>1436</v>
      </c>
      <c r="F328">
        <v>6</v>
      </c>
      <c r="I328" t="str">
        <f>HYPERLINK("tel:+13236466569", "323-646-6569")</f>
        <v>323-646-6569</v>
      </c>
      <c r="J328" t="s">
        <v>1437</v>
      </c>
      <c r="K328" t="s">
        <v>622</v>
      </c>
      <c r="M328">
        <v>3236466569</v>
      </c>
    </row>
    <row r="329" spans="1:13" x14ac:dyDescent="0.25">
      <c r="A329">
        <v>1393793714</v>
      </c>
      <c r="B329" t="s">
        <v>1438</v>
      </c>
      <c r="C329">
        <v>2495000</v>
      </c>
      <c r="D329" t="s">
        <v>1439</v>
      </c>
      <c r="E329" t="s">
        <v>1440</v>
      </c>
      <c r="F329">
        <v>6</v>
      </c>
      <c r="I329" t="str">
        <f>HYPERLINK("tel:+13236711249", "323-671-1249")</f>
        <v>323-671-1249</v>
      </c>
      <c r="J329" t="s">
        <v>1441</v>
      </c>
      <c r="K329" t="s">
        <v>431</v>
      </c>
      <c r="M329">
        <v>3236711249</v>
      </c>
    </row>
    <row r="330" spans="1:13" x14ac:dyDescent="0.25">
      <c r="A330">
        <v>2825494608</v>
      </c>
      <c r="B330" t="s">
        <v>1442</v>
      </c>
      <c r="C330">
        <v>4295000</v>
      </c>
      <c r="D330" t="s">
        <v>1443</v>
      </c>
      <c r="E330" t="s">
        <v>1444</v>
      </c>
      <c r="F330">
        <v>6</v>
      </c>
      <c r="I330" t="str">
        <f>HYPERLINK("tel:+13238283800", "323-828-3800")</f>
        <v>323-828-3800</v>
      </c>
      <c r="J330" t="s">
        <v>1445</v>
      </c>
      <c r="K330" t="s">
        <v>622</v>
      </c>
      <c r="M330">
        <v>3238283800</v>
      </c>
    </row>
    <row r="331" spans="1:13" x14ac:dyDescent="0.25">
      <c r="A331">
        <v>2110003583</v>
      </c>
      <c r="B331" t="s">
        <v>1446</v>
      </c>
      <c r="C331">
        <v>1699000</v>
      </c>
      <c r="D331" t="s">
        <v>1447</v>
      </c>
      <c r="E331" t="s">
        <v>1448</v>
      </c>
      <c r="F331">
        <v>6</v>
      </c>
      <c r="I331" t="str">
        <f>HYPERLINK("tel:+13238521372", "323-852-1372")</f>
        <v>323-852-1372</v>
      </c>
      <c r="J331" t="s">
        <v>1449</v>
      </c>
      <c r="K331" t="s">
        <v>1450</v>
      </c>
      <c r="M331">
        <v>3238521372</v>
      </c>
    </row>
    <row r="332" spans="1:13" x14ac:dyDescent="0.25">
      <c r="A332">
        <v>9762977123</v>
      </c>
      <c r="B332" t="s">
        <v>1451</v>
      </c>
      <c r="C332">
        <v>3695000</v>
      </c>
      <c r="D332" t="s">
        <v>1452</v>
      </c>
      <c r="E332" t="s">
        <v>1453</v>
      </c>
      <c r="F332">
        <v>6</v>
      </c>
      <c r="I332" t="str">
        <f>HYPERLINK("tel:+13238982953", "323-898-2953")</f>
        <v>323-898-2953</v>
      </c>
      <c r="J332" t="s">
        <v>1454</v>
      </c>
      <c r="K332" t="s">
        <v>1455</v>
      </c>
      <c r="M332">
        <v>3238982953</v>
      </c>
    </row>
    <row r="333" spans="1:13" x14ac:dyDescent="0.25">
      <c r="A333">
        <v>1374838648</v>
      </c>
      <c r="B333" t="s">
        <v>1456</v>
      </c>
      <c r="C333">
        <v>3150000</v>
      </c>
      <c r="D333" t="s">
        <v>1457</v>
      </c>
      <c r="E333" t="s">
        <v>1458</v>
      </c>
      <c r="F333">
        <v>6</v>
      </c>
      <c r="I333" t="str">
        <f>HYPERLINK("tel:+14242395903", "424-239-5903")</f>
        <v>424-239-5903</v>
      </c>
      <c r="J333" t="s">
        <v>1459</v>
      </c>
      <c r="K333" t="s">
        <v>1460</v>
      </c>
      <c r="M333">
        <v>4242395903</v>
      </c>
    </row>
    <row r="334" spans="1:13" x14ac:dyDescent="0.25">
      <c r="A334">
        <v>9484084133</v>
      </c>
      <c r="B334" t="s">
        <v>1461</v>
      </c>
      <c r="C334">
        <v>2999999</v>
      </c>
      <c r="D334" t="s">
        <v>1462</v>
      </c>
      <c r="E334" t="s">
        <v>1463</v>
      </c>
      <c r="F334">
        <v>6</v>
      </c>
      <c r="I334" t="str">
        <f>HYPERLINK("tel:+14242786953", "424-278-6953")</f>
        <v>424-278-6953</v>
      </c>
      <c r="J334" t="s">
        <v>1464</v>
      </c>
      <c r="K334" t="s">
        <v>1465</v>
      </c>
      <c r="M334">
        <v>4242786953</v>
      </c>
    </row>
    <row r="335" spans="1:13" x14ac:dyDescent="0.25">
      <c r="A335">
        <v>9264456392</v>
      </c>
      <c r="B335" t="s">
        <v>1466</v>
      </c>
      <c r="C335">
        <v>789990</v>
      </c>
      <c r="D335" t="s">
        <v>1467</v>
      </c>
      <c r="E335" t="s">
        <v>1468</v>
      </c>
      <c r="F335">
        <v>6</v>
      </c>
      <c r="I335" t="str">
        <f>HYPERLINK("tel:+15046329281", "504-632-9281")</f>
        <v>504-632-9281</v>
      </c>
      <c r="J335" t="s">
        <v>1469</v>
      </c>
      <c r="K335" t="s">
        <v>1470</v>
      </c>
      <c r="M335">
        <v>5046329281</v>
      </c>
    </row>
    <row r="336" spans="1:13" x14ac:dyDescent="0.25">
      <c r="A336">
        <v>9957196697</v>
      </c>
      <c r="B336" t="s">
        <v>486</v>
      </c>
      <c r="C336">
        <v>345000</v>
      </c>
      <c r="D336" t="s">
        <v>487</v>
      </c>
      <c r="E336" t="s">
        <v>1471</v>
      </c>
      <c r="F336">
        <v>6</v>
      </c>
      <c r="I336" t="str">
        <f>HYPERLINK("tel:+15622968712", "562-296-8712")</f>
        <v>562-296-8712</v>
      </c>
      <c r="J336" t="s">
        <v>1472</v>
      </c>
      <c r="K336" t="s">
        <v>490</v>
      </c>
      <c r="M336">
        <v>5622968712</v>
      </c>
    </row>
    <row r="337" spans="1:13" x14ac:dyDescent="0.25">
      <c r="A337">
        <v>1286500511</v>
      </c>
      <c r="B337" t="s">
        <v>1473</v>
      </c>
      <c r="C337">
        <v>1674000</v>
      </c>
      <c r="D337" t="s">
        <v>1474</v>
      </c>
      <c r="E337" t="s">
        <v>1475</v>
      </c>
      <c r="F337">
        <v>6</v>
      </c>
      <c r="I337" t="str">
        <f>HYPERLINK("tel:+15625061586", "562-506-1586")</f>
        <v>562-506-1586</v>
      </c>
      <c r="J337" t="s">
        <v>1476</v>
      </c>
      <c r="K337" t="s">
        <v>158</v>
      </c>
      <c r="M337">
        <v>5625061586</v>
      </c>
    </row>
    <row r="338" spans="1:13" x14ac:dyDescent="0.25">
      <c r="A338">
        <v>1257292419</v>
      </c>
      <c r="B338" t="s">
        <v>1477</v>
      </c>
      <c r="C338">
        <v>2199000</v>
      </c>
      <c r="D338" t="s">
        <v>1478</v>
      </c>
      <c r="E338" t="s">
        <v>1479</v>
      </c>
      <c r="F338">
        <v>6</v>
      </c>
      <c r="I338" t="str">
        <f>HYPERLINK("tel:+15627256458", "562-725-6458")</f>
        <v>562-725-6458</v>
      </c>
      <c r="J338" t="s">
        <v>1480</v>
      </c>
      <c r="K338" t="s">
        <v>136</v>
      </c>
      <c r="M338">
        <v>5627256458</v>
      </c>
    </row>
    <row r="339" spans="1:13" x14ac:dyDescent="0.25">
      <c r="A339">
        <v>9455218089</v>
      </c>
      <c r="B339" t="s">
        <v>1481</v>
      </c>
      <c r="C339">
        <v>90000</v>
      </c>
      <c r="D339" t="s">
        <v>1482</v>
      </c>
      <c r="E339" t="s">
        <v>1483</v>
      </c>
      <c r="F339">
        <v>6</v>
      </c>
      <c r="I339" t="str">
        <f>HYPERLINK("tel:+16572960414", "657-296-0414")</f>
        <v>657-296-0414</v>
      </c>
      <c r="J339" t="s">
        <v>1484</v>
      </c>
      <c r="K339" t="s">
        <v>158</v>
      </c>
      <c r="M339">
        <v>6572960414</v>
      </c>
    </row>
    <row r="340" spans="1:13" x14ac:dyDescent="0.25">
      <c r="A340">
        <v>9400583530</v>
      </c>
      <c r="B340" t="s">
        <v>1485</v>
      </c>
      <c r="C340">
        <v>1988000</v>
      </c>
      <c r="D340" t="s">
        <v>1486</v>
      </c>
      <c r="E340" t="s">
        <v>1487</v>
      </c>
      <c r="F340">
        <v>6</v>
      </c>
      <c r="I340" t="str">
        <f>HYPERLINK("tel:+17143080986", "714-308-0986")</f>
        <v>714-308-0986</v>
      </c>
      <c r="J340" t="s">
        <v>1488</v>
      </c>
      <c r="K340" t="s">
        <v>24</v>
      </c>
      <c r="M340">
        <v>7143080986</v>
      </c>
    </row>
    <row r="341" spans="1:13" x14ac:dyDescent="0.25">
      <c r="A341">
        <v>1298167654</v>
      </c>
      <c r="B341" t="s">
        <v>1489</v>
      </c>
      <c r="C341">
        <v>1925000</v>
      </c>
      <c r="D341" t="s">
        <v>1490</v>
      </c>
      <c r="E341" t="s">
        <v>1491</v>
      </c>
      <c r="F341">
        <v>6</v>
      </c>
      <c r="I341" t="str">
        <f>HYPERLINK("tel:+17143191441", "714-319-1441")</f>
        <v>714-319-1441</v>
      </c>
      <c r="J341" t="s">
        <v>1492</v>
      </c>
      <c r="K341" t="s">
        <v>1493</v>
      </c>
      <c r="M341">
        <v>7143191441</v>
      </c>
    </row>
    <row r="342" spans="1:13" x14ac:dyDescent="0.25">
      <c r="A342">
        <v>9896325428</v>
      </c>
      <c r="B342" t="s">
        <v>1086</v>
      </c>
      <c r="C342">
        <v>755000</v>
      </c>
      <c r="D342" t="s">
        <v>1087</v>
      </c>
      <c r="E342" t="s">
        <v>1494</v>
      </c>
      <c r="F342">
        <v>6</v>
      </c>
      <c r="I342" t="str">
        <f>HYPERLINK("tel:+17143341407", "714-334-1407")</f>
        <v>714-334-1407</v>
      </c>
      <c r="J342" t="s">
        <v>1495</v>
      </c>
      <c r="K342" t="s">
        <v>1496</v>
      </c>
      <c r="M342">
        <v>7143341407</v>
      </c>
    </row>
    <row r="343" spans="1:13" x14ac:dyDescent="0.25">
      <c r="A343">
        <v>1780942804</v>
      </c>
      <c r="B343" t="s">
        <v>1497</v>
      </c>
      <c r="C343">
        <v>1640000</v>
      </c>
      <c r="D343" t="s">
        <v>1498</v>
      </c>
      <c r="E343" t="s">
        <v>1499</v>
      </c>
      <c r="F343">
        <v>6</v>
      </c>
      <c r="I343" t="str">
        <f>HYPERLINK("tel:+17143365222", "714-336-5222")</f>
        <v>714-336-5222</v>
      </c>
      <c r="J343" t="s">
        <v>1500</v>
      </c>
      <c r="K343" t="s">
        <v>1501</v>
      </c>
      <c r="M343">
        <v>7143365222</v>
      </c>
    </row>
    <row r="344" spans="1:13" x14ac:dyDescent="0.25">
      <c r="A344">
        <v>2141625705</v>
      </c>
      <c r="B344" t="s">
        <v>1502</v>
      </c>
      <c r="C344">
        <v>1425000</v>
      </c>
      <c r="D344" t="s">
        <v>1503</v>
      </c>
      <c r="E344" t="s">
        <v>1504</v>
      </c>
      <c r="F344">
        <v>6</v>
      </c>
      <c r="I344" t="str">
        <f>HYPERLINK("tel:+17144660471", "714-466-0471")</f>
        <v>714-466-0471</v>
      </c>
      <c r="J344" t="s">
        <v>1505</v>
      </c>
      <c r="K344" t="s">
        <v>1506</v>
      </c>
      <c r="M344">
        <v>7144660471</v>
      </c>
    </row>
    <row r="345" spans="1:13" x14ac:dyDescent="0.25">
      <c r="A345">
        <v>2878711871</v>
      </c>
      <c r="B345" t="s">
        <v>1507</v>
      </c>
      <c r="C345">
        <v>5500000</v>
      </c>
      <c r="D345" t="s">
        <v>1508</v>
      </c>
      <c r="E345" t="s">
        <v>1509</v>
      </c>
      <c r="F345">
        <v>6</v>
      </c>
      <c r="I345" t="str">
        <f>HYPERLINK("tel:+17144968852", "714-496-8852")</f>
        <v>714-496-8852</v>
      </c>
      <c r="J345" t="s">
        <v>1510</v>
      </c>
      <c r="K345" t="s">
        <v>158</v>
      </c>
      <c r="M345">
        <v>7144968852</v>
      </c>
    </row>
    <row r="346" spans="1:13" x14ac:dyDescent="0.25">
      <c r="A346">
        <v>1674619952</v>
      </c>
      <c r="B346" t="s">
        <v>1511</v>
      </c>
      <c r="C346">
        <v>3900000</v>
      </c>
      <c r="D346" t="s">
        <v>1512</v>
      </c>
      <c r="E346" t="s">
        <v>1513</v>
      </c>
      <c r="F346">
        <v>6</v>
      </c>
      <c r="I346" t="str">
        <f>HYPERLINK("tel:+17148331730", "714-833-1730")</f>
        <v>714-833-1730</v>
      </c>
      <c r="J346" t="s">
        <v>1514</v>
      </c>
      <c r="K346" t="s">
        <v>1515</v>
      </c>
      <c r="M346">
        <v>7148331730</v>
      </c>
    </row>
    <row r="347" spans="1:13" x14ac:dyDescent="0.25">
      <c r="A347">
        <v>9096293814</v>
      </c>
      <c r="B347" t="s">
        <v>1516</v>
      </c>
      <c r="C347">
        <v>389000</v>
      </c>
      <c r="D347" t="s">
        <v>1517</v>
      </c>
      <c r="E347" t="s">
        <v>1518</v>
      </c>
      <c r="F347">
        <v>6</v>
      </c>
      <c r="I347" t="str">
        <f>HYPERLINK("tel:+17148423159", "714-842-3159")</f>
        <v>714-842-3159</v>
      </c>
      <c r="J347" t="s">
        <v>1519</v>
      </c>
      <c r="K347" t="s">
        <v>1520</v>
      </c>
      <c r="M347">
        <v>7148423159</v>
      </c>
    </row>
    <row r="348" spans="1:13" x14ac:dyDescent="0.25">
      <c r="A348">
        <v>1673295100</v>
      </c>
      <c r="B348" t="s">
        <v>1521</v>
      </c>
      <c r="C348">
        <v>3495000</v>
      </c>
      <c r="D348" t="s">
        <v>1522</v>
      </c>
      <c r="E348" t="s">
        <v>1523</v>
      </c>
      <c r="F348">
        <v>6</v>
      </c>
      <c r="I348" t="str">
        <f>HYPERLINK("tel:+17149285519", "714-928-5519")</f>
        <v>714-928-5519</v>
      </c>
      <c r="J348" t="s">
        <v>1524</v>
      </c>
      <c r="K348" t="s">
        <v>53</v>
      </c>
      <c r="M348">
        <v>7149285519</v>
      </c>
    </row>
    <row r="349" spans="1:13" x14ac:dyDescent="0.25">
      <c r="A349">
        <v>2859224932</v>
      </c>
      <c r="B349" t="s">
        <v>1525</v>
      </c>
      <c r="C349">
        <v>1850000</v>
      </c>
      <c r="D349" t="s">
        <v>1526</v>
      </c>
      <c r="E349" t="s">
        <v>1527</v>
      </c>
      <c r="F349">
        <v>6</v>
      </c>
      <c r="I349" t="str">
        <f>HYPERLINK("tel:+17149443300", "714-944-3300")</f>
        <v>714-944-3300</v>
      </c>
      <c r="J349" t="s">
        <v>1528</v>
      </c>
      <c r="K349" t="s">
        <v>744</v>
      </c>
      <c r="M349">
        <v>7149443300</v>
      </c>
    </row>
    <row r="350" spans="1:13" x14ac:dyDescent="0.25">
      <c r="A350">
        <v>2436260520</v>
      </c>
      <c r="B350" t="s">
        <v>1529</v>
      </c>
      <c r="C350">
        <v>6749000</v>
      </c>
      <c r="D350" t="s">
        <v>1530</v>
      </c>
      <c r="E350" t="s">
        <v>1531</v>
      </c>
      <c r="F350">
        <v>6</v>
      </c>
      <c r="I350" t="str">
        <f>HYPERLINK("tel:+17186406032", "718-640-6032")</f>
        <v>718-640-6032</v>
      </c>
      <c r="J350" t="s">
        <v>1532</v>
      </c>
      <c r="K350" t="s">
        <v>351</v>
      </c>
      <c r="M350">
        <v>7186406032</v>
      </c>
    </row>
    <row r="351" spans="1:13" x14ac:dyDescent="0.25">
      <c r="A351">
        <v>2244044012</v>
      </c>
      <c r="B351" t="s">
        <v>1533</v>
      </c>
      <c r="C351">
        <v>1399900</v>
      </c>
      <c r="D351" t="s">
        <v>1534</v>
      </c>
      <c r="E351" t="s">
        <v>1535</v>
      </c>
      <c r="F351">
        <v>6</v>
      </c>
      <c r="I351" t="str">
        <f>HYPERLINK("tel:+18009219231", "800-921-9231")</f>
        <v>800-921-9231</v>
      </c>
      <c r="J351" t="s">
        <v>1536</v>
      </c>
      <c r="K351" t="s">
        <v>377</v>
      </c>
      <c r="M351">
        <v>8009219231</v>
      </c>
    </row>
    <row r="352" spans="1:13" x14ac:dyDescent="0.25">
      <c r="A352">
        <v>2414981668</v>
      </c>
      <c r="B352" t="s">
        <v>1537</v>
      </c>
      <c r="C352">
        <v>2199000</v>
      </c>
      <c r="D352" t="s">
        <v>1538</v>
      </c>
      <c r="E352" t="s">
        <v>1539</v>
      </c>
      <c r="F352">
        <v>6</v>
      </c>
      <c r="I352" t="str">
        <f>HYPERLINK("tel:+18182623532", "818-262-3532")</f>
        <v>818-262-3532</v>
      </c>
      <c r="J352" t="s">
        <v>1540</v>
      </c>
      <c r="K352" t="s">
        <v>168</v>
      </c>
      <c r="M352">
        <v>8182623532</v>
      </c>
    </row>
    <row r="353" spans="1:13" x14ac:dyDescent="0.25">
      <c r="A353">
        <v>1093963313</v>
      </c>
      <c r="B353" t="s">
        <v>1541</v>
      </c>
      <c r="C353">
        <v>1699000</v>
      </c>
      <c r="D353" t="s">
        <v>1542</v>
      </c>
      <c r="E353" t="s">
        <v>1543</v>
      </c>
      <c r="F353">
        <v>6</v>
      </c>
      <c r="I353" t="str">
        <f>HYPERLINK("tel:+18182818812", "818-281-8812")</f>
        <v>818-281-8812</v>
      </c>
      <c r="J353" t="s">
        <v>1544</v>
      </c>
      <c r="K353" t="s">
        <v>724</v>
      </c>
      <c r="M353">
        <v>8182818812</v>
      </c>
    </row>
    <row r="354" spans="1:13" x14ac:dyDescent="0.25">
      <c r="A354">
        <v>1964653018</v>
      </c>
      <c r="B354" t="s">
        <v>1545</v>
      </c>
      <c r="C354">
        <v>1675000</v>
      </c>
      <c r="D354" t="s">
        <v>1546</v>
      </c>
      <c r="E354" t="s">
        <v>1547</v>
      </c>
      <c r="F354">
        <v>6</v>
      </c>
      <c r="I354" t="str">
        <f>HYPERLINK("tel:+18183031460", "818-303-1460")</f>
        <v>818-303-1460</v>
      </c>
      <c r="J354" t="s">
        <v>1548</v>
      </c>
      <c r="K354" t="s">
        <v>1549</v>
      </c>
      <c r="M354">
        <v>8183031460</v>
      </c>
    </row>
    <row r="355" spans="1:13" x14ac:dyDescent="0.25">
      <c r="A355">
        <v>2911603361</v>
      </c>
      <c r="B355" t="s">
        <v>1550</v>
      </c>
      <c r="C355">
        <v>1045000</v>
      </c>
      <c r="D355" t="s">
        <v>1551</v>
      </c>
      <c r="E355" t="s">
        <v>1552</v>
      </c>
      <c r="F355">
        <v>6</v>
      </c>
      <c r="I355" t="str">
        <f>HYPERLINK("tel:+18183249717", "818-324-9717")</f>
        <v>818-324-9717</v>
      </c>
      <c r="J355" t="s">
        <v>1553</v>
      </c>
      <c r="K355" t="s">
        <v>9</v>
      </c>
      <c r="M355">
        <v>8183249717</v>
      </c>
    </row>
    <row r="356" spans="1:13" x14ac:dyDescent="0.25">
      <c r="A356">
        <v>1775699157</v>
      </c>
      <c r="B356" t="s">
        <v>1554</v>
      </c>
      <c r="C356">
        <v>4495000</v>
      </c>
      <c r="D356" t="s">
        <v>1555</v>
      </c>
      <c r="E356" t="s">
        <v>1556</v>
      </c>
      <c r="F356">
        <v>6</v>
      </c>
      <c r="I356" t="str">
        <f>HYPERLINK("tel:+18184268677", "818-426-8677")</f>
        <v>818-426-8677</v>
      </c>
      <c r="J356" t="s">
        <v>1557</v>
      </c>
      <c r="K356" t="s">
        <v>77</v>
      </c>
      <c r="M356">
        <v>8184268677</v>
      </c>
    </row>
    <row r="357" spans="1:13" x14ac:dyDescent="0.25">
      <c r="A357">
        <v>2807526584</v>
      </c>
      <c r="B357" t="s">
        <v>1558</v>
      </c>
      <c r="C357">
        <v>350000</v>
      </c>
      <c r="D357" t="s">
        <v>1559</v>
      </c>
      <c r="E357" t="s">
        <v>1560</v>
      </c>
      <c r="F357">
        <v>6</v>
      </c>
      <c r="I357" t="str">
        <f>HYPERLINK("tel:+18184292940", "818-429-2940")</f>
        <v>818-429-2940</v>
      </c>
      <c r="J357" t="s">
        <v>1561</v>
      </c>
      <c r="K357" t="s">
        <v>707</v>
      </c>
      <c r="M357">
        <v>8184292940</v>
      </c>
    </row>
    <row r="358" spans="1:13" x14ac:dyDescent="0.25">
      <c r="A358">
        <v>2925260366</v>
      </c>
      <c r="B358" t="s">
        <v>1562</v>
      </c>
      <c r="C358">
        <v>2495000</v>
      </c>
      <c r="D358" t="s">
        <v>1563</v>
      </c>
      <c r="E358" t="s">
        <v>1564</v>
      </c>
      <c r="F358">
        <v>6</v>
      </c>
      <c r="I358" t="str">
        <f>HYPERLINK("tel:+18185151118", "818-515-1118")</f>
        <v>818-515-1118</v>
      </c>
      <c r="J358" t="s">
        <v>1565</v>
      </c>
      <c r="K358" t="s">
        <v>323</v>
      </c>
      <c r="M358">
        <v>8185151118</v>
      </c>
    </row>
    <row r="359" spans="1:13" x14ac:dyDescent="0.25">
      <c r="A359">
        <v>2195950128</v>
      </c>
      <c r="B359" t="s">
        <v>845</v>
      </c>
      <c r="C359">
        <v>1019000</v>
      </c>
      <c r="D359" t="s">
        <v>846</v>
      </c>
      <c r="E359" t="s">
        <v>1566</v>
      </c>
      <c r="F359">
        <v>6</v>
      </c>
      <c r="I359" t="str">
        <f>HYPERLINK("tel:+18186949000", "818-694-9000")</f>
        <v>818-694-9000</v>
      </c>
      <c r="J359" t="s">
        <v>1567</v>
      </c>
      <c r="K359" t="s">
        <v>1568</v>
      </c>
      <c r="M359">
        <v>8186949000</v>
      </c>
    </row>
    <row r="360" spans="1:13" x14ac:dyDescent="0.25">
      <c r="A360">
        <v>1805511699</v>
      </c>
      <c r="B360" t="s">
        <v>890</v>
      </c>
      <c r="C360">
        <v>6500000</v>
      </c>
      <c r="D360" t="s">
        <v>891</v>
      </c>
      <c r="E360" t="s">
        <v>1569</v>
      </c>
      <c r="F360">
        <v>6</v>
      </c>
      <c r="I360" t="str">
        <f>HYPERLINK("tel:+18187558088", "818-755-8088")</f>
        <v>818-755-8088</v>
      </c>
      <c r="J360" t="s">
        <v>1570</v>
      </c>
      <c r="K360" t="s">
        <v>1571</v>
      </c>
      <c r="M360">
        <v>8187558088</v>
      </c>
    </row>
    <row r="361" spans="1:13" x14ac:dyDescent="0.25">
      <c r="A361">
        <v>9415297531</v>
      </c>
      <c r="B361" t="s">
        <v>1572</v>
      </c>
      <c r="C361">
        <v>540000</v>
      </c>
      <c r="D361" t="s">
        <v>1573</v>
      </c>
      <c r="E361" t="s">
        <v>1574</v>
      </c>
      <c r="F361">
        <v>6</v>
      </c>
      <c r="I361" t="str">
        <f>HYPERLINK("tel:+18187574568", "818-757-4568")</f>
        <v>818-757-4568</v>
      </c>
      <c r="J361" t="s">
        <v>1575</v>
      </c>
      <c r="K361" t="s">
        <v>1576</v>
      </c>
      <c r="M361">
        <v>8187574568</v>
      </c>
    </row>
    <row r="362" spans="1:13" x14ac:dyDescent="0.25">
      <c r="A362">
        <v>1989438721</v>
      </c>
      <c r="B362" t="s">
        <v>1577</v>
      </c>
      <c r="C362">
        <v>1795000</v>
      </c>
      <c r="D362" t="s">
        <v>1578</v>
      </c>
      <c r="E362" t="s">
        <v>1579</v>
      </c>
      <c r="F362">
        <v>6</v>
      </c>
      <c r="I362" t="str">
        <f>HYPERLINK("tel:+18188269086", "818-826-9086")</f>
        <v>818-826-9086</v>
      </c>
      <c r="J362" t="s">
        <v>1580</v>
      </c>
      <c r="K362" t="s">
        <v>1581</v>
      </c>
      <c r="M362">
        <v>8188269086</v>
      </c>
    </row>
    <row r="363" spans="1:13" x14ac:dyDescent="0.25">
      <c r="A363">
        <v>9317919781</v>
      </c>
      <c r="B363" t="s">
        <v>1582</v>
      </c>
      <c r="C363">
        <v>4200000</v>
      </c>
      <c r="D363" t="s">
        <v>1583</v>
      </c>
      <c r="E363" t="s">
        <v>1584</v>
      </c>
      <c r="F363">
        <v>6</v>
      </c>
      <c r="I363" t="str">
        <f>HYPERLINK("tel:+18188542470", "818-854-2470")</f>
        <v>818-854-2470</v>
      </c>
      <c r="J363" t="s">
        <v>1585</v>
      </c>
      <c r="K363" t="s">
        <v>1586</v>
      </c>
      <c r="M363">
        <v>8188542470</v>
      </c>
    </row>
    <row r="364" spans="1:13" x14ac:dyDescent="0.25">
      <c r="A364">
        <v>2296628183</v>
      </c>
      <c r="B364" t="s">
        <v>1587</v>
      </c>
      <c r="C364">
        <v>259000</v>
      </c>
      <c r="D364" t="s">
        <v>1588</v>
      </c>
      <c r="E364" t="s">
        <v>1589</v>
      </c>
      <c r="F364">
        <v>6</v>
      </c>
      <c r="I364" t="str">
        <f>HYPERLINK("tel:+18189684585", "818-968-4585")</f>
        <v>818-968-4585</v>
      </c>
      <c r="J364" t="s">
        <v>1590</v>
      </c>
      <c r="K364" t="s">
        <v>1591</v>
      </c>
      <c r="M364">
        <v>8189684585</v>
      </c>
    </row>
    <row r="365" spans="1:13" x14ac:dyDescent="0.25">
      <c r="A365">
        <v>1014582484</v>
      </c>
      <c r="B365" t="s">
        <v>1592</v>
      </c>
      <c r="C365">
        <v>485000</v>
      </c>
      <c r="D365" t="s">
        <v>1593</v>
      </c>
      <c r="E365" t="s">
        <v>1594</v>
      </c>
      <c r="F365">
        <v>6</v>
      </c>
      <c r="I365" t="str">
        <f>HYPERLINK("tel:+18189741797", "818-974-1797")</f>
        <v>818-974-1797</v>
      </c>
      <c r="J365" t="s">
        <v>1595</v>
      </c>
      <c r="K365" t="s">
        <v>1596</v>
      </c>
      <c r="M365">
        <v>8189741797</v>
      </c>
    </row>
    <row r="366" spans="1:13" x14ac:dyDescent="0.25">
      <c r="A366">
        <v>1766310893</v>
      </c>
      <c r="B366" t="s">
        <v>1597</v>
      </c>
      <c r="C366">
        <v>8700000</v>
      </c>
      <c r="D366" t="s">
        <v>1598</v>
      </c>
      <c r="E366" t="s">
        <v>1599</v>
      </c>
      <c r="F366">
        <v>6</v>
      </c>
      <c r="I366" t="str">
        <f>HYPERLINK("tel:+19492446754", "949-244-6754")</f>
        <v>949-244-6754</v>
      </c>
      <c r="J366" t="s">
        <v>1600</v>
      </c>
      <c r="K366" t="s">
        <v>239</v>
      </c>
      <c r="M366">
        <v>9492446754</v>
      </c>
    </row>
    <row r="367" spans="1:13" x14ac:dyDescent="0.25">
      <c r="A367">
        <v>1467013587</v>
      </c>
      <c r="B367" t="s">
        <v>1601</v>
      </c>
      <c r="C367">
        <v>4974000</v>
      </c>
      <c r="D367" t="s">
        <v>1602</v>
      </c>
      <c r="E367" t="s">
        <v>1603</v>
      </c>
      <c r="F367">
        <v>6</v>
      </c>
      <c r="I367" t="str">
        <f>HYPERLINK("tel:+19492500400", "949-250-0400")</f>
        <v>949-250-0400</v>
      </c>
      <c r="J367" t="s">
        <v>1604</v>
      </c>
      <c r="K367" t="s">
        <v>1605</v>
      </c>
      <c r="M367">
        <v>9492500400</v>
      </c>
    </row>
    <row r="368" spans="1:13" x14ac:dyDescent="0.25">
      <c r="A368">
        <v>9723359389</v>
      </c>
      <c r="B368" t="s">
        <v>1606</v>
      </c>
      <c r="C368">
        <v>880000</v>
      </c>
      <c r="D368" t="s">
        <v>1607</v>
      </c>
      <c r="E368" t="s">
        <v>1608</v>
      </c>
      <c r="F368">
        <v>6</v>
      </c>
      <c r="I368" t="str">
        <f>HYPERLINK("tel:+19492924462", "949-292-4462")</f>
        <v>949-292-4462</v>
      </c>
      <c r="J368" t="s">
        <v>1609</v>
      </c>
      <c r="K368" t="s">
        <v>1610</v>
      </c>
      <c r="M368">
        <v>9492924462</v>
      </c>
    </row>
    <row r="369" spans="1:13" x14ac:dyDescent="0.25">
      <c r="A369">
        <v>2669426916</v>
      </c>
      <c r="B369" t="s">
        <v>1611</v>
      </c>
      <c r="C369">
        <v>4495000</v>
      </c>
      <c r="D369" t="s">
        <v>1612</v>
      </c>
      <c r="E369" t="s">
        <v>1613</v>
      </c>
      <c r="F369">
        <v>6</v>
      </c>
      <c r="I369" t="str">
        <f>HYPERLINK("tel:+19492955676", "949-295-5676")</f>
        <v>949-295-5676</v>
      </c>
      <c r="J369" t="s">
        <v>1614</v>
      </c>
      <c r="K369" t="s">
        <v>168</v>
      </c>
      <c r="M369">
        <v>9492955676</v>
      </c>
    </row>
    <row r="370" spans="1:13" x14ac:dyDescent="0.25">
      <c r="A370">
        <v>1126077229</v>
      </c>
      <c r="B370" t="s">
        <v>1615</v>
      </c>
      <c r="C370">
        <v>1850000</v>
      </c>
      <c r="D370" t="s">
        <v>1616</v>
      </c>
      <c r="E370" t="s">
        <v>1617</v>
      </c>
      <c r="F370">
        <v>6</v>
      </c>
      <c r="I370" t="str">
        <f>HYPERLINK("tel:+19493068339", "949-306-8339")</f>
        <v>949-306-8339</v>
      </c>
      <c r="J370" t="s">
        <v>1618</v>
      </c>
      <c r="K370" t="s">
        <v>617</v>
      </c>
      <c r="M370">
        <v>9493068339</v>
      </c>
    </row>
    <row r="371" spans="1:13" x14ac:dyDescent="0.25">
      <c r="A371">
        <v>1420317161</v>
      </c>
      <c r="B371" t="s">
        <v>1619</v>
      </c>
      <c r="C371">
        <v>1649000</v>
      </c>
      <c r="D371" t="s">
        <v>1620</v>
      </c>
      <c r="E371" t="s">
        <v>1621</v>
      </c>
      <c r="F371">
        <v>6</v>
      </c>
      <c r="I371" t="str">
        <f>HYPERLINK("tel:+19493096160", "949-309-6160")</f>
        <v>949-309-6160</v>
      </c>
      <c r="J371" t="s">
        <v>1622</v>
      </c>
      <c r="K371" t="s">
        <v>219</v>
      </c>
      <c r="M371">
        <v>9493096160</v>
      </c>
    </row>
    <row r="372" spans="1:13" x14ac:dyDescent="0.25">
      <c r="A372">
        <v>1732867843</v>
      </c>
      <c r="B372" t="s">
        <v>1623</v>
      </c>
      <c r="C372">
        <v>268000</v>
      </c>
      <c r="D372" t="s">
        <v>1624</v>
      </c>
      <c r="E372" t="s">
        <v>1625</v>
      </c>
      <c r="F372">
        <v>6</v>
      </c>
      <c r="I372" t="str">
        <f>HYPERLINK("tel:+19493151206", "949-315-1206")</f>
        <v>949-315-1206</v>
      </c>
      <c r="J372" t="s">
        <v>1626</v>
      </c>
      <c r="K372" t="s">
        <v>1627</v>
      </c>
      <c r="M372">
        <v>9493151206</v>
      </c>
    </row>
    <row r="373" spans="1:13" x14ac:dyDescent="0.25">
      <c r="A373">
        <v>9247918368</v>
      </c>
      <c r="B373" t="s">
        <v>1628</v>
      </c>
      <c r="C373">
        <v>849900</v>
      </c>
      <c r="D373" t="s">
        <v>1629</v>
      </c>
      <c r="E373" t="s">
        <v>1630</v>
      </c>
      <c r="F373">
        <v>6</v>
      </c>
      <c r="I373" t="str">
        <f>HYPERLINK("tel:+19493151718", "949-315-1718")</f>
        <v>949-315-1718</v>
      </c>
      <c r="J373" t="s">
        <v>1631</v>
      </c>
      <c r="K373" t="s">
        <v>431</v>
      </c>
      <c r="M373">
        <v>9493151718</v>
      </c>
    </row>
    <row r="374" spans="1:13" x14ac:dyDescent="0.25">
      <c r="A374">
        <v>2775622902</v>
      </c>
      <c r="B374" t="s">
        <v>940</v>
      </c>
      <c r="C374">
        <v>3259000</v>
      </c>
      <c r="D374" t="s">
        <v>941</v>
      </c>
      <c r="E374" t="s">
        <v>1632</v>
      </c>
      <c r="F374">
        <v>6</v>
      </c>
      <c r="I374" t="str">
        <f>HYPERLINK("tel:+19493226977", "949-322-6977")</f>
        <v>949-322-6977</v>
      </c>
      <c r="J374" t="s">
        <v>1633</v>
      </c>
      <c r="K374" t="s">
        <v>944</v>
      </c>
      <c r="M374">
        <v>9493226977</v>
      </c>
    </row>
    <row r="375" spans="1:13" x14ac:dyDescent="0.25">
      <c r="A375">
        <v>9543840638</v>
      </c>
      <c r="B375" t="s">
        <v>1634</v>
      </c>
      <c r="C375">
        <v>85000000</v>
      </c>
      <c r="D375" t="s">
        <v>1635</v>
      </c>
      <c r="E375" t="s">
        <v>1636</v>
      </c>
      <c r="F375">
        <v>6</v>
      </c>
      <c r="I375" t="str">
        <f>HYPERLINK("tel:+19493559722", "949-355-9722")</f>
        <v>949-355-9722</v>
      </c>
      <c r="J375" t="s">
        <v>1637</v>
      </c>
      <c r="K375" t="s">
        <v>168</v>
      </c>
      <c r="M375">
        <v>9493559722</v>
      </c>
    </row>
    <row r="376" spans="1:13" x14ac:dyDescent="0.25">
      <c r="A376">
        <v>1164134899</v>
      </c>
      <c r="B376" t="s">
        <v>1638</v>
      </c>
      <c r="C376">
        <v>3495000</v>
      </c>
      <c r="D376" t="s">
        <v>1639</v>
      </c>
      <c r="E376" t="s">
        <v>1640</v>
      </c>
      <c r="F376">
        <v>6</v>
      </c>
      <c r="I376" t="str">
        <f>HYPERLINK("tel:+19493885194", "949-388-5194")</f>
        <v>949-388-5194</v>
      </c>
      <c r="J376" t="s">
        <v>1641</v>
      </c>
      <c r="K376" t="s">
        <v>68</v>
      </c>
      <c r="M376">
        <v>9493885194</v>
      </c>
    </row>
    <row r="377" spans="1:13" x14ac:dyDescent="0.25">
      <c r="A377">
        <v>2275228299</v>
      </c>
      <c r="B377" t="s">
        <v>1642</v>
      </c>
      <c r="C377">
        <v>3595000</v>
      </c>
      <c r="D377" t="s">
        <v>1643</v>
      </c>
      <c r="E377" t="s">
        <v>1644</v>
      </c>
      <c r="F377">
        <v>6</v>
      </c>
      <c r="I377" t="str">
        <f>HYPERLINK("tel:+19494130438", "949-413-0438")</f>
        <v>949-413-0438</v>
      </c>
      <c r="J377" t="s">
        <v>1645</v>
      </c>
      <c r="K377" t="s">
        <v>1646</v>
      </c>
      <c r="M377">
        <v>9494130438</v>
      </c>
    </row>
    <row r="378" spans="1:13" x14ac:dyDescent="0.25">
      <c r="A378">
        <v>1313943988</v>
      </c>
      <c r="B378" t="s">
        <v>1647</v>
      </c>
      <c r="C378">
        <v>799000</v>
      </c>
      <c r="D378" t="s">
        <v>1648</v>
      </c>
      <c r="E378" t="s">
        <v>1649</v>
      </c>
      <c r="F378">
        <v>6</v>
      </c>
      <c r="I378" t="str">
        <f>HYPERLINK("tel:+19494363105", "949-436-3105")</f>
        <v>949-436-3105</v>
      </c>
      <c r="J378" t="s">
        <v>1650</v>
      </c>
      <c r="K378" t="s">
        <v>1651</v>
      </c>
      <c r="M378">
        <v>9494363105</v>
      </c>
    </row>
    <row r="379" spans="1:13" x14ac:dyDescent="0.25">
      <c r="A379">
        <v>2275228299</v>
      </c>
      <c r="B379" t="s">
        <v>1642</v>
      </c>
      <c r="C379">
        <v>3595000</v>
      </c>
      <c r="D379" t="s">
        <v>1643</v>
      </c>
      <c r="E379" t="s">
        <v>1652</v>
      </c>
      <c r="F379">
        <v>6</v>
      </c>
      <c r="I379" t="str">
        <f>HYPERLINK("tel:+19494637155", "949-463-7155")</f>
        <v>949-463-7155</v>
      </c>
      <c r="J379" t="s">
        <v>1653</v>
      </c>
      <c r="K379" t="s">
        <v>1646</v>
      </c>
      <c r="M379">
        <v>9494637155</v>
      </c>
    </row>
    <row r="380" spans="1:13" x14ac:dyDescent="0.25">
      <c r="A380">
        <v>2715340853</v>
      </c>
      <c r="B380" t="s">
        <v>1654</v>
      </c>
      <c r="C380">
        <v>475000</v>
      </c>
      <c r="D380" t="s">
        <v>1655</v>
      </c>
      <c r="E380" t="s">
        <v>1656</v>
      </c>
      <c r="F380">
        <v>6</v>
      </c>
      <c r="I380" t="str">
        <f>HYPERLINK("tel:+19495290881", "949-529-0881")</f>
        <v>949-529-0881</v>
      </c>
      <c r="J380" t="s">
        <v>1657</v>
      </c>
      <c r="K380" t="s">
        <v>1658</v>
      </c>
      <c r="M380">
        <v>9495290881</v>
      </c>
    </row>
    <row r="381" spans="1:13" x14ac:dyDescent="0.25">
      <c r="A381">
        <v>1661157102</v>
      </c>
      <c r="B381" t="s">
        <v>1659</v>
      </c>
      <c r="C381">
        <v>1198000</v>
      </c>
      <c r="D381" t="s">
        <v>1660</v>
      </c>
      <c r="E381" t="s">
        <v>1661</v>
      </c>
      <c r="F381">
        <v>6</v>
      </c>
      <c r="I381" t="str">
        <f>HYPERLINK("tel:+19495332581", "949-533-2581")</f>
        <v>949-533-2581</v>
      </c>
      <c r="J381" t="s">
        <v>1662</v>
      </c>
      <c r="K381" t="s">
        <v>1663</v>
      </c>
      <c r="M381">
        <v>9495332581</v>
      </c>
    </row>
    <row r="382" spans="1:13" x14ac:dyDescent="0.25">
      <c r="A382">
        <v>2823982569</v>
      </c>
      <c r="B382" t="s">
        <v>1664</v>
      </c>
      <c r="C382">
        <v>1750000</v>
      </c>
      <c r="D382" t="s">
        <v>1665</v>
      </c>
      <c r="E382" t="s">
        <v>1666</v>
      </c>
      <c r="F382">
        <v>6</v>
      </c>
      <c r="I382" t="str">
        <f>HYPERLINK("tel:+19495520505", "949-552-0505")</f>
        <v>949-552-0505</v>
      </c>
      <c r="J382" t="s">
        <v>1667</v>
      </c>
      <c r="K382" t="s">
        <v>377</v>
      </c>
      <c r="M382">
        <v>9495520505</v>
      </c>
    </row>
    <row r="383" spans="1:13" x14ac:dyDescent="0.25">
      <c r="A383">
        <v>9157528158</v>
      </c>
      <c r="B383" t="s">
        <v>1668</v>
      </c>
      <c r="C383">
        <v>899000</v>
      </c>
      <c r="D383" t="s">
        <v>1669</v>
      </c>
      <c r="E383" t="s">
        <v>1670</v>
      </c>
      <c r="F383">
        <v>6</v>
      </c>
      <c r="I383" t="str">
        <f>HYPERLINK("tel:+19495583100", "949-558-3100")</f>
        <v>949-558-3100</v>
      </c>
      <c r="J383" t="s">
        <v>1671</v>
      </c>
      <c r="K383" t="s">
        <v>1672</v>
      </c>
      <c r="M383">
        <v>9495583100</v>
      </c>
    </row>
    <row r="384" spans="1:13" x14ac:dyDescent="0.25">
      <c r="A384">
        <v>1433864109</v>
      </c>
      <c r="B384" t="s">
        <v>15</v>
      </c>
      <c r="C384">
        <v>27998000</v>
      </c>
      <c r="D384" t="s">
        <v>16</v>
      </c>
      <c r="E384" t="s">
        <v>1673</v>
      </c>
      <c r="F384">
        <v>6</v>
      </c>
      <c r="I384" t="str">
        <f>HYPERLINK("tel:+19495663801", "949-566-3801")</f>
        <v>949-566-3801</v>
      </c>
      <c r="J384" t="s">
        <v>1674</v>
      </c>
      <c r="K384" t="s">
        <v>19</v>
      </c>
      <c r="M384">
        <v>9495663801</v>
      </c>
    </row>
    <row r="385" spans="1:13" x14ac:dyDescent="0.25">
      <c r="A385">
        <v>9324480495</v>
      </c>
      <c r="B385" t="s">
        <v>1675</v>
      </c>
      <c r="C385">
        <v>479000</v>
      </c>
      <c r="D385" t="s">
        <v>1676</v>
      </c>
      <c r="E385" t="s">
        <v>1677</v>
      </c>
      <c r="F385">
        <v>6</v>
      </c>
      <c r="I385" t="str">
        <f>HYPERLINK("tel:+19496271120", "949-627-1120")</f>
        <v>949-627-1120</v>
      </c>
      <c r="J385" t="s">
        <v>1678</v>
      </c>
      <c r="K385" t="s">
        <v>1679</v>
      </c>
      <c r="M385">
        <v>9496271120</v>
      </c>
    </row>
    <row r="386" spans="1:13" x14ac:dyDescent="0.25">
      <c r="A386">
        <v>9181740235</v>
      </c>
      <c r="B386" t="s">
        <v>1680</v>
      </c>
      <c r="C386">
        <v>1180000</v>
      </c>
      <c r="D386" t="s">
        <v>1681</v>
      </c>
      <c r="E386" t="s">
        <v>1682</v>
      </c>
      <c r="F386">
        <v>6</v>
      </c>
      <c r="I386" t="str">
        <f>HYPERLINK("tel:+19496323991", "949-632-3991")</f>
        <v>949-632-3991</v>
      </c>
      <c r="J386" t="s">
        <v>1683</v>
      </c>
      <c r="K386" t="s">
        <v>1684</v>
      </c>
      <c r="M386">
        <v>9496323991</v>
      </c>
    </row>
    <row r="387" spans="1:13" x14ac:dyDescent="0.25">
      <c r="A387">
        <v>1059820189</v>
      </c>
      <c r="B387" t="s">
        <v>1685</v>
      </c>
      <c r="C387">
        <v>3399000</v>
      </c>
      <c r="D387" t="s">
        <v>1686</v>
      </c>
      <c r="E387" t="s">
        <v>1687</v>
      </c>
      <c r="F387">
        <v>6</v>
      </c>
      <c r="I387" t="str">
        <f>HYPERLINK("tel:+19496670010", "949-667-0010")</f>
        <v>949-667-0010</v>
      </c>
      <c r="J387" t="s">
        <v>1688</v>
      </c>
      <c r="K387" t="s">
        <v>460</v>
      </c>
      <c r="M387">
        <v>9496670010</v>
      </c>
    </row>
    <row r="388" spans="1:13" x14ac:dyDescent="0.25">
      <c r="A388">
        <v>9010096977</v>
      </c>
      <c r="B388" t="s">
        <v>1689</v>
      </c>
      <c r="C388">
        <v>5995000</v>
      </c>
      <c r="D388" t="s">
        <v>1690</v>
      </c>
      <c r="E388" t="s">
        <v>1691</v>
      </c>
      <c r="F388">
        <v>6</v>
      </c>
      <c r="I388" t="str">
        <f>HYPERLINK("tel:+19496818388", "949-681-8388")</f>
        <v>949-681-8388</v>
      </c>
      <c r="J388" t="s">
        <v>1692</v>
      </c>
      <c r="K388" t="s">
        <v>1693</v>
      </c>
      <c r="M388">
        <v>9496818388</v>
      </c>
    </row>
    <row r="389" spans="1:13" x14ac:dyDescent="0.25">
      <c r="A389">
        <v>1444477442</v>
      </c>
      <c r="B389" t="s">
        <v>1694</v>
      </c>
      <c r="C389">
        <v>64900000</v>
      </c>
      <c r="D389" t="s">
        <v>1695</v>
      </c>
      <c r="E389" t="s">
        <v>1696</v>
      </c>
      <c r="F389">
        <v>6</v>
      </c>
      <c r="I389" t="str">
        <f>HYPERLINK("tel:+19496895018", "949-689-5018")</f>
        <v>949-689-5018</v>
      </c>
      <c r="J389" t="s">
        <v>1697</v>
      </c>
      <c r="K389" t="s">
        <v>168</v>
      </c>
      <c r="M389">
        <v>9496895018</v>
      </c>
    </row>
    <row r="390" spans="1:13" x14ac:dyDescent="0.25">
      <c r="A390">
        <v>2462595008</v>
      </c>
      <c r="B390" t="s">
        <v>1698</v>
      </c>
      <c r="C390">
        <v>1499000</v>
      </c>
      <c r="D390" t="s">
        <v>1699</v>
      </c>
      <c r="E390" t="s">
        <v>1700</v>
      </c>
      <c r="F390">
        <v>6</v>
      </c>
      <c r="I390" t="str">
        <f>HYPERLINK("tel:+19497273737", "949-727-3737")</f>
        <v>949-727-3737</v>
      </c>
      <c r="J390" t="s">
        <v>1701</v>
      </c>
      <c r="K390" t="s">
        <v>1702</v>
      </c>
      <c r="M390">
        <v>9497273737</v>
      </c>
    </row>
    <row r="391" spans="1:13" x14ac:dyDescent="0.25">
      <c r="A391">
        <v>2217421392</v>
      </c>
      <c r="B391" t="s">
        <v>1703</v>
      </c>
      <c r="C391">
        <v>1750000</v>
      </c>
      <c r="D391" t="s">
        <v>1704</v>
      </c>
      <c r="E391" t="s">
        <v>1705</v>
      </c>
      <c r="F391">
        <v>6</v>
      </c>
      <c r="I391" t="str">
        <f>HYPERLINK("tel:+19498808399", "949-880-8399")</f>
        <v>949-880-8399</v>
      </c>
      <c r="J391" t="s">
        <v>1706</v>
      </c>
      <c r="K391" t="s">
        <v>1707</v>
      </c>
      <c r="M391">
        <v>9498808399</v>
      </c>
    </row>
    <row r="392" spans="1:13" x14ac:dyDescent="0.25">
      <c r="A392">
        <v>1710598309</v>
      </c>
      <c r="B392" t="s">
        <v>1708</v>
      </c>
      <c r="C392">
        <v>7699000</v>
      </c>
      <c r="D392" t="s">
        <v>1709</v>
      </c>
      <c r="E392" t="s">
        <v>1710</v>
      </c>
      <c r="F392">
        <v>6</v>
      </c>
      <c r="I392" t="str">
        <f>HYPERLINK("tel:+19499439522", "949-943-9522")</f>
        <v>949-943-9522</v>
      </c>
      <c r="J392" t="s">
        <v>1711</v>
      </c>
      <c r="M392">
        <v>9499439522</v>
      </c>
    </row>
    <row r="393" spans="1:13" x14ac:dyDescent="0.25">
      <c r="A393">
        <v>9753707013</v>
      </c>
      <c r="B393" t="s">
        <v>1712</v>
      </c>
      <c r="C393">
        <v>1026800</v>
      </c>
      <c r="D393" t="s">
        <v>1713</v>
      </c>
      <c r="E393" t="s">
        <v>1714</v>
      </c>
      <c r="F393">
        <v>6</v>
      </c>
      <c r="I393" t="str">
        <f>HYPERLINK("tel:+19499794765", "949-979-4765")</f>
        <v>949-979-4765</v>
      </c>
      <c r="J393" t="s">
        <v>1715</v>
      </c>
      <c r="K393" t="s">
        <v>1716</v>
      </c>
      <c r="M393">
        <v>9499794765</v>
      </c>
    </row>
    <row r="394" spans="1:13" x14ac:dyDescent="0.25">
      <c r="A394">
        <v>1769063681</v>
      </c>
      <c r="B394" t="s">
        <v>1717</v>
      </c>
      <c r="C394">
        <v>2645000</v>
      </c>
      <c r="D394" t="s">
        <v>1718</v>
      </c>
      <c r="E394" t="s">
        <v>1719</v>
      </c>
      <c r="F394">
        <v>5</v>
      </c>
      <c r="I394" t="str">
        <f>HYPERLINK("tel:+12132334373", "213-233-4373")</f>
        <v>213-233-4373</v>
      </c>
      <c r="J394" t="s">
        <v>1720</v>
      </c>
      <c r="K394" t="s">
        <v>1721</v>
      </c>
      <c r="M394">
        <v>2132334373</v>
      </c>
    </row>
    <row r="395" spans="1:13" x14ac:dyDescent="0.25">
      <c r="A395">
        <v>2328397659</v>
      </c>
      <c r="B395" t="s">
        <v>1722</v>
      </c>
      <c r="C395">
        <v>4149000</v>
      </c>
      <c r="D395" t="s">
        <v>1723</v>
      </c>
      <c r="E395" t="s">
        <v>1724</v>
      </c>
      <c r="F395">
        <v>5</v>
      </c>
      <c r="I395" t="str">
        <f>HYPERLINK("tel:+12133275436", "213-327-5436")</f>
        <v>213-327-5436</v>
      </c>
      <c r="J395" t="s">
        <v>1725</v>
      </c>
      <c r="K395" t="s">
        <v>63</v>
      </c>
      <c r="M395">
        <v>2133275436</v>
      </c>
    </row>
    <row r="396" spans="1:13" x14ac:dyDescent="0.25">
      <c r="A396">
        <v>1017952314</v>
      </c>
      <c r="B396" t="s">
        <v>1726</v>
      </c>
      <c r="C396">
        <v>2748000</v>
      </c>
      <c r="D396" t="s">
        <v>1727</v>
      </c>
      <c r="E396" t="s">
        <v>1728</v>
      </c>
      <c r="F396">
        <v>5</v>
      </c>
      <c r="I396" t="str">
        <f>HYPERLINK("tel:+12134353087", "213-435-3087")</f>
        <v>213-435-3087</v>
      </c>
      <c r="J396" t="s">
        <v>1729</v>
      </c>
      <c r="K396" t="s">
        <v>1730</v>
      </c>
      <c r="M396">
        <v>2134353087</v>
      </c>
    </row>
    <row r="397" spans="1:13" x14ac:dyDescent="0.25">
      <c r="A397">
        <v>2244491204</v>
      </c>
      <c r="B397" t="s">
        <v>1731</v>
      </c>
      <c r="C397">
        <v>1320000</v>
      </c>
      <c r="D397" t="s">
        <v>1732</v>
      </c>
      <c r="E397" t="s">
        <v>1733</v>
      </c>
      <c r="F397">
        <v>5</v>
      </c>
      <c r="I397" t="str">
        <f>HYPERLINK("tel:+12135006870", "213-500-6870")</f>
        <v>213-500-6870</v>
      </c>
      <c r="J397" t="s">
        <v>1734</v>
      </c>
      <c r="K397" t="s">
        <v>1735</v>
      </c>
      <c r="M397">
        <v>2135006870</v>
      </c>
    </row>
    <row r="398" spans="1:13" x14ac:dyDescent="0.25">
      <c r="A398">
        <v>9331815925</v>
      </c>
      <c r="B398" t="s">
        <v>1736</v>
      </c>
      <c r="C398">
        <v>980880</v>
      </c>
      <c r="D398" t="s">
        <v>1737</v>
      </c>
      <c r="E398" t="s">
        <v>1738</v>
      </c>
      <c r="F398">
        <v>5</v>
      </c>
      <c r="I398" t="str">
        <f>HYPERLINK("tel:+12135055141", "213-505-5141")</f>
        <v>213-505-5141</v>
      </c>
      <c r="J398" t="s">
        <v>1739</v>
      </c>
      <c r="K398" t="s">
        <v>1740</v>
      </c>
      <c r="M398">
        <v>2135055141</v>
      </c>
    </row>
    <row r="399" spans="1:13" x14ac:dyDescent="0.25">
      <c r="A399">
        <v>9701219373</v>
      </c>
      <c r="B399" t="s">
        <v>1741</v>
      </c>
      <c r="C399">
        <v>2699000</v>
      </c>
      <c r="D399" t="s">
        <v>1742</v>
      </c>
      <c r="E399" t="s">
        <v>1743</v>
      </c>
      <c r="F399">
        <v>5</v>
      </c>
      <c r="I399" t="str">
        <f>HYPERLINK("tel:+12135097405", "213-509-7405")</f>
        <v>213-509-7405</v>
      </c>
      <c r="J399" t="s">
        <v>1744</v>
      </c>
      <c r="K399" t="s">
        <v>1745</v>
      </c>
      <c r="M399">
        <v>2135097405</v>
      </c>
    </row>
    <row r="400" spans="1:13" x14ac:dyDescent="0.25">
      <c r="A400">
        <v>9108042916</v>
      </c>
      <c r="B400" t="s">
        <v>1746</v>
      </c>
      <c r="C400">
        <v>99999</v>
      </c>
      <c r="D400" t="s">
        <v>1747</v>
      </c>
      <c r="E400" t="s">
        <v>1748</v>
      </c>
      <c r="F400">
        <v>5</v>
      </c>
      <c r="I400" t="str">
        <f>HYPERLINK("tel:+12137036272", "213-703-6272")</f>
        <v>213-703-6272</v>
      </c>
      <c r="J400" t="s">
        <v>1749</v>
      </c>
      <c r="K400" t="s">
        <v>24</v>
      </c>
      <c r="M400">
        <v>2137036272</v>
      </c>
    </row>
    <row r="401" spans="1:13" x14ac:dyDescent="0.25">
      <c r="A401">
        <v>9549704822</v>
      </c>
      <c r="B401" t="s">
        <v>1750</v>
      </c>
      <c r="C401">
        <v>2350000</v>
      </c>
      <c r="D401" t="s">
        <v>1751</v>
      </c>
      <c r="E401" t="s">
        <v>1752</v>
      </c>
      <c r="F401">
        <v>5</v>
      </c>
      <c r="I401" t="str">
        <f>HYPERLINK("tel:+12139109018", "213-910-9018")</f>
        <v>213-910-9018</v>
      </c>
      <c r="J401" t="s">
        <v>1753</v>
      </c>
      <c r="K401" t="s">
        <v>193</v>
      </c>
      <c r="M401">
        <v>2139109018</v>
      </c>
    </row>
    <row r="402" spans="1:13" x14ac:dyDescent="0.25">
      <c r="A402">
        <v>2350650501</v>
      </c>
      <c r="B402" t="s">
        <v>1754</v>
      </c>
      <c r="C402">
        <v>3295000</v>
      </c>
      <c r="D402" t="s">
        <v>1755</v>
      </c>
      <c r="E402" t="s">
        <v>1756</v>
      </c>
      <c r="F402">
        <v>5</v>
      </c>
      <c r="I402" t="str">
        <f>HYPERLINK("tel:+13102436926", "310-243-6926")</f>
        <v>310-243-6926</v>
      </c>
      <c r="J402" t="s">
        <v>1757</v>
      </c>
      <c r="K402" t="s">
        <v>24</v>
      </c>
      <c r="M402">
        <v>3102436926</v>
      </c>
    </row>
    <row r="403" spans="1:13" x14ac:dyDescent="0.25">
      <c r="A403">
        <v>1993621951</v>
      </c>
      <c r="B403" t="s">
        <v>1758</v>
      </c>
      <c r="C403">
        <v>15950000</v>
      </c>
      <c r="D403" t="s">
        <v>1759</v>
      </c>
      <c r="E403" t="s">
        <v>1760</v>
      </c>
      <c r="F403">
        <v>5</v>
      </c>
      <c r="I403" t="str">
        <f>HYPERLINK("tel:+13102477771", "310-247-7771")</f>
        <v>310-247-7771</v>
      </c>
      <c r="J403" t="s">
        <v>1761</v>
      </c>
      <c r="K403" t="s">
        <v>1762</v>
      </c>
      <c r="M403">
        <v>3102477771</v>
      </c>
    </row>
    <row r="404" spans="1:13" x14ac:dyDescent="0.25">
      <c r="A404">
        <v>2311995814</v>
      </c>
      <c r="B404" t="s">
        <v>1763</v>
      </c>
      <c r="C404">
        <v>1755000</v>
      </c>
      <c r="D404" t="s">
        <v>1764</v>
      </c>
      <c r="E404" t="s">
        <v>1765</v>
      </c>
      <c r="F404">
        <v>5</v>
      </c>
      <c r="I404" t="str">
        <f>HYPERLINK("tel:+13102486426", "310-248-6426")</f>
        <v>310-248-6426</v>
      </c>
      <c r="J404" t="s">
        <v>1766</v>
      </c>
      <c r="K404" t="s">
        <v>635</v>
      </c>
      <c r="M404">
        <v>3102486426</v>
      </c>
    </row>
    <row r="405" spans="1:13" x14ac:dyDescent="0.25">
      <c r="A405">
        <v>1423694298</v>
      </c>
      <c r="B405" t="s">
        <v>1767</v>
      </c>
      <c r="C405">
        <v>1695000</v>
      </c>
      <c r="D405" t="s">
        <v>1768</v>
      </c>
      <c r="E405" t="s">
        <v>1769</v>
      </c>
      <c r="F405">
        <v>5</v>
      </c>
      <c r="I405" t="str">
        <f>HYPERLINK("tel:+13102933043", "310-293-3043")</f>
        <v>310-293-3043</v>
      </c>
      <c r="J405" t="s">
        <v>1770</v>
      </c>
      <c r="K405" t="s">
        <v>1771</v>
      </c>
      <c r="M405">
        <v>3102933043</v>
      </c>
    </row>
    <row r="406" spans="1:13" x14ac:dyDescent="0.25">
      <c r="A406">
        <v>2763186745</v>
      </c>
      <c r="B406" t="s">
        <v>1772</v>
      </c>
      <c r="C406">
        <v>1899000</v>
      </c>
      <c r="D406" t="s">
        <v>1773</v>
      </c>
      <c r="E406" t="s">
        <v>1774</v>
      </c>
      <c r="F406">
        <v>5</v>
      </c>
      <c r="I406" t="str">
        <f>HYPERLINK("tel:+13103084287", "310-308-4287")</f>
        <v>310-308-4287</v>
      </c>
      <c r="J406" t="s">
        <v>1775</v>
      </c>
      <c r="K406" t="s">
        <v>24</v>
      </c>
      <c r="M406">
        <v>3103084287</v>
      </c>
    </row>
    <row r="407" spans="1:13" x14ac:dyDescent="0.25">
      <c r="A407">
        <v>2597850018</v>
      </c>
      <c r="B407" t="s">
        <v>1383</v>
      </c>
      <c r="C407">
        <v>2499000</v>
      </c>
      <c r="D407" t="s">
        <v>1384</v>
      </c>
      <c r="E407" t="s">
        <v>1776</v>
      </c>
      <c r="F407">
        <v>5</v>
      </c>
      <c r="I407" t="str">
        <f>HYPERLINK("tel:+13103504528", "310-350-4528")</f>
        <v>310-350-4528</v>
      </c>
      <c r="J407" t="s">
        <v>1777</v>
      </c>
      <c r="K407" t="s">
        <v>24</v>
      </c>
      <c r="M407">
        <v>3103504528</v>
      </c>
    </row>
    <row r="408" spans="1:13" x14ac:dyDescent="0.25">
      <c r="A408">
        <v>1709378803</v>
      </c>
      <c r="B408" t="s">
        <v>1778</v>
      </c>
      <c r="C408">
        <v>3595000</v>
      </c>
      <c r="D408" t="s">
        <v>1779</v>
      </c>
      <c r="E408" t="s">
        <v>1780</v>
      </c>
      <c r="F408">
        <v>5</v>
      </c>
      <c r="I408" t="str">
        <f>HYPERLINK("tel:+13103631626", "310-363-1626")</f>
        <v>310-363-1626</v>
      </c>
      <c r="J408" t="s">
        <v>1781</v>
      </c>
      <c r="K408" t="s">
        <v>58</v>
      </c>
      <c r="M408">
        <v>3103631626</v>
      </c>
    </row>
    <row r="409" spans="1:13" x14ac:dyDescent="0.25">
      <c r="A409">
        <v>2892945964</v>
      </c>
      <c r="B409" t="s">
        <v>1782</v>
      </c>
      <c r="C409">
        <v>3400000</v>
      </c>
      <c r="D409" t="s">
        <v>1783</v>
      </c>
      <c r="E409" t="s">
        <v>1784</v>
      </c>
      <c r="F409">
        <v>5</v>
      </c>
      <c r="I409" t="str">
        <f>HYPERLINK("tel:+13103673372", "310-367-3372")</f>
        <v>310-367-3372</v>
      </c>
      <c r="J409" t="s">
        <v>1785</v>
      </c>
      <c r="K409" t="s">
        <v>1786</v>
      </c>
      <c r="M409">
        <v>3103673372</v>
      </c>
    </row>
    <row r="410" spans="1:13" x14ac:dyDescent="0.25">
      <c r="A410">
        <v>2929491103</v>
      </c>
      <c r="B410" t="s">
        <v>1787</v>
      </c>
      <c r="C410">
        <v>3295000</v>
      </c>
      <c r="D410" t="s">
        <v>1788</v>
      </c>
      <c r="E410" t="s">
        <v>1789</v>
      </c>
      <c r="F410">
        <v>5</v>
      </c>
      <c r="I410" t="str">
        <f>HYPERLINK("tel:+13104028958", "310-402-8958")</f>
        <v>310-402-8958</v>
      </c>
      <c r="J410" t="s">
        <v>1790</v>
      </c>
      <c r="K410" t="s">
        <v>1465</v>
      </c>
      <c r="M410">
        <v>3104028958</v>
      </c>
    </row>
    <row r="411" spans="1:13" x14ac:dyDescent="0.25">
      <c r="A411">
        <v>1180040028</v>
      </c>
      <c r="B411" t="s">
        <v>1315</v>
      </c>
      <c r="C411">
        <v>2485000</v>
      </c>
      <c r="D411" t="s">
        <v>1316</v>
      </c>
      <c r="E411" t="s">
        <v>1791</v>
      </c>
      <c r="F411">
        <v>5</v>
      </c>
      <c r="I411" t="str">
        <f>HYPERLINK("tel:+13104039145", "310-403-9145")</f>
        <v>310-403-9145</v>
      </c>
      <c r="J411" t="s">
        <v>1792</v>
      </c>
      <c r="K411" t="s">
        <v>173</v>
      </c>
      <c r="M411">
        <v>3104039145</v>
      </c>
    </row>
    <row r="412" spans="1:13" x14ac:dyDescent="0.25">
      <c r="A412">
        <v>2434040307</v>
      </c>
      <c r="B412" t="s">
        <v>1793</v>
      </c>
      <c r="C412">
        <v>2750000</v>
      </c>
      <c r="D412" t="s">
        <v>1794</v>
      </c>
      <c r="E412" t="s">
        <v>1795</v>
      </c>
      <c r="F412">
        <v>5</v>
      </c>
      <c r="I412" t="str">
        <f>HYPERLINK("tel:+13104097660", "310-409-7660")</f>
        <v>310-409-7660</v>
      </c>
      <c r="J412" t="s">
        <v>1796</v>
      </c>
      <c r="K412" t="s">
        <v>168</v>
      </c>
      <c r="M412">
        <v>3104097660</v>
      </c>
    </row>
    <row r="413" spans="1:13" x14ac:dyDescent="0.25">
      <c r="A413">
        <v>2446524398</v>
      </c>
      <c r="B413" t="s">
        <v>1797</v>
      </c>
      <c r="C413">
        <v>5950000</v>
      </c>
      <c r="D413" t="s">
        <v>1798</v>
      </c>
      <c r="E413" t="s">
        <v>1799</v>
      </c>
      <c r="F413">
        <v>5</v>
      </c>
      <c r="I413" t="str">
        <f>HYPERLINK("tel:+13104326492", "310-432-6492")</f>
        <v>310-432-6492</v>
      </c>
      <c r="J413" t="s">
        <v>1800</v>
      </c>
      <c r="K413" t="s">
        <v>24</v>
      </c>
      <c r="M413">
        <v>3104326492</v>
      </c>
    </row>
    <row r="414" spans="1:13" x14ac:dyDescent="0.25">
      <c r="A414">
        <v>1906406349</v>
      </c>
      <c r="B414" t="s">
        <v>1045</v>
      </c>
      <c r="C414">
        <v>1999000</v>
      </c>
      <c r="D414" t="s">
        <v>1046</v>
      </c>
      <c r="E414" t="s">
        <v>1801</v>
      </c>
      <c r="F414">
        <v>5</v>
      </c>
      <c r="I414" t="str">
        <f>HYPERLINK("tel:+13104326511", "310-432-6511")</f>
        <v>310-432-6511</v>
      </c>
      <c r="J414" t="s">
        <v>1802</v>
      </c>
      <c r="K414" t="s">
        <v>14</v>
      </c>
      <c r="M414">
        <v>3104326511</v>
      </c>
    </row>
    <row r="415" spans="1:13" x14ac:dyDescent="0.25">
      <c r="A415">
        <v>1135591297</v>
      </c>
      <c r="B415" t="s">
        <v>1803</v>
      </c>
      <c r="C415">
        <v>3495000</v>
      </c>
      <c r="D415" t="s">
        <v>1804</v>
      </c>
      <c r="E415" t="s">
        <v>1805</v>
      </c>
      <c r="F415">
        <v>5</v>
      </c>
      <c r="I415" t="str">
        <f>HYPERLINK("tel:+13104350520", "310-435-0520")</f>
        <v>310-435-0520</v>
      </c>
      <c r="J415" t="s">
        <v>1806</v>
      </c>
      <c r="K415" t="s">
        <v>4</v>
      </c>
      <c r="M415">
        <v>3104350520</v>
      </c>
    </row>
    <row r="416" spans="1:13" x14ac:dyDescent="0.25">
      <c r="A416">
        <v>2499404771</v>
      </c>
      <c r="B416" t="s">
        <v>1807</v>
      </c>
      <c r="C416">
        <v>9495000</v>
      </c>
      <c r="D416" t="s">
        <v>1808</v>
      </c>
      <c r="E416" t="s">
        <v>1809</v>
      </c>
      <c r="F416">
        <v>5</v>
      </c>
      <c r="I416" t="str">
        <f>HYPERLINK("tel:+13104563638", "310-456-3638")</f>
        <v>310-456-3638</v>
      </c>
      <c r="J416" t="s">
        <v>1810</v>
      </c>
      <c r="K416" t="s">
        <v>136</v>
      </c>
      <c r="M416">
        <v>3104563638</v>
      </c>
    </row>
    <row r="417" spans="1:13" x14ac:dyDescent="0.25">
      <c r="A417">
        <v>1229627791</v>
      </c>
      <c r="B417" t="s">
        <v>1811</v>
      </c>
      <c r="C417">
        <v>1645000</v>
      </c>
      <c r="D417" t="s">
        <v>1812</v>
      </c>
      <c r="E417" t="s">
        <v>1813</v>
      </c>
      <c r="F417">
        <v>5</v>
      </c>
      <c r="I417" t="str">
        <f>HYPERLINK("tel:+13104773800", "310-477-3800")</f>
        <v>310-477-3800</v>
      </c>
      <c r="J417" t="s">
        <v>1814</v>
      </c>
      <c r="K417" t="s">
        <v>1813</v>
      </c>
      <c r="M417">
        <v>3104773800</v>
      </c>
    </row>
    <row r="418" spans="1:13" x14ac:dyDescent="0.25">
      <c r="A418">
        <v>1813946397</v>
      </c>
      <c r="B418" t="s">
        <v>1815</v>
      </c>
      <c r="C418">
        <v>4195000</v>
      </c>
      <c r="D418" t="s">
        <v>1816</v>
      </c>
      <c r="E418" t="s">
        <v>1817</v>
      </c>
      <c r="F418">
        <v>5</v>
      </c>
      <c r="I418" t="str">
        <f>HYPERLINK("tel:+13104884410", "310-488-4410")</f>
        <v>310-488-4410</v>
      </c>
      <c r="J418" t="s">
        <v>1818</v>
      </c>
      <c r="K418" t="s">
        <v>14</v>
      </c>
      <c r="M418">
        <v>3104884410</v>
      </c>
    </row>
    <row r="419" spans="1:13" x14ac:dyDescent="0.25">
      <c r="A419">
        <v>2520808720</v>
      </c>
      <c r="B419" t="s">
        <v>1819</v>
      </c>
      <c r="C419">
        <v>889000</v>
      </c>
      <c r="D419" t="s">
        <v>1820</v>
      </c>
      <c r="E419" t="s">
        <v>1821</v>
      </c>
      <c r="F419">
        <v>5</v>
      </c>
      <c r="I419" t="str">
        <f>HYPERLINK("tel:+13105257653", "310-525-7653")</f>
        <v>310-525-7653</v>
      </c>
      <c r="J419" t="s">
        <v>1822</v>
      </c>
      <c r="K419" t="s">
        <v>532</v>
      </c>
      <c r="M419">
        <v>3105257653</v>
      </c>
    </row>
    <row r="420" spans="1:13" x14ac:dyDescent="0.25">
      <c r="A420">
        <v>2403020523</v>
      </c>
      <c r="B420" t="s">
        <v>1823</v>
      </c>
      <c r="C420">
        <v>1898000</v>
      </c>
      <c r="D420" t="s">
        <v>1824</v>
      </c>
      <c r="E420" t="s">
        <v>1825</v>
      </c>
      <c r="F420">
        <v>5</v>
      </c>
      <c r="I420" t="str">
        <f>HYPERLINK("tel:+13105287708", "310-528-7708")</f>
        <v>310-528-7708</v>
      </c>
      <c r="J420" t="s">
        <v>1826</v>
      </c>
      <c r="K420" t="s">
        <v>1827</v>
      </c>
      <c r="M420">
        <v>3105287708</v>
      </c>
    </row>
    <row r="421" spans="1:13" x14ac:dyDescent="0.25">
      <c r="A421">
        <v>1813946397</v>
      </c>
      <c r="B421" t="s">
        <v>1815</v>
      </c>
      <c r="C421">
        <v>4195000</v>
      </c>
      <c r="D421" t="s">
        <v>1816</v>
      </c>
      <c r="E421" t="s">
        <v>1828</v>
      </c>
      <c r="F421">
        <v>5</v>
      </c>
      <c r="I421" t="str">
        <f>HYPERLINK("tel:+13105595570", "310-559-5570")</f>
        <v>310-559-5570</v>
      </c>
      <c r="J421" t="s">
        <v>1829</v>
      </c>
      <c r="K421" t="s">
        <v>14</v>
      </c>
      <c r="M421">
        <v>3105595570</v>
      </c>
    </row>
    <row r="422" spans="1:13" x14ac:dyDescent="0.25">
      <c r="A422">
        <v>2182084476</v>
      </c>
      <c r="B422" t="s">
        <v>575</v>
      </c>
      <c r="C422">
        <v>2200000</v>
      </c>
      <c r="D422" t="s">
        <v>576</v>
      </c>
      <c r="E422" t="s">
        <v>1830</v>
      </c>
      <c r="F422">
        <v>5</v>
      </c>
      <c r="I422" t="str">
        <f>HYPERLINK("tel:+13105629630", "310-562-9630")</f>
        <v>310-562-9630</v>
      </c>
      <c r="J422" t="s">
        <v>1831</v>
      </c>
      <c r="K422" t="s">
        <v>168</v>
      </c>
      <c r="M422">
        <v>3105629630</v>
      </c>
    </row>
    <row r="423" spans="1:13" x14ac:dyDescent="0.25">
      <c r="A423">
        <v>1135942679</v>
      </c>
      <c r="B423" t="s">
        <v>1832</v>
      </c>
      <c r="C423">
        <v>3490000</v>
      </c>
      <c r="D423" t="s">
        <v>1833</v>
      </c>
      <c r="E423" t="s">
        <v>1834</v>
      </c>
      <c r="F423">
        <v>5</v>
      </c>
      <c r="I423" t="str">
        <f>HYPERLINK("tel:+13105738670", "310-573-8670")</f>
        <v>310-573-8670</v>
      </c>
      <c r="J423" t="s">
        <v>1835</v>
      </c>
      <c r="K423" t="s">
        <v>431</v>
      </c>
      <c r="M423">
        <v>3105738670</v>
      </c>
    </row>
    <row r="424" spans="1:13" x14ac:dyDescent="0.25">
      <c r="A424">
        <v>2833508466</v>
      </c>
      <c r="B424" t="s">
        <v>1836</v>
      </c>
      <c r="C424">
        <v>785000</v>
      </c>
      <c r="D424" t="s">
        <v>1837</v>
      </c>
      <c r="E424" t="s">
        <v>1838</v>
      </c>
      <c r="F424">
        <v>5</v>
      </c>
      <c r="I424" t="str">
        <f>HYPERLINK("tel:+13105959000", "310-595-9000")</f>
        <v>310-595-9000</v>
      </c>
      <c r="J424" t="s">
        <v>1839</v>
      </c>
      <c r="K424" t="s">
        <v>1840</v>
      </c>
      <c r="M424">
        <v>3105959000</v>
      </c>
    </row>
    <row r="425" spans="1:13" x14ac:dyDescent="0.25">
      <c r="A425">
        <v>1405832660</v>
      </c>
      <c r="B425" t="s">
        <v>1841</v>
      </c>
      <c r="C425">
        <v>163000</v>
      </c>
      <c r="D425" t="s">
        <v>1842</v>
      </c>
      <c r="E425" t="s">
        <v>1843</v>
      </c>
      <c r="F425">
        <v>5</v>
      </c>
      <c r="I425" t="str">
        <f>HYPERLINK("tel:+13106124580", "310-612-4580")</f>
        <v>310-612-4580</v>
      </c>
      <c r="J425" t="s">
        <v>1844</v>
      </c>
      <c r="K425" t="s">
        <v>1845</v>
      </c>
      <c r="M425">
        <v>3106124580</v>
      </c>
    </row>
    <row r="426" spans="1:13" x14ac:dyDescent="0.25">
      <c r="A426">
        <v>2992358658</v>
      </c>
      <c r="B426" t="s">
        <v>1846</v>
      </c>
      <c r="C426">
        <v>2850000</v>
      </c>
      <c r="D426" t="s">
        <v>1847</v>
      </c>
      <c r="E426" t="s">
        <v>1848</v>
      </c>
      <c r="F426">
        <v>5</v>
      </c>
      <c r="I426" t="str">
        <f>HYPERLINK("tel:+13106504156", "310-650-4156")</f>
        <v>310-650-4156</v>
      </c>
      <c r="J426" t="s">
        <v>1849</v>
      </c>
      <c r="K426" t="s">
        <v>24</v>
      </c>
      <c r="M426">
        <v>3106504156</v>
      </c>
    </row>
    <row r="427" spans="1:13" x14ac:dyDescent="0.25">
      <c r="A427">
        <v>1319522691</v>
      </c>
      <c r="B427" t="s">
        <v>1850</v>
      </c>
      <c r="C427">
        <v>2950000</v>
      </c>
      <c r="D427" t="s">
        <v>1851</v>
      </c>
      <c r="E427" t="s">
        <v>1852</v>
      </c>
      <c r="F427">
        <v>5</v>
      </c>
      <c r="I427" t="str">
        <f>HYPERLINK("tel:+13106663294", "310-666-3294")</f>
        <v>310-666-3294</v>
      </c>
      <c r="J427" t="s">
        <v>1853</v>
      </c>
      <c r="K427" t="s">
        <v>1854</v>
      </c>
      <c r="M427">
        <v>3106663294</v>
      </c>
    </row>
    <row r="428" spans="1:13" x14ac:dyDescent="0.25">
      <c r="A428">
        <v>1935487632</v>
      </c>
      <c r="B428" t="s">
        <v>1855</v>
      </c>
      <c r="C428">
        <v>3199000</v>
      </c>
      <c r="D428" t="s">
        <v>1856</v>
      </c>
      <c r="E428" t="s">
        <v>1857</v>
      </c>
      <c r="F428">
        <v>5</v>
      </c>
      <c r="I428" t="str">
        <f>HYPERLINK("tel:+13106993991", "310-699-3991")</f>
        <v>310-699-3991</v>
      </c>
      <c r="J428" t="s">
        <v>1858</v>
      </c>
      <c r="K428" t="s">
        <v>63</v>
      </c>
      <c r="M428">
        <v>3106993991</v>
      </c>
    </row>
    <row r="429" spans="1:13" x14ac:dyDescent="0.25">
      <c r="A429">
        <v>9798202332</v>
      </c>
      <c r="B429" t="s">
        <v>1859</v>
      </c>
      <c r="C429">
        <v>1649000</v>
      </c>
      <c r="D429" t="s">
        <v>1860</v>
      </c>
      <c r="E429" t="s">
        <v>1861</v>
      </c>
      <c r="F429">
        <v>5</v>
      </c>
      <c r="I429" t="str">
        <f>HYPERLINK("tel:+13107108841", "310-710-8841")</f>
        <v>310-710-8841</v>
      </c>
      <c r="J429" t="s">
        <v>1862</v>
      </c>
      <c r="K429" t="s">
        <v>63</v>
      </c>
      <c r="M429">
        <v>3107108841</v>
      </c>
    </row>
    <row r="430" spans="1:13" x14ac:dyDescent="0.25">
      <c r="A430">
        <v>2303354946</v>
      </c>
      <c r="B430" t="s">
        <v>1863</v>
      </c>
      <c r="C430">
        <v>1180000</v>
      </c>
      <c r="D430" t="s">
        <v>1864</v>
      </c>
      <c r="E430" t="s">
        <v>1865</v>
      </c>
      <c r="F430">
        <v>5</v>
      </c>
      <c r="I430" t="str">
        <f>HYPERLINK("tel:+13107388098", "310-738-8098")</f>
        <v>310-738-8098</v>
      </c>
      <c r="J430" t="s">
        <v>1866</v>
      </c>
      <c r="K430" t="s">
        <v>107</v>
      </c>
      <c r="M430">
        <v>3107388098</v>
      </c>
    </row>
    <row r="431" spans="1:13" x14ac:dyDescent="0.25">
      <c r="A431">
        <v>1939665943</v>
      </c>
      <c r="B431" t="s">
        <v>1867</v>
      </c>
      <c r="C431">
        <v>2745000</v>
      </c>
      <c r="D431" t="s">
        <v>1868</v>
      </c>
      <c r="E431" t="s">
        <v>1869</v>
      </c>
      <c r="F431">
        <v>5</v>
      </c>
      <c r="I431" t="str">
        <f>HYPERLINK("tel:+13107514229", "310-751-4229")</f>
        <v>310-751-4229</v>
      </c>
      <c r="J431" t="s">
        <v>1870</v>
      </c>
      <c r="K431" t="s">
        <v>1871</v>
      </c>
      <c r="M431">
        <v>3107514229</v>
      </c>
    </row>
    <row r="432" spans="1:13" x14ac:dyDescent="0.25">
      <c r="A432">
        <v>1773052360</v>
      </c>
      <c r="B432" t="s">
        <v>1872</v>
      </c>
      <c r="C432">
        <v>729000</v>
      </c>
      <c r="D432" t="s">
        <v>1873</v>
      </c>
      <c r="E432" t="s">
        <v>1874</v>
      </c>
      <c r="F432">
        <v>5</v>
      </c>
      <c r="I432" t="str">
        <f>HYPERLINK("tel:+13107702646", "310-770-2646")</f>
        <v>310-770-2646</v>
      </c>
      <c r="J432" t="s">
        <v>1875</v>
      </c>
      <c r="K432" t="s">
        <v>1876</v>
      </c>
      <c r="M432">
        <v>3107702646</v>
      </c>
    </row>
    <row r="433" spans="1:13" x14ac:dyDescent="0.25">
      <c r="A433">
        <v>2982660831</v>
      </c>
      <c r="B433" t="s">
        <v>1877</v>
      </c>
      <c r="C433">
        <v>469000</v>
      </c>
      <c r="D433" t="s">
        <v>1878</v>
      </c>
      <c r="E433" t="s">
        <v>1879</v>
      </c>
      <c r="F433">
        <v>5</v>
      </c>
      <c r="I433" t="str">
        <f>HYPERLINK("tel:+13107702976", "310-770-2976")</f>
        <v>310-770-2976</v>
      </c>
      <c r="J433" t="s">
        <v>1880</v>
      </c>
      <c r="K433" t="s">
        <v>1881</v>
      </c>
      <c r="M433">
        <v>3107702976</v>
      </c>
    </row>
    <row r="434" spans="1:13" x14ac:dyDescent="0.25">
      <c r="A434">
        <v>2439904357</v>
      </c>
      <c r="B434" t="s">
        <v>1882</v>
      </c>
      <c r="C434">
        <v>3350000</v>
      </c>
      <c r="D434" t="s">
        <v>1883</v>
      </c>
      <c r="E434" t="s">
        <v>1884</v>
      </c>
      <c r="F434">
        <v>5</v>
      </c>
      <c r="I434" t="str">
        <f>HYPERLINK("tel:+13107797171", "310-779-7171")</f>
        <v>310-779-7171</v>
      </c>
      <c r="J434" t="s">
        <v>1885</v>
      </c>
      <c r="K434" t="s">
        <v>1886</v>
      </c>
      <c r="M434">
        <v>3107797171</v>
      </c>
    </row>
    <row r="435" spans="1:13" x14ac:dyDescent="0.25">
      <c r="A435">
        <v>2826115289</v>
      </c>
      <c r="B435" t="s">
        <v>1887</v>
      </c>
      <c r="C435">
        <v>1850000</v>
      </c>
      <c r="D435" t="s">
        <v>1888</v>
      </c>
      <c r="E435" t="s">
        <v>1889</v>
      </c>
      <c r="F435">
        <v>5</v>
      </c>
      <c r="I435" t="str">
        <f>HYPERLINK("tel:+13107797211", "310-779-7211")</f>
        <v>310-779-7211</v>
      </c>
      <c r="J435" t="s">
        <v>1890</v>
      </c>
      <c r="K435" t="s">
        <v>63</v>
      </c>
      <c r="M435">
        <v>3107797211</v>
      </c>
    </row>
    <row r="436" spans="1:13" x14ac:dyDescent="0.25">
      <c r="A436">
        <v>1343969149</v>
      </c>
      <c r="B436" t="s">
        <v>1891</v>
      </c>
      <c r="C436">
        <v>5295000</v>
      </c>
      <c r="D436" t="s">
        <v>1892</v>
      </c>
      <c r="E436" t="s">
        <v>1893</v>
      </c>
      <c r="F436">
        <v>5</v>
      </c>
      <c r="I436" t="str">
        <f>HYPERLINK("tel:+13108203901", "310-820-3901")</f>
        <v>310-820-3901</v>
      </c>
      <c r="J436" t="s">
        <v>1894</v>
      </c>
      <c r="K436" t="s">
        <v>431</v>
      </c>
      <c r="M436">
        <v>3108203901</v>
      </c>
    </row>
    <row r="437" spans="1:13" x14ac:dyDescent="0.25">
      <c r="A437">
        <v>1654736752</v>
      </c>
      <c r="B437" t="s">
        <v>1895</v>
      </c>
      <c r="C437">
        <v>5295000</v>
      </c>
      <c r="D437" t="s">
        <v>1896</v>
      </c>
      <c r="E437" t="s">
        <v>1897</v>
      </c>
      <c r="F437">
        <v>5</v>
      </c>
      <c r="I437" t="str">
        <f>HYPERLINK("tel:+13108262466", "310-826-2466")</f>
        <v>310-826-2466</v>
      </c>
      <c r="J437" t="s">
        <v>1898</v>
      </c>
      <c r="K437" t="s">
        <v>1899</v>
      </c>
      <c r="M437">
        <v>3108262466</v>
      </c>
    </row>
    <row r="438" spans="1:13" x14ac:dyDescent="0.25">
      <c r="A438">
        <v>9192793009</v>
      </c>
      <c r="B438" t="s">
        <v>1015</v>
      </c>
      <c r="C438">
        <v>3400000</v>
      </c>
      <c r="D438" t="s">
        <v>1016</v>
      </c>
      <c r="E438" t="s">
        <v>1900</v>
      </c>
      <c r="F438">
        <v>5</v>
      </c>
      <c r="I438" t="str">
        <f>HYPERLINK("tel:+13108669978", "310-866-9978")</f>
        <v>310-866-9978</v>
      </c>
      <c r="J438" t="s">
        <v>1901</v>
      </c>
      <c r="K438" t="s">
        <v>1902</v>
      </c>
      <c r="M438">
        <v>3108669978</v>
      </c>
    </row>
    <row r="439" spans="1:13" x14ac:dyDescent="0.25">
      <c r="A439">
        <v>2315340058</v>
      </c>
      <c r="B439" t="s">
        <v>1903</v>
      </c>
      <c r="C439">
        <v>6450000</v>
      </c>
      <c r="D439" t="s">
        <v>1904</v>
      </c>
      <c r="E439" t="s">
        <v>1905</v>
      </c>
      <c r="F439">
        <v>5</v>
      </c>
      <c r="I439" t="str">
        <f>HYPERLINK("tel:+13108695323", "310-869-5323")</f>
        <v>310-869-5323</v>
      </c>
      <c r="J439" t="s">
        <v>1906</v>
      </c>
      <c r="K439" t="s">
        <v>1465</v>
      </c>
      <c r="M439">
        <v>3108695323</v>
      </c>
    </row>
    <row r="440" spans="1:13" x14ac:dyDescent="0.25">
      <c r="A440">
        <v>1630996513</v>
      </c>
      <c r="B440" t="s">
        <v>1907</v>
      </c>
      <c r="C440">
        <v>16500000</v>
      </c>
      <c r="D440" t="s">
        <v>1908</v>
      </c>
      <c r="E440" t="s">
        <v>1909</v>
      </c>
      <c r="F440">
        <v>5</v>
      </c>
      <c r="I440" t="str">
        <f>HYPERLINK("tel:+13108769699", "310-876-9699")</f>
        <v>310-876-9699</v>
      </c>
      <c r="J440" t="s">
        <v>1910</v>
      </c>
      <c r="K440" t="s">
        <v>351</v>
      </c>
      <c r="M440">
        <v>3108769699</v>
      </c>
    </row>
    <row r="441" spans="1:13" x14ac:dyDescent="0.25">
      <c r="A441">
        <v>1572395006</v>
      </c>
      <c r="B441" t="s">
        <v>1911</v>
      </c>
      <c r="C441">
        <v>665000</v>
      </c>
      <c r="D441" t="s">
        <v>1912</v>
      </c>
      <c r="E441" t="s">
        <v>1913</v>
      </c>
      <c r="F441">
        <v>5</v>
      </c>
      <c r="I441" t="str">
        <f>HYPERLINK("tel:+13108950439", "310-895-0439")</f>
        <v>310-895-0439</v>
      </c>
      <c r="J441" t="s">
        <v>1914</v>
      </c>
      <c r="K441" t="s">
        <v>1915</v>
      </c>
      <c r="M441">
        <v>3108950439</v>
      </c>
    </row>
    <row r="442" spans="1:13" x14ac:dyDescent="0.25">
      <c r="A442">
        <v>1281649824</v>
      </c>
      <c r="B442" t="s">
        <v>1916</v>
      </c>
      <c r="C442">
        <v>980000</v>
      </c>
      <c r="D442" t="s">
        <v>1917</v>
      </c>
      <c r="E442" t="s">
        <v>1918</v>
      </c>
      <c r="F442">
        <v>5</v>
      </c>
      <c r="I442" t="str">
        <f>HYPERLINK("tel:+13109037853", "310-903-7853")</f>
        <v>310-903-7853</v>
      </c>
      <c r="J442" t="s">
        <v>1919</v>
      </c>
      <c r="K442" t="s">
        <v>450</v>
      </c>
      <c r="M442">
        <v>3109037853</v>
      </c>
    </row>
    <row r="443" spans="1:13" x14ac:dyDescent="0.25">
      <c r="A443">
        <v>9247276570</v>
      </c>
      <c r="B443" t="s">
        <v>1920</v>
      </c>
      <c r="C443">
        <v>1995000</v>
      </c>
      <c r="D443" t="s">
        <v>1921</v>
      </c>
      <c r="E443" t="s">
        <v>1922</v>
      </c>
      <c r="F443">
        <v>5</v>
      </c>
      <c r="I443" t="str">
        <f>HYPERLINK("tel:+13109039492", "310-903-9492")</f>
        <v>310-903-9492</v>
      </c>
      <c r="J443" t="s">
        <v>1923</v>
      </c>
      <c r="K443" t="s">
        <v>24</v>
      </c>
      <c r="M443">
        <v>3109039492</v>
      </c>
    </row>
    <row r="444" spans="1:13" x14ac:dyDescent="0.25">
      <c r="A444">
        <v>1805349337</v>
      </c>
      <c r="B444" t="s">
        <v>73</v>
      </c>
      <c r="C444">
        <v>1640000</v>
      </c>
      <c r="D444" t="s">
        <v>74</v>
      </c>
      <c r="E444" t="s">
        <v>1924</v>
      </c>
      <c r="F444">
        <v>5</v>
      </c>
      <c r="I444" t="str">
        <f>HYPERLINK("tel:+13109093360", "310-909-3360")</f>
        <v>310-909-3360</v>
      </c>
      <c r="J444" t="s">
        <v>1925</v>
      </c>
      <c r="K444" t="s">
        <v>77</v>
      </c>
      <c r="M444">
        <v>3109093360</v>
      </c>
    </row>
    <row r="445" spans="1:13" x14ac:dyDescent="0.25">
      <c r="A445">
        <v>1355458982</v>
      </c>
      <c r="B445" t="s">
        <v>1926</v>
      </c>
      <c r="C445">
        <v>4299000</v>
      </c>
      <c r="D445" t="s">
        <v>1927</v>
      </c>
      <c r="E445" t="s">
        <v>1928</v>
      </c>
      <c r="F445">
        <v>5</v>
      </c>
      <c r="I445" t="str">
        <f>HYPERLINK("tel:+13109195470", "310-919-5470")</f>
        <v>310-919-5470</v>
      </c>
      <c r="J445" t="s">
        <v>1929</v>
      </c>
      <c r="K445" t="s">
        <v>1328</v>
      </c>
      <c r="M445">
        <v>3109195470</v>
      </c>
    </row>
    <row r="446" spans="1:13" x14ac:dyDescent="0.25">
      <c r="A446">
        <v>2497828229</v>
      </c>
      <c r="B446" t="s">
        <v>1930</v>
      </c>
      <c r="C446">
        <v>620000</v>
      </c>
      <c r="D446" t="s">
        <v>1931</v>
      </c>
      <c r="E446" t="s">
        <v>1932</v>
      </c>
      <c r="F446">
        <v>5</v>
      </c>
      <c r="I446" t="str">
        <f>HYPERLINK("tel:+13109630683", "310-963-0683")</f>
        <v>310-963-0683</v>
      </c>
      <c r="J446" t="s">
        <v>1933</v>
      </c>
      <c r="K446" t="s">
        <v>24</v>
      </c>
      <c r="M446">
        <v>3109630683</v>
      </c>
    </row>
    <row r="447" spans="1:13" x14ac:dyDescent="0.25">
      <c r="A447">
        <v>2322569651</v>
      </c>
      <c r="B447" t="s">
        <v>1934</v>
      </c>
      <c r="C447">
        <v>7999000</v>
      </c>
      <c r="D447" t="s">
        <v>1935</v>
      </c>
      <c r="E447" t="s">
        <v>1936</v>
      </c>
      <c r="F447">
        <v>5</v>
      </c>
      <c r="I447" t="str">
        <f>HYPERLINK("tel:+13109755208", "310-975-5208")</f>
        <v>310-975-5208</v>
      </c>
      <c r="J447" t="s">
        <v>1937</v>
      </c>
      <c r="K447" t="s">
        <v>136</v>
      </c>
      <c r="M447">
        <v>3109755208</v>
      </c>
    </row>
    <row r="448" spans="1:13" x14ac:dyDescent="0.25">
      <c r="A448">
        <v>1047027822</v>
      </c>
      <c r="B448" t="s">
        <v>1938</v>
      </c>
      <c r="C448">
        <v>2250000</v>
      </c>
      <c r="D448" t="s">
        <v>1939</v>
      </c>
      <c r="E448" t="s">
        <v>1940</v>
      </c>
      <c r="F448">
        <v>5</v>
      </c>
      <c r="I448" t="str">
        <f>HYPERLINK("tel:+13109889766", "310-988-9766")</f>
        <v>310-988-9766</v>
      </c>
      <c r="J448" t="s">
        <v>1941</v>
      </c>
      <c r="K448" t="s">
        <v>24</v>
      </c>
      <c r="M448">
        <v>3109889766</v>
      </c>
    </row>
    <row r="449" spans="1:13" x14ac:dyDescent="0.25">
      <c r="A449">
        <v>2369022611</v>
      </c>
      <c r="B449" t="s">
        <v>1942</v>
      </c>
      <c r="C449">
        <v>995000</v>
      </c>
      <c r="D449" t="s">
        <v>1943</v>
      </c>
      <c r="E449" t="s">
        <v>1944</v>
      </c>
      <c r="F449">
        <v>5</v>
      </c>
      <c r="I449" t="str">
        <f>HYPERLINK("tel:+13109931065", "310-993-1065")</f>
        <v>310-993-1065</v>
      </c>
      <c r="J449" t="s">
        <v>1945</v>
      </c>
      <c r="K449" t="s">
        <v>24</v>
      </c>
      <c r="M449">
        <v>3109931065</v>
      </c>
    </row>
    <row r="450" spans="1:13" x14ac:dyDescent="0.25">
      <c r="A450">
        <v>1712291907</v>
      </c>
      <c r="B450" t="s">
        <v>1946</v>
      </c>
      <c r="C450">
        <v>1625000</v>
      </c>
      <c r="D450" t="s">
        <v>1947</v>
      </c>
      <c r="E450" t="s">
        <v>1948</v>
      </c>
      <c r="F450">
        <v>5</v>
      </c>
      <c r="I450" t="str">
        <f>HYPERLINK("tel:+13109977059", "310-997-7059")</f>
        <v>310-997-7059</v>
      </c>
      <c r="J450" t="s">
        <v>1949</v>
      </c>
      <c r="K450" t="s">
        <v>107</v>
      </c>
      <c r="M450">
        <v>3109977059</v>
      </c>
    </row>
    <row r="451" spans="1:13" x14ac:dyDescent="0.25">
      <c r="A451">
        <v>1702068963</v>
      </c>
      <c r="B451" t="s">
        <v>1950</v>
      </c>
      <c r="C451">
        <v>695000</v>
      </c>
      <c r="D451" t="s">
        <v>1951</v>
      </c>
      <c r="E451" t="s">
        <v>1952</v>
      </c>
      <c r="F451">
        <v>5</v>
      </c>
      <c r="I451" t="str">
        <f>HYPERLINK("tel:+13232563133", "323-256-3133")</f>
        <v>323-256-3133</v>
      </c>
      <c r="J451" t="s">
        <v>1953</v>
      </c>
      <c r="K451" t="s">
        <v>1954</v>
      </c>
      <c r="M451">
        <v>3232563133</v>
      </c>
    </row>
    <row r="452" spans="1:13" x14ac:dyDescent="0.25">
      <c r="A452">
        <v>1702068963</v>
      </c>
      <c r="B452" t="s">
        <v>1950</v>
      </c>
      <c r="C452">
        <v>695000</v>
      </c>
      <c r="D452" t="s">
        <v>1951</v>
      </c>
      <c r="E452" t="s">
        <v>1955</v>
      </c>
      <c r="F452">
        <v>5</v>
      </c>
      <c r="I452" t="str">
        <f>HYPERLINK("tel:+13232578141", "323-257-8141")</f>
        <v>323-257-8141</v>
      </c>
      <c r="J452" t="s">
        <v>1956</v>
      </c>
      <c r="K452" t="s">
        <v>1954</v>
      </c>
      <c r="M452">
        <v>3232578141</v>
      </c>
    </row>
    <row r="453" spans="1:13" x14ac:dyDescent="0.25">
      <c r="A453">
        <v>1756310413</v>
      </c>
      <c r="B453" t="s">
        <v>1957</v>
      </c>
      <c r="C453">
        <v>89999</v>
      </c>
      <c r="D453" t="s">
        <v>1958</v>
      </c>
      <c r="E453" t="s">
        <v>1959</v>
      </c>
      <c r="F453">
        <v>5</v>
      </c>
      <c r="I453" t="str">
        <f>HYPERLINK("tel:+13233045760", "323-304-5760")</f>
        <v>323-304-5760</v>
      </c>
      <c r="J453" t="s">
        <v>1960</v>
      </c>
      <c r="K453" t="s">
        <v>1961</v>
      </c>
      <c r="M453">
        <v>3233045760</v>
      </c>
    </row>
    <row r="454" spans="1:13" x14ac:dyDescent="0.25">
      <c r="A454">
        <v>2378439522</v>
      </c>
      <c r="B454" t="s">
        <v>1962</v>
      </c>
      <c r="C454">
        <v>1799000</v>
      </c>
      <c r="D454" t="s">
        <v>1963</v>
      </c>
      <c r="E454" t="s">
        <v>1964</v>
      </c>
      <c r="F454">
        <v>5</v>
      </c>
      <c r="I454" t="str">
        <f>HYPERLINK("tel:+13233592950", "323-359-2950")</f>
        <v>323-359-2950</v>
      </c>
      <c r="J454" t="s">
        <v>1965</v>
      </c>
      <c r="K454" t="s">
        <v>24</v>
      </c>
      <c r="M454">
        <v>3233592950</v>
      </c>
    </row>
    <row r="455" spans="1:13" x14ac:dyDescent="0.25">
      <c r="A455">
        <v>9407705456</v>
      </c>
      <c r="B455" t="s">
        <v>1966</v>
      </c>
      <c r="C455">
        <v>1295000</v>
      </c>
      <c r="D455" t="s">
        <v>1967</v>
      </c>
      <c r="E455" t="s">
        <v>1968</v>
      </c>
      <c r="F455">
        <v>5</v>
      </c>
      <c r="I455" t="str">
        <f>HYPERLINK("tel:+13234400002", "323-440-0002")</f>
        <v>323-440-0002</v>
      </c>
      <c r="J455" t="s">
        <v>1969</v>
      </c>
      <c r="K455" t="s">
        <v>1968</v>
      </c>
      <c r="M455">
        <v>3234400002</v>
      </c>
    </row>
    <row r="456" spans="1:13" x14ac:dyDescent="0.25">
      <c r="A456">
        <v>1763932354</v>
      </c>
      <c r="B456" t="s">
        <v>1391</v>
      </c>
      <c r="C456">
        <v>4099000</v>
      </c>
      <c r="D456" t="s">
        <v>1392</v>
      </c>
      <c r="E456" t="s">
        <v>1970</v>
      </c>
      <c r="F456">
        <v>5</v>
      </c>
      <c r="I456" t="str">
        <f>HYPERLINK("tel:+13234749822", "323-474-9822")</f>
        <v>323-474-9822</v>
      </c>
      <c r="J456" t="s">
        <v>1971</v>
      </c>
      <c r="K456" t="s">
        <v>450</v>
      </c>
      <c r="M456">
        <v>3234749822</v>
      </c>
    </row>
    <row r="457" spans="1:13" x14ac:dyDescent="0.25">
      <c r="A457">
        <v>1192636008</v>
      </c>
      <c r="B457" t="s">
        <v>1972</v>
      </c>
      <c r="C457">
        <v>1849000</v>
      </c>
      <c r="D457" t="s">
        <v>1973</v>
      </c>
      <c r="E457" t="s">
        <v>1974</v>
      </c>
      <c r="F457">
        <v>5</v>
      </c>
      <c r="I457" t="str">
        <f>HYPERLINK("tel:+13236466442", "323-646-6442")</f>
        <v>323-646-6442</v>
      </c>
      <c r="J457" t="s">
        <v>1975</v>
      </c>
      <c r="K457" t="s">
        <v>214</v>
      </c>
      <c r="M457">
        <v>3236466442</v>
      </c>
    </row>
    <row r="458" spans="1:13" x14ac:dyDescent="0.25">
      <c r="A458">
        <v>1180088758</v>
      </c>
      <c r="B458" t="s">
        <v>1976</v>
      </c>
      <c r="C458">
        <v>3229000</v>
      </c>
      <c r="D458" t="s">
        <v>1977</v>
      </c>
      <c r="E458" t="s">
        <v>1978</v>
      </c>
      <c r="F458">
        <v>5</v>
      </c>
      <c r="I458" t="str">
        <f>HYPERLINK("tel:+13236786015", "323-678-6015")</f>
        <v>323-678-6015</v>
      </c>
      <c r="J458" t="s">
        <v>1979</v>
      </c>
      <c r="K458" t="s">
        <v>1980</v>
      </c>
      <c r="M458">
        <v>3236786015</v>
      </c>
    </row>
    <row r="459" spans="1:13" x14ac:dyDescent="0.25">
      <c r="A459">
        <v>1376691795</v>
      </c>
      <c r="B459" t="s">
        <v>1981</v>
      </c>
      <c r="C459">
        <v>765000</v>
      </c>
      <c r="D459" t="s">
        <v>1982</v>
      </c>
      <c r="E459" t="s">
        <v>1983</v>
      </c>
      <c r="F459">
        <v>5</v>
      </c>
      <c r="I459" t="str">
        <f>HYPERLINK("tel:+13238214820", "323-821-4820")</f>
        <v>323-821-4820</v>
      </c>
      <c r="J459" t="s">
        <v>1984</v>
      </c>
      <c r="K459" t="s">
        <v>4</v>
      </c>
      <c r="M459">
        <v>3238214820</v>
      </c>
    </row>
    <row r="460" spans="1:13" x14ac:dyDescent="0.25">
      <c r="A460">
        <v>2122234945</v>
      </c>
      <c r="B460" t="s">
        <v>1985</v>
      </c>
      <c r="C460">
        <v>1695000</v>
      </c>
      <c r="D460" t="s">
        <v>1986</v>
      </c>
      <c r="E460" t="s">
        <v>1987</v>
      </c>
      <c r="F460">
        <v>5</v>
      </c>
      <c r="I460" t="str">
        <f>HYPERLINK("tel:+14155254913", "415-525-4913")</f>
        <v>415-525-4913</v>
      </c>
      <c r="J460" t="s">
        <v>1988</v>
      </c>
      <c r="K460" t="s">
        <v>136</v>
      </c>
      <c r="M460">
        <v>4155254913</v>
      </c>
    </row>
    <row r="461" spans="1:13" x14ac:dyDescent="0.25">
      <c r="A461">
        <v>1890241154</v>
      </c>
      <c r="B461" t="s">
        <v>1989</v>
      </c>
      <c r="C461">
        <v>4295000</v>
      </c>
      <c r="D461" t="s">
        <v>1990</v>
      </c>
      <c r="E461" t="s">
        <v>1991</v>
      </c>
      <c r="F461">
        <v>5</v>
      </c>
      <c r="I461" t="str">
        <f>HYPERLINK("tel:+14242023200", "424-202-3200")</f>
        <v>424-202-3200</v>
      </c>
      <c r="J461" t="s">
        <v>1992</v>
      </c>
      <c r="K461" t="s">
        <v>24</v>
      </c>
      <c r="M461">
        <v>4242023200</v>
      </c>
    </row>
    <row r="462" spans="1:13" x14ac:dyDescent="0.25">
      <c r="A462">
        <v>9257470065</v>
      </c>
      <c r="B462" t="s">
        <v>1993</v>
      </c>
      <c r="C462">
        <v>799000</v>
      </c>
      <c r="D462" t="s">
        <v>1994</v>
      </c>
      <c r="E462" t="s">
        <v>1995</v>
      </c>
      <c r="F462">
        <v>5</v>
      </c>
      <c r="I462" t="str">
        <f>HYPERLINK("tel:+14242024243", "424-202-4243")</f>
        <v>424-202-4243</v>
      </c>
      <c r="J462" t="s">
        <v>1996</v>
      </c>
      <c r="K462" t="s">
        <v>1997</v>
      </c>
      <c r="M462">
        <v>4242024243</v>
      </c>
    </row>
    <row r="463" spans="1:13" x14ac:dyDescent="0.25">
      <c r="A463">
        <v>1618153061</v>
      </c>
      <c r="B463" t="s">
        <v>1998</v>
      </c>
      <c r="C463">
        <v>1800000</v>
      </c>
      <c r="D463" t="s">
        <v>1999</v>
      </c>
      <c r="E463" t="s">
        <v>2000</v>
      </c>
      <c r="F463">
        <v>5</v>
      </c>
      <c r="I463" t="str">
        <f>HYPERLINK("tel:+14243336824", "424-333-6824")</f>
        <v>424-333-6824</v>
      </c>
      <c r="J463" t="s">
        <v>2001</v>
      </c>
      <c r="K463" t="s">
        <v>136</v>
      </c>
      <c r="M463">
        <v>4243336824</v>
      </c>
    </row>
    <row r="464" spans="1:13" x14ac:dyDescent="0.25">
      <c r="A464">
        <v>9318383734</v>
      </c>
      <c r="B464" t="s">
        <v>2002</v>
      </c>
      <c r="C464">
        <v>899000</v>
      </c>
      <c r="D464" t="s">
        <v>2003</v>
      </c>
      <c r="E464" t="s">
        <v>2004</v>
      </c>
      <c r="F464">
        <v>5</v>
      </c>
      <c r="I464" t="str">
        <f>HYPERLINK("tel:+14243372778", "424-337-2778")</f>
        <v>424-337-2778</v>
      </c>
      <c r="J464" t="s">
        <v>2005</v>
      </c>
      <c r="K464" t="s">
        <v>2004</v>
      </c>
      <c r="M464">
        <v>4243372778</v>
      </c>
    </row>
    <row r="465" spans="1:13" x14ac:dyDescent="0.25">
      <c r="A465">
        <v>2036576287</v>
      </c>
      <c r="B465" t="s">
        <v>189</v>
      </c>
      <c r="C465">
        <v>2698000</v>
      </c>
      <c r="D465" t="s">
        <v>190</v>
      </c>
      <c r="E465" t="s">
        <v>2006</v>
      </c>
      <c r="F465">
        <v>5</v>
      </c>
      <c r="I465" t="str">
        <f>HYPERLINK("tel:+14244707255", "424-470-7255")</f>
        <v>424-470-7255</v>
      </c>
      <c r="J465" t="s">
        <v>2007</v>
      </c>
      <c r="K465" t="s">
        <v>193</v>
      </c>
      <c r="M465">
        <v>4244707255</v>
      </c>
    </row>
    <row r="466" spans="1:13" x14ac:dyDescent="0.25">
      <c r="A466">
        <v>9010619117</v>
      </c>
      <c r="B466" t="s">
        <v>2008</v>
      </c>
      <c r="C466">
        <v>1449000</v>
      </c>
      <c r="D466" t="s">
        <v>2009</v>
      </c>
      <c r="E466" t="s">
        <v>2010</v>
      </c>
      <c r="F466">
        <v>5</v>
      </c>
      <c r="I466" t="str">
        <f>HYPERLINK("tel:+15615026320", "561-502-6320")</f>
        <v>561-502-6320</v>
      </c>
      <c r="J466" t="s">
        <v>2011</v>
      </c>
      <c r="K466" t="s">
        <v>214</v>
      </c>
      <c r="M466">
        <v>5615026320</v>
      </c>
    </row>
    <row r="467" spans="1:13" x14ac:dyDescent="0.25">
      <c r="A467">
        <v>2153714516</v>
      </c>
      <c r="B467" t="s">
        <v>2012</v>
      </c>
      <c r="C467">
        <v>850000</v>
      </c>
      <c r="D467" t="s">
        <v>2013</v>
      </c>
      <c r="E467" t="s">
        <v>2014</v>
      </c>
      <c r="F467">
        <v>5</v>
      </c>
      <c r="I467" t="str">
        <f>HYPERLINK("tel:+15624139399", "562-413-9399")</f>
        <v>562-413-9399</v>
      </c>
      <c r="J467" t="s">
        <v>2015</v>
      </c>
      <c r="K467" t="s">
        <v>2016</v>
      </c>
      <c r="M467">
        <v>5624139399</v>
      </c>
    </row>
    <row r="468" spans="1:13" x14ac:dyDescent="0.25">
      <c r="A468">
        <v>2322331534</v>
      </c>
      <c r="B468" t="s">
        <v>2017</v>
      </c>
      <c r="C468">
        <v>850000</v>
      </c>
      <c r="D468" t="s">
        <v>2018</v>
      </c>
      <c r="E468" t="s">
        <v>2019</v>
      </c>
      <c r="F468">
        <v>5</v>
      </c>
      <c r="I468" t="str">
        <f>HYPERLINK("tel:+15628434885", "562-843-4885")</f>
        <v>562-843-4885</v>
      </c>
      <c r="J468" t="s">
        <v>2020</v>
      </c>
      <c r="K468" t="s">
        <v>445</v>
      </c>
      <c r="M468">
        <v>5628434885</v>
      </c>
    </row>
    <row r="469" spans="1:13" x14ac:dyDescent="0.25">
      <c r="A469">
        <v>1314984286</v>
      </c>
      <c r="B469" t="s">
        <v>2021</v>
      </c>
      <c r="C469">
        <v>1855000</v>
      </c>
      <c r="D469" t="s">
        <v>2022</v>
      </c>
      <c r="E469" t="s">
        <v>2023</v>
      </c>
      <c r="F469">
        <v>5</v>
      </c>
      <c r="I469" t="str">
        <f>HYPERLINK("tel:+15672280218", "567-228-0218")</f>
        <v>567-228-0218</v>
      </c>
      <c r="J469" t="s">
        <v>2024</v>
      </c>
      <c r="K469" t="s">
        <v>450</v>
      </c>
      <c r="M469">
        <v>5672280218</v>
      </c>
    </row>
    <row r="470" spans="1:13" x14ac:dyDescent="0.25">
      <c r="A470">
        <v>1122755182</v>
      </c>
      <c r="B470" t="s">
        <v>2025</v>
      </c>
      <c r="C470">
        <v>1799000</v>
      </c>
      <c r="D470" t="s">
        <v>2026</v>
      </c>
      <c r="E470" t="s">
        <v>2027</v>
      </c>
      <c r="F470">
        <v>5</v>
      </c>
      <c r="I470" t="str">
        <f>HYPERLINK("tel:+16262445000", "626-244-5000")</f>
        <v>626-244-5000</v>
      </c>
      <c r="J470" t="s">
        <v>2028</v>
      </c>
      <c r="K470" t="s">
        <v>4</v>
      </c>
      <c r="M470">
        <v>6262445000</v>
      </c>
    </row>
    <row r="471" spans="1:13" x14ac:dyDescent="0.25">
      <c r="A471">
        <v>2316254036</v>
      </c>
      <c r="B471" t="s">
        <v>2029</v>
      </c>
      <c r="C471">
        <v>4045000</v>
      </c>
      <c r="D471" t="s">
        <v>2030</v>
      </c>
      <c r="E471" t="s">
        <v>2031</v>
      </c>
      <c r="F471">
        <v>5</v>
      </c>
      <c r="I471" t="str">
        <f>HYPERLINK("tel:+16269227836", "626-922-7836")</f>
        <v>626-922-7836</v>
      </c>
      <c r="J471" t="s">
        <v>2032</v>
      </c>
      <c r="K471" t="s">
        <v>24</v>
      </c>
      <c r="M471">
        <v>6269227836</v>
      </c>
    </row>
    <row r="472" spans="1:13" x14ac:dyDescent="0.25">
      <c r="A472">
        <v>9723881882</v>
      </c>
      <c r="B472" t="s">
        <v>2033</v>
      </c>
      <c r="C472">
        <v>128500</v>
      </c>
      <c r="D472" t="s">
        <v>2034</v>
      </c>
      <c r="E472" t="s">
        <v>2035</v>
      </c>
      <c r="F472">
        <v>5</v>
      </c>
      <c r="I472" t="str">
        <f>HYPERLINK("tel:+16612509060", "661-250-9060")</f>
        <v>661-250-9060</v>
      </c>
      <c r="J472" t="s">
        <v>2036</v>
      </c>
      <c r="K472" t="s">
        <v>2037</v>
      </c>
      <c r="M472">
        <v>6612509060</v>
      </c>
    </row>
    <row r="473" spans="1:13" x14ac:dyDescent="0.25">
      <c r="A473">
        <v>9004823083</v>
      </c>
      <c r="B473" t="s">
        <v>2038</v>
      </c>
      <c r="C473">
        <v>3300000</v>
      </c>
      <c r="D473" t="s">
        <v>2039</v>
      </c>
      <c r="E473" t="s">
        <v>2040</v>
      </c>
      <c r="F473">
        <v>5</v>
      </c>
      <c r="I473" t="str">
        <f>HYPERLINK("tel:+16618163395", "661-816-3395")</f>
        <v>661-816-3395</v>
      </c>
      <c r="J473" t="s">
        <v>2041</v>
      </c>
      <c r="K473" t="s">
        <v>2042</v>
      </c>
      <c r="M473">
        <v>6618163395</v>
      </c>
    </row>
    <row r="474" spans="1:13" x14ac:dyDescent="0.25">
      <c r="A474">
        <v>1917846994</v>
      </c>
      <c r="B474" t="s">
        <v>2043</v>
      </c>
      <c r="C474">
        <v>2450000</v>
      </c>
      <c r="D474" t="s">
        <v>2044</v>
      </c>
      <c r="E474" t="s">
        <v>2045</v>
      </c>
      <c r="F474">
        <v>5</v>
      </c>
      <c r="I474" t="str">
        <f>HYPERLINK("tel:+16619325117", "661-932-5117")</f>
        <v>661-932-5117</v>
      </c>
      <c r="J474" t="s">
        <v>2046</v>
      </c>
      <c r="K474" t="s">
        <v>2047</v>
      </c>
      <c r="M474">
        <v>6619325117</v>
      </c>
    </row>
    <row r="475" spans="1:13" x14ac:dyDescent="0.25">
      <c r="A475">
        <v>2602656346</v>
      </c>
      <c r="B475" t="s">
        <v>2048</v>
      </c>
      <c r="C475">
        <v>1670000</v>
      </c>
      <c r="D475" t="s">
        <v>2049</v>
      </c>
      <c r="E475" t="s">
        <v>2050</v>
      </c>
      <c r="F475">
        <v>5</v>
      </c>
      <c r="I475" t="str">
        <f>HYPERLINK("tel:+17142312537", "714-231-2537")</f>
        <v>714-231-2537</v>
      </c>
      <c r="J475" t="s">
        <v>2051</v>
      </c>
      <c r="K475" t="s">
        <v>2050</v>
      </c>
      <c r="M475">
        <v>7142312537</v>
      </c>
    </row>
    <row r="476" spans="1:13" x14ac:dyDescent="0.25">
      <c r="A476">
        <v>9018723925</v>
      </c>
      <c r="B476" t="s">
        <v>2052</v>
      </c>
      <c r="C476">
        <v>649900</v>
      </c>
      <c r="D476" t="s">
        <v>2053</v>
      </c>
      <c r="E476" t="s">
        <v>2054</v>
      </c>
      <c r="F476">
        <v>5</v>
      </c>
      <c r="I476" t="str">
        <f>HYPERLINK("tel:+17142513612", "714-251-3612")</f>
        <v>714-251-3612</v>
      </c>
      <c r="J476" t="s">
        <v>2055</v>
      </c>
      <c r="K476" t="s">
        <v>744</v>
      </c>
      <c r="M476">
        <v>7142513612</v>
      </c>
    </row>
    <row r="477" spans="1:13" x14ac:dyDescent="0.25">
      <c r="A477">
        <v>1348350603</v>
      </c>
      <c r="B477" t="s">
        <v>2056</v>
      </c>
      <c r="C477">
        <v>869900</v>
      </c>
      <c r="D477" t="s">
        <v>2057</v>
      </c>
      <c r="E477" t="s">
        <v>2058</v>
      </c>
      <c r="F477">
        <v>5</v>
      </c>
      <c r="I477" t="str">
        <f>HYPERLINK("tel:+17142704133", "714-270-4133")</f>
        <v>714-270-4133</v>
      </c>
      <c r="J477" t="s">
        <v>2059</v>
      </c>
      <c r="K477" t="s">
        <v>2060</v>
      </c>
      <c r="M477">
        <v>7142704133</v>
      </c>
    </row>
    <row r="478" spans="1:13" x14ac:dyDescent="0.25">
      <c r="A478">
        <v>1439716544</v>
      </c>
      <c r="B478" t="s">
        <v>2061</v>
      </c>
      <c r="C478">
        <v>499000</v>
      </c>
      <c r="D478" t="s">
        <v>2062</v>
      </c>
      <c r="E478" t="s">
        <v>2063</v>
      </c>
      <c r="F478">
        <v>5</v>
      </c>
      <c r="I478" t="str">
        <f>HYPERLINK("tel:+17142709274", "714-270-9274")</f>
        <v>714-270-9274</v>
      </c>
      <c r="J478" t="s">
        <v>2064</v>
      </c>
      <c r="K478" t="s">
        <v>306</v>
      </c>
      <c r="M478">
        <v>7142709274</v>
      </c>
    </row>
    <row r="479" spans="1:13" x14ac:dyDescent="0.25">
      <c r="A479">
        <v>2002979893</v>
      </c>
      <c r="B479" t="s">
        <v>2065</v>
      </c>
      <c r="C479">
        <v>440000</v>
      </c>
      <c r="D479" t="s">
        <v>2066</v>
      </c>
      <c r="E479" t="s">
        <v>2067</v>
      </c>
      <c r="F479">
        <v>5</v>
      </c>
      <c r="I479" t="str">
        <f>HYPERLINK("tel:+17143052050", "714-305-2050")</f>
        <v>714-305-2050</v>
      </c>
      <c r="J479" t="s">
        <v>2068</v>
      </c>
      <c r="K479" t="s">
        <v>306</v>
      </c>
      <c r="M479">
        <v>7143052050</v>
      </c>
    </row>
    <row r="480" spans="1:13" x14ac:dyDescent="0.25">
      <c r="A480">
        <v>2964964583</v>
      </c>
      <c r="B480" t="s">
        <v>2069</v>
      </c>
      <c r="C480">
        <v>1140000</v>
      </c>
      <c r="D480" t="s">
        <v>2070</v>
      </c>
      <c r="E480" t="s">
        <v>2071</v>
      </c>
      <c r="F480">
        <v>5</v>
      </c>
      <c r="I480" t="str">
        <f>HYPERLINK("tel:+17143068151", "714-306-8151")</f>
        <v>714-306-8151</v>
      </c>
      <c r="J480" t="s">
        <v>2072</v>
      </c>
      <c r="K480" t="s">
        <v>2073</v>
      </c>
      <c r="M480">
        <v>7143068151</v>
      </c>
    </row>
    <row r="481" spans="1:13" x14ac:dyDescent="0.25">
      <c r="A481">
        <v>2306827496</v>
      </c>
      <c r="B481" t="s">
        <v>2074</v>
      </c>
      <c r="C481">
        <v>1250000</v>
      </c>
      <c r="D481" t="s">
        <v>2075</v>
      </c>
      <c r="E481" t="s">
        <v>2076</v>
      </c>
      <c r="F481">
        <v>5</v>
      </c>
      <c r="I481" t="str">
        <f>HYPERLINK("tel:+17143109446", "714-310-9446")</f>
        <v>714-310-9446</v>
      </c>
      <c r="J481" t="s">
        <v>2077</v>
      </c>
      <c r="K481" t="s">
        <v>2078</v>
      </c>
      <c r="M481">
        <v>7143109446</v>
      </c>
    </row>
    <row r="482" spans="1:13" x14ac:dyDescent="0.25">
      <c r="A482">
        <v>2457789627</v>
      </c>
      <c r="B482" t="s">
        <v>1122</v>
      </c>
      <c r="C482">
        <v>415000</v>
      </c>
      <c r="D482" t="s">
        <v>1123</v>
      </c>
      <c r="E482" t="s">
        <v>2079</v>
      </c>
      <c r="F482">
        <v>5</v>
      </c>
      <c r="I482" t="str">
        <f>HYPERLINK("tel:+17143223255", "714-322-3255")</f>
        <v>714-322-3255</v>
      </c>
      <c r="J482" t="s">
        <v>2080</v>
      </c>
      <c r="K482" t="s">
        <v>306</v>
      </c>
      <c r="M482">
        <v>7143223255</v>
      </c>
    </row>
    <row r="483" spans="1:13" x14ac:dyDescent="0.25">
      <c r="A483">
        <v>9806293524</v>
      </c>
      <c r="B483" t="s">
        <v>2081</v>
      </c>
      <c r="C483">
        <v>1088000</v>
      </c>
      <c r="D483" t="s">
        <v>2082</v>
      </c>
      <c r="E483" t="s">
        <v>2083</v>
      </c>
      <c r="F483">
        <v>5</v>
      </c>
      <c r="I483" t="str">
        <f>HYPERLINK("tel:+17143307515", "714-330-7515")</f>
        <v>714-330-7515</v>
      </c>
      <c r="J483" t="s">
        <v>2084</v>
      </c>
      <c r="K483" t="s">
        <v>2085</v>
      </c>
      <c r="M483">
        <v>7143307515</v>
      </c>
    </row>
    <row r="484" spans="1:13" x14ac:dyDescent="0.25">
      <c r="A484">
        <v>1558626235</v>
      </c>
      <c r="B484" t="s">
        <v>2086</v>
      </c>
      <c r="C484">
        <v>2688000</v>
      </c>
      <c r="D484" t="s">
        <v>2087</v>
      </c>
      <c r="E484" t="s">
        <v>2088</v>
      </c>
      <c r="F484">
        <v>5</v>
      </c>
      <c r="I484" t="str">
        <f>HYPERLINK("tel:+17143424040", "714-342-4040")</f>
        <v>714-342-4040</v>
      </c>
      <c r="J484" t="s">
        <v>2089</v>
      </c>
      <c r="K484" t="s">
        <v>450</v>
      </c>
      <c r="M484">
        <v>7143424040</v>
      </c>
    </row>
    <row r="485" spans="1:13" x14ac:dyDescent="0.25">
      <c r="A485">
        <v>1467238406</v>
      </c>
      <c r="B485" t="s">
        <v>2090</v>
      </c>
      <c r="C485">
        <v>1998000</v>
      </c>
      <c r="D485" t="s">
        <v>2091</v>
      </c>
      <c r="E485" t="s">
        <v>2092</v>
      </c>
      <c r="F485">
        <v>5</v>
      </c>
      <c r="I485" t="str">
        <f>HYPERLINK("tel:+17143458579", "714-345-8579")</f>
        <v>714-345-8579</v>
      </c>
      <c r="J485" t="s">
        <v>2093</v>
      </c>
      <c r="K485" t="s">
        <v>158</v>
      </c>
      <c r="M485">
        <v>7143458579</v>
      </c>
    </row>
    <row r="486" spans="1:13" x14ac:dyDescent="0.25">
      <c r="A486">
        <v>2366494641</v>
      </c>
      <c r="B486" t="s">
        <v>2094</v>
      </c>
      <c r="C486">
        <v>1325000</v>
      </c>
      <c r="D486" t="s">
        <v>2095</v>
      </c>
      <c r="E486" t="s">
        <v>2096</v>
      </c>
      <c r="F486">
        <v>5</v>
      </c>
      <c r="I486" t="str">
        <f>HYPERLINK("tel:+17143941462", "714-394-1462")</f>
        <v>714-394-1462</v>
      </c>
      <c r="J486" t="s">
        <v>2097</v>
      </c>
      <c r="K486" t="s">
        <v>2098</v>
      </c>
      <c r="M486">
        <v>7143941462</v>
      </c>
    </row>
    <row r="487" spans="1:13" x14ac:dyDescent="0.25">
      <c r="A487">
        <v>2900306522</v>
      </c>
      <c r="B487" t="s">
        <v>2099</v>
      </c>
      <c r="C487">
        <v>745000</v>
      </c>
      <c r="D487" t="s">
        <v>2100</v>
      </c>
      <c r="E487" t="s">
        <v>2101</v>
      </c>
      <c r="F487">
        <v>5</v>
      </c>
      <c r="I487" t="str">
        <f>HYPERLINK("tel:+17144674554", "714-467-4554")</f>
        <v>714-467-4554</v>
      </c>
      <c r="J487" t="s">
        <v>2102</v>
      </c>
      <c r="K487" t="s">
        <v>2103</v>
      </c>
      <c r="M487">
        <v>7144674554</v>
      </c>
    </row>
    <row r="488" spans="1:13" x14ac:dyDescent="0.25">
      <c r="A488">
        <v>1131523592</v>
      </c>
      <c r="B488" t="s">
        <v>2104</v>
      </c>
      <c r="C488">
        <v>219000</v>
      </c>
      <c r="D488" t="s">
        <v>2105</v>
      </c>
      <c r="E488" t="s">
        <v>2106</v>
      </c>
      <c r="F488">
        <v>5</v>
      </c>
      <c r="I488" t="str">
        <f>HYPERLINK("tel:+17144781921", "714-478-1921")</f>
        <v>714-478-1921</v>
      </c>
      <c r="J488" t="s">
        <v>2107</v>
      </c>
      <c r="K488" t="s">
        <v>2108</v>
      </c>
      <c r="M488">
        <v>7144781921</v>
      </c>
    </row>
    <row r="489" spans="1:13" x14ac:dyDescent="0.25">
      <c r="A489">
        <v>9366095500</v>
      </c>
      <c r="B489" t="s">
        <v>2109</v>
      </c>
      <c r="C489">
        <v>1495000</v>
      </c>
      <c r="D489" t="s">
        <v>2110</v>
      </c>
      <c r="E489" t="s">
        <v>2111</v>
      </c>
      <c r="F489">
        <v>5</v>
      </c>
      <c r="I489" t="str">
        <f>HYPERLINK("tel:+17144782054", "714-478-2054")</f>
        <v>714-478-2054</v>
      </c>
      <c r="J489" t="s">
        <v>2112</v>
      </c>
      <c r="K489" t="s">
        <v>2113</v>
      </c>
      <c r="M489">
        <v>7144782054</v>
      </c>
    </row>
    <row r="490" spans="1:13" x14ac:dyDescent="0.25">
      <c r="A490">
        <v>1086015763</v>
      </c>
      <c r="B490" t="s">
        <v>2114</v>
      </c>
      <c r="C490">
        <v>1128800</v>
      </c>
      <c r="D490" t="s">
        <v>2115</v>
      </c>
      <c r="E490" t="s">
        <v>2116</v>
      </c>
      <c r="F490">
        <v>5</v>
      </c>
      <c r="I490" t="str">
        <f>HYPERLINK("tel:+17145215210", "714-521-5210")</f>
        <v>714-521-5210</v>
      </c>
      <c r="J490" t="s">
        <v>2117</v>
      </c>
      <c r="K490" t="s">
        <v>2118</v>
      </c>
      <c r="M490">
        <v>7145215210</v>
      </c>
    </row>
    <row r="491" spans="1:13" x14ac:dyDescent="0.25">
      <c r="A491">
        <v>2856237359</v>
      </c>
      <c r="B491" t="s">
        <v>2119</v>
      </c>
      <c r="C491">
        <v>1635000</v>
      </c>
      <c r="D491" t="s">
        <v>2120</v>
      </c>
      <c r="E491" t="s">
        <v>2121</v>
      </c>
      <c r="F491">
        <v>5</v>
      </c>
      <c r="I491" t="str">
        <f>HYPERLINK("tel:+17145242423", "714-524-2423")</f>
        <v>714-524-2423</v>
      </c>
      <c r="J491" t="s">
        <v>2122</v>
      </c>
      <c r="K491" t="s">
        <v>68</v>
      </c>
      <c r="M491">
        <v>7145242423</v>
      </c>
    </row>
    <row r="492" spans="1:13" x14ac:dyDescent="0.25">
      <c r="A492">
        <v>1439716544</v>
      </c>
      <c r="B492" t="s">
        <v>2061</v>
      </c>
      <c r="C492">
        <v>499000</v>
      </c>
      <c r="D492" t="s">
        <v>2062</v>
      </c>
      <c r="E492" t="s">
        <v>2123</v>
      </c>
      <c r="F492">
        <v>5</v>
      </c>
      <c r="I492" t="str">
        <f>HYPERLINK("tel:+17146048615", "714-604-8615")</f>
        <v>714-604-8615</v>
      </c>
      <c r="J492" t="s">
        <v>2124</v>
      </c>
      <c r="K492" t="s">
        <v>306</v>
      </c>
      <c r="M492">
        <v>7146048615</v>
      </c>
    </row>
    <row r="493" spans="1:13" x14ac:dyDescent="0.25">
      <c r="A493">
        <v>9701715688</v>
      </c>
      <c r="B493" t="s">
        <v>2125</v>
      </c>
      <c r="C493">
        <v>4780000</v>
      </c>
      <c r="D493" t="s">
        <v>2126</v>
      </c>
      <c r="E493" t="s">
        <v>2127</v>
      </c>
      <c r="F493">
        <v>5</v>
      </c>
      <c r="I493" t="str">
        <f>HYPERLINK("tel:+17146209902", "714-620-9902")</f>
        <v>714-620-9902</v>
      </c>
      <c r="J493" t="s">
        <v>2128</v>
      </c>
      <c r="K493" t="s">
        <v>2129</v>
      </c>
      <c r="M493">
        <v>7146209902</v>
      </c>
    </row>
    <row r="494" spans="1:13" x14ac:dyDescent="0.25">
      <c r="A494">
        <v>9701715688</v>
      </c>
      <c r="B494" t="s">
        <v>2125</v>
      </c>
      <c r="C494">
        <v>4780000</v>
      </c>
      <c r="D494" t="s">
        <v>2126</v>
      </c>
      <c r="E494" t="s">
        <v>2130</v>
      </c>
      <c r="F494">
        <v>5</v>
      </c>
      <c r="I494" t="str">
        <f>HYPERLINK("tel:+17146209904", "714-620-9904")</f>
        <v>714-620-9904</v>
      </c>
      <c r="J494" t="s">
        <v>2131</v>
      </c>
      <c r="K494" t="s">
        <v>2129</v>
      </c>
      <c r="M494">
        <v>7146209904</v>
      </c>
    </row>
    <row r="495" spans="1:13" x14ac:dyDescent="0.25">
      <c r="A495">
        <v>2055562138</v>
      </c>
      <c r="B495" t="s">
        <v>2132</v>
      </c>
      <c r="C495">
        <v>395000</v>
      </c>
      <c r="D495" t="s">
        <v>2133</v>
      </c>
      <c r="E495" t="s">
        <v>2134</v>
      </c>
      <c r="F495">
        <v>5</v>
      </c>
      <c r="I495" t="str">
        <f>HYPERLINK("tel:+17146622226", "714-662-2226")</f>
        <v>714-662-2226</v>
      </c>
      <c r="J495" t="s">
        <v>2135</v>
      </c>
      <c r="K495" t="s">
        <v>2136</v>
      </c>
      <c r="M495">
        <v>7146622226</v>
      </c>
    </row>
    <row r="496" spans="1:13" x14ac:dyDescent="0.25">
      <c r="A496">
        <v>9943860275</v>
      </c>
      <c r="B496" t="s">
        <v>2137</v>
      </c>
      <c r="C496">
        <v>120000</v>
      </c>
      <c r="D496" t="s">
        <v>2138</v>
      </c>
      <c r="E496" t="s">
        <v>2139</v>
      </c>
      <c r="F496">
        <v>5</v>
      </c>
      <c r="I496" t="str">
        <f>HYPERLINK("tel:+17147206642", "714-720-6642")</f>
        <v>714-720-6642</v>
      </c>
      <c r="J496" t="s">
        <v>2140</v>
      </c>
      <c r="K496" t="s">
        <v>2141</v>
      </c>
      <c r="M496">
        <v>7147206642</v>
      </c>
    </row>
    <row r="497" spans="1:13" x14ac:dyDescent="0.25">
      <c r="A497">
        <v>1350510285</v>
      </c>
      <c r="B497" t="s">
        <v>2142</v>
      </c>
      <c r="C497">
        <v>1499900</v>
      </c>
      <c r="D497" t="s">
        <v>2143</v>
      </c>
      <c r="E497" t="s">
        <v>2144</v>
      </c>
      <c r="F497">
        <v>5</v>
      </c>
      <c r="I497" t="str">
        <f>HYPERLINK("tel:+17147371428", "714-737-1428")</f>
        <v>714-737-1428</v>
      </c>
      <c r="J497" t="s">
        <v>2145</v>
      </c>
      <c r="K497" t="s">
        <v>2146</v>
      </c>
      <c r="M497">
        <v>7147371428</v>
      </c>
    </row>
    <row r="498" spans="1:13" x14ac:dyDescent="0.25">
      <c r="A498">
        <v>2645690070</v>
      </c>
      <c r="B498" t="s">
        <v>2147</v>
      </c>
      <c r="C498">
        <v>4099999</v>
      </c>
      <c r="D498" t="s">
        <v>2148</v>
      </c>
      <c r="E498" t="s">
        <v>2149</v>
      </c>
      <c r="F498">
        <v>5</v>
      </c>
      <c r="I498" t="str">
        <f>HYPERLINK("tel:+17147659880", "714-765-9880")</f>
        <v>714-765-9880</v>
      </c>
      <c r="J498" t="s">
        <v>2150</v>
      </c>
      <c r="K498" t="s">
        <v>2151</v>
      </c>
      <c r="M498">
        <v>7147659880</v>
      </c>
    </row>
    <row r="499" spans="1:13" x14ac:dyDescent="0.25">
      <c r="A499">
        <v>2563108255</v>
      </c>
      <c r="B499" t="s">
        <v>2152</v>
      </c>
      <c r="C499">
        <v>624900</v>
      </c>
      <c r="D499" t="s">
        <v>2153</v>
      </c>
      <c r="E499" t="s">
        <v>2154</v>
      </c>
      <c r="F499">
        <v>5</v>
      </c>
      <c r="I499" t="str">
        <f>HYPERLINK("tel:+17148557111", "714-855-7111")</f>
        <v>714-855-7111</v>
      </c>
      <c r="J499" t="s">
        <v>2155</v>
      </c>
      <c r="K499" t="s">
        <v>2156</v>
      </c>
      <c r="M499">
        <v>7148557111</v>
      </c>
    </row>
    <row r="500" spans="1:13" x14ac:dyDescent="0.25">
      <c r="A500">
        <v>2040033796</v>
      </c>
      <c r="B500" t="s">
        <v>2157</v>
      </c>
      <c r="C500">
        <v>1850000</v>
      </c>
      <c r="D500" t="s">
        <v>2158</v>
      </c>
      <c r="E500" t="s">
        <v>2159</v>
      </c>
      <c r="F500">
        <v>5</v>
      </c>
      <c r="I500" t="str">
        <f>HYPERLINK("tel:+17148829212", "714-882-9212")</f>
        <v>714-882-9212</v>
      </c>
      <c r="J500" t="s">
        <v>2160</v>
      </c>
      <c r="K500" t="s">
        <v>1501</v>
      </c>
      <c r="M500">
        <v>7148829212</v>
      </c>
    </row>
    <row r="501" spans="1:13" x14ac:dyDescent="0.25">
      <c r="A501">
        <v>1248661058</v>
      </c>
      <c r="B501" t="s">
        <v>2161</v>
      </c>
      <c r="C501">
        <v>1369854</v>
      </c>
      <c r="D501" t="s">
        <v>2162</v>
      </c>
      <c r="E501" t="s">
        <v>2163</v>
      </c>
      <c r="F501">
        <v>5</v>
      </c>
      <c r="I501" t="str">
        <f>HYPERLINK("tel:+17149251436", "714-925-1436")</f>
        <v>714-925-1436</v>
      </c>
      <c r="J501" t="s">
        <v>2164</v>
      </c>
      <c r="K501" t="s">
        <v>1090</v>
      </c>
      <c r="M501">
        <v>7149251436</v>
      </c>
    </row>
    <row r="502" spans="1:13" x14ac:dyDescent="0.25">
      <c r="A502">
        <v>1574719741</v>
      </c>
      <c r="B502" t="s">
        <v>2165</v>
      </c>
      <c r="C502">
        <v>615000</v>
      </c>
      <c r="D502" t="s">
        <v>2166</v>
      </c>
      <c r="E502" t="s">
        <v>2167</v>
      </c>
      <c r="F502">
        <v>5</v>
      </c>
      <c r="I502" t="str">
        <f>HYPERLINK("tel:+17149283977", "714-928-3977")</f>
        <v>714-928-3977</v>
      </c>
      <c r="J502" t="s">
        <v>2168</v>
      </c>
      <c r="K502" t="s">
        <v>505</v>
      </c>
      <c r="M502">
        <v>7149283977</v>
      </c>
    </row>
    <row r="503" spans="1:13" x14ac:dyDescent="0.25">
      <c r="A503">
        <v>2999860302</v>
      </c>
      <c r="B503" t="s">
        <v>2169</v>
      </c>
      <c r="C503">
        <v>1425000</v>
      </c>
      <c r="D503" t="s">
        <v>2170</v>
      </c>
      <c r="E503" t="s">
        <v>2171</v>
      </c>
      <c r="F503">
        <v>5</v>
      </c>
      <c r="I503" t="str">
        <f>HYPERLINK("tel:+17149896176", "714-989-6176")</f>
        <v>714-989-6176</v>
      </c>
      <c r="J503" t="s">
        <v>2172</v>
      </c>
      <c r="K503" t="s">
        <v>68</v>
      </c>
      <c r="M503">
        <v>7149896176</v>
      </c>
    </row>
    <row r="504" spans="1:13" x14ac:dyDescent="0.25">
      <c r="A504">
        <v>1831411529</v>
      </c>
      <c r="B504" t="s">
        <v>2173</v>
      </c>
      <c r="C504">
        <v>718000</v>
      </c>
      <c r="D504" t="s">
        <v>2174</v>
      </c>
      <c r="E504" t="s">
        <v>2175</v>
      </c>
      <c r="F504">
        <v>5</v>
      </c>
      <c r="I504" t="str">
        <f>HYPERLINK("tel:+17472558182", "747-255-8182")</f>
        <v>747-255-8182</v>
      </c>
      <c r="J504" t="s">
        <v>2176</v>
      </c>
      <c r="K504" t="s">
        <v>2177</v>
      </c>
      <c r="M504">
        <v>7472558182</v>
      </c>
    </row>
    <row r="505" spans="1:13" x14ac:dyDescent="0.25">
      <c r="A505">
        <v>1375165665</v>
      </c>
      <c r="B505" t="s">
        <v>2178</v>
      </c>
      <c r="C505">
        <v>349999</v>
      </c>
      <c r="D505" t="s">
        <v>2179</v>
      </c>
      <c r="E505" t="s">
        <v>2180</v>
      </c>
      <c r="F505">
        <v>5</v>
      </c>
      <c r="I505" t="str">
        <f>HYPERLINK("tel:+17605762335", "760-576-2335")</f>
        <v>760-576-2335</v>
      </c>
      <c r="J505" t="s">
        <v>2181</v>
      </c>
      <c r="K505" t="s">
        <v>2182</v>
      </c>
      <c r="M505">
        <v>7605762335</v>
      </c>
    </row>
    <row r="506" spans="1:13" x14ac:dyDescent="0.25">
      <c r="A506">
        <v>9677274032</v>
      </c>
      <c r="B506" t="s">
        <v>2183</v>
      </c>
      <c r="C506">
        <v>15000</v>
      </c>
      <c r="D506" t="s">
        <v>2184</v>
      </c>
      <c r="E506" t="s">
        <v>2185</v>
      </c>
      <c r="F506">
        <v>5</v>
      </c>
      <c r="I506" t="str">
        <f>HYPERLINK("tel:+17607735538", "760-773-5538")</f>
        <v>760-773-5538</v>
      </c>
      <c r="J506" t="s">
        <v>2186</v>
      </c>
      <c r="K506" t="s">
        <v>2187</v>
      </c>
      <c r="M506">
        <v>7607735538</v>
      </c>
    </row>
    <row r="507" spans="1:13" x14ac:dyDescent="0.25">
      <c r="A507">
        <v>1945315845</v>
      </c>
      <c r="B507" t="s">
        <v>2188</v>
      </c>
      <c r="C507">
        <v>2349000</v>
      </c>
      <c r="D507" t="s">
        <v>2189</v>
      </c>
      <c r="E507" t="s">
        <v>2190</v>
      </c>
      <c r="F507">
        <v>5</v>
      </c>
      <c r="I507" t="str">
        <f>HYPERLINK("tel:+18006214258", "800-621-4258")</f>
        <v>800-621-4258</v>
      </c>
      <c r="J507" t="s">
        <v>2191</v>
      </c>
      <c r="K507" t="s">
        <v>2192</v>
      </c>
      <c r="M507">
        <v>8006214258</v>
      </c>
    </row>
    <row r="508" spans="1:13" x14ac:dyDescent="0.25">
      <c r="A508">
        <v>1884458327</v>
      </c>
      <c r="B508" t="s">
        <v>2193</v>
      </c>
      <c r="C508">
        <v>1250000</v>
      </c>
      <c r="D508" t="s">
        <v>2194</v>
      </c>
      <c r="E508" t="s">
        <v>2195</v>
      </c>
      <c r="F508">
        <v>5</v>
      </c>
      <c r="I508" t="str">
        <f>HYPERLINK("tel:+18009486907", "800-948-6907")</f>
        <v>800-948-6907</v>
      </c>
      <c r="J508" t="s">
        <v>2196</v>
      </c>
      <c r="K508" t="s">
        <v>158</v>
      </c>
      <c r="M508">
        <v>8009486907</v>
      </c>
    </row>
    <row r="509" spans="1:13" x14ac:dyDescent="0.25">
      <c r="A509">
        <v>2917434518</v>
      </c>
      <c r="B509" t="s">
        <v>2197</v>
      </c>
      <c r="C509">
        <v>1050000</v>
      </c>
      <c r="D509" t="s">
        <v>2198</v>
      </c>
      <c r="E509" t="s">
        <v>2199</v>
      </c>
      <c r="F509">
        <v>5</v>
      </c>
      <c r="I509" t="str">
        <f>HYPERLINK("tel:+18054903280", "805-490-3280")</f>
        <v>805-490-3280</v>
      </c>
      <c r="J509" t="s">
        <v>2200</v>
      </c>
      <c r="K509" t="s">
        <v>2201</v>
      </c>
      <c r="M509">
        <v>8054903280</v>
      </c>
    </row>
    <row r="510" spans="1:13" x14ac:dyDescent="0.25">
      <c r="A510">
        <v>1590863019</v>
      </c>
      <c r="B510" t="s">
        <v>2202</v>
      </c>
      <c r="C510">
        <v>1099900</v>
      </c>
      <c r="D510" t="s">
        <v>2203</v>
      </c>
      <c r="E510" t="s">
        <v>2204</v>
      </c>
      <c r="F510">
        <v>5</v>
      </c>
      <c r="I510" t="str">
        <f>HYPERLINK("tel:+18182989790", "818-298-9790")</f>
        <v>818-298-9790</v>
      </c>
      <c r="J510" t="s">
        <v>2205</v>
      </c>
      <c r="K510" t="s">
        <v>2206</v>
      </c>
      <c r="M510">
        <v>8182989790</v>
      </c>
    </row>
    <row r="511" spans="1:13" x14ac:dyDescent="0.25">
      <c r="A511">
        <v>1361484142</v>
      </c>
      <c r="B511" t="s">
        <v>2207</v>
      </c>
      <c r="C511">
        <v>2500000</v>
      </c>
      <c r="D511" t="s">
        <v>2208</v>
      </c>
      <c r="E511" t="s">
        <v>2209</v>
      </c>
      <c r="F511">
        <v>5</v>
      </c>
      <c r="I511" t="str">
        <f>HYPERLINK("tel:+18183313362", "818-331-3362")</f>
        <v>818-331-3362</v>
      </c>
      <c r="J511" t="s">
        <v>2210</v>
      </c>
      <c r="K511" t="s">
        <v>707</v>
      </c>
      <c r="M511">
        <v>8183313362</v>
      </c>
    </row>
    <row r="512" spans="1:13" x14ac:dyDescent="0.25">
      <c r="A512">
        <v>1068313675</v>
      </c>
      <c r="B512" t="s">
        <v>2211</v>
      </c>
      <c r="C512">
        <v>1395000</v>
      </c>
      <c r="D512" t="s">
        <v>2212</v>
      </c>
      <c r="E512" t="s">
        <v>2213</v>
      </c>
      <c r="F512">
        <v>5</v>
      </c>
      <c r="I512" t="str">
        <f>HYPERLINK("tel:+18183963311", "818-396-3311")</f>
        <v>818-396-3311</v>
      </c>
      <c r="J512" t="s">
        <v>2214</v>
      </c>
      <c r="K512" t="s">
        <v>2206</v>
      </c>
      <c r="M512">
        <v>8183963311</v>
      </c>
    </row>
    <row r="513" spans="1:13" x14ac:dyDescent="0.25">
      <c r="A513">
        <v>2650706423</v>
      </c>
      <c r="B513" t="s">
        <v>2215</v>
      </c>
      <c r="C513">
        <v>7775000</v>
      </c>
      <c r="D513" t="s">
        <v>2216</v>
      </c>
      <c r="E513" t="s">
        <v>2217</v>
      </c>
      <c r="F513">
        <v>5</v>
      </c>
      <c r="I513" t="str">
        <f>HYPERLINK("tel:+18183980797", "818-398-0797")</f>
        <v>818-398-0797</v>
      </c>
      <c r="J513" t="s">
        <v>2218</v>
      </c>
      <c r="K513" t="s">
        <v>1038</v>
      </c>
      <c r="M513">
        <v>8183980797</v>
      </c>
    </row>
    <row r="514" spans="1:13" x14ac:dyDescent="0.25">
      <c r="A514">
        <v>1413660314</v>
      </c>
      <c r="B514" t="s">
        <v>2219</v>
      </c>
      <c r="C514">
        <v>3498000</v>
      </c>
      <c r="D514" t="s">
        <v>2220</v>
      </c>
      <c r="E514" t="s">
        <v>2221</v>
      </c>
      <c r="F514">
        <v>5</v>
      </c>
      <c r="I514" t="str">
        <f>HYPERLINK("tel:+18184068032", "818-406-8032")</f>
        <v>818-406-8032</v>
      </c>
      <c r="J514" t="s">
        <v>2222</v>
      </c>
      <c r="K514" t="s">
        <v>168</v>
      </c>
      <c r="M514">
        <v>8184068032</v>
      </c>
    </row>
    <row r="515" spans="1:13" x14ac:dyDescent="0.25">
      <c r="A515">
        <v>2202912561</v>
      </c>
      <c r="B515" t="s">
        <v>2223</v>
      </c>
      <c r="C515">
        <v>3785000</v>
      </c>
      <c r="D515" t="s">
        <v>2224</v>
      </c>
      <c r="E515" t="s">
        <v>2225</v>
      </c>
      <c r="F515">
        <v>5</v>
      </c>
      <c r="I515" t="str">
        <f>HYPERLINK("tel:+18184383445", "818-438-3445")</f>
        <v>818-438-3445</v>
      </c>
      <c r="J515" t="s">
        <v>2226</v>
      </c>
      <c r="K515" t="s">
        <v>1328</v>
      </c>
      <c r="M515">
        <v>8184383445</v>
      </c>
    </row>
    <row r="516" spans="1:13" x14ac:dyDescent="0.25">
      <c r="A516">
        <v>2409679754</v>
      </c>
      <c r="B516" t="s">
        <v>2227</v>
      </c>
      <c r="C516">
        <v>4099000</v>
      </c>
      <c r="D516" t="s">
        <v>2228</v>
      </c>
      <c r="E516" t="s">
        <v>2229</v>
      </c>
      <c r="F516">
        <v>5</v>
      </c>
      <c r="I516" t="str">
        <f>HYPERLINK("tel:+18184539119", "818-453-9119")</f>
        <v>818-453-9119</v>
      </c>
      <c r="J516" t="s">
        <v>2230</v>
      </c>
      <c r="K516" t="s">
        <v>653</v>
      </c>
      <c r="M516">
        <v>8184539119</v>
      </c>
    </row>
    <row r="517" spans="1:13" x14ac:dyDescent="0.25">
      <c r="A517">
        <v>2061849596</v>
      </c>
      <c r="B517" t="s">
        <v>2231</v>
      </c>
      <c r="C517">
        <v>6595000</v>
      </c>
      <c r="D517" t="s">
        <v>2232</v>
      </c>
      <c r="E517" t="s">
        <v>2233</v>
      </c>
      <c r="F517">
        <v>5</v>
      </c>
      <c r="I517" t="str">
        <f>HYPERLINK("tel:+18184697021", "818-469-7021")</f>
        <v>818-469-7021</v>
      </c>
      <c r="J517" t="s">
        <v>2234</v>
      </c>
      <c r="K517" t="s">
        <v>2235</v>
      </c>
      <c r="M517">
        <v>8184697021</v>
      </c>
    </row>
    <row r="518" spans="1:13" x14ac:dyDescent="0.25">
      <c r="A518">
        <v>1180088758</v>
      </c>
      <c r="B518" t="s">
        <v>1976</v>
      </c>
      <c r="C518">
        <v>3229000</v>
      </c>
      <c r="D518" t="s">
        <v>1977</v>
      </c>
      <c r="E518" t="s">
        <v>2236</v>
      </c>
      <c r="F518">
        <v>5</v>
      </c>
      <c r="I518" t="str">
        <f>HYPERLINK("tel:+18185680644", "818-568-0644")</f>
        <v>818-568-0644</v>
      </c>
      <c r="J518" t="s">
        <v>2237</v>
      </c>
      <c r="K518" t="s">
        <v>1980</v>
      </c>
      <c r="M518">
        <v>8185680644</v>
      </c>
    </row>
    <row r="519" spans="1:13" x14ac:dyDescent="0.25">
      <c r="A519">
        <v>2044464071</v>
      </c>
      <c r="B519" t="s">
        <v>2238</v>
      </c>
      <c r="C519">
        <v>899000</v>
      </c>
      <c r="D519" t="s">
        <v>2239</v>
      </c>
      <c r="E519" t="s">
        <v>2240</v>
      </c>
      <c r="F519">
        <v>5</v>
      </c>
      <c r="I519" t="str">
        <f>HYPERLINK("tel:+18185773334", "818-577-3334")</f>
        <v>818-577-3334</v>
      </c>
      <c r="J519" t="s">
        <v>2241</v>
      </c>
      <c r="K519" t="s">
        <v>1568</v>
      </c>
      <c r="M519">
        <v>8185773334</v>
      </c>
    </row>
    <row r="520" spans="1:13" x14ac:dyDescent="0.25">
      <c r="A520">
        <v>1099356206</v>
      </c>
      <c r="B520" t="s">
        <v>2242</v>
      </c>
      <c r="C520">
        <v>3449000</v>
      </c>
      <c r="D520" t="s">
        <v>2243</v>
      </c>
      <c r="E520" t="s">
        <v>2244</v>
      </c>
      <c r="F520">
        <v>5</v>
      </c>
      <c r="I520" t="str">
        <f>HYPERLINK("tel:+18186028769", "818-602-8769")</f>
        <v>818-602-8769</v>
      </c>
      <c r="J520" t="s">
        <v>2245</v>
      </c>
      <c r="K520" t="s">
        <v>1581</v>
      </c>
      <c r="M520">
        <v>8186028769</v>
      </c>
    </row>
    <row r="521" spans="1:13" x14ac:dyDescent="0.25">
      <c r="A521">
        <v>9920081047</v>
      </c>
      <c r="B521" t="s">
        <v>2246</v>
      </c>
      <c r="C521">
        <v>549988</v>
      </c>
      <c r="D521" t="s">
        <v>2247</v>
      </c>
      <c r="E521" t="s">
        <v>2248</v>
      </c>
      <c r="F521">
        <v>5</v>
      </c>
      <c r="I521" t="str">
        <f>HYPERLINK("tel:+18186484837", "818-648-4837")</f>
        <v>818-648-4837</v>
      </c>
      <c r="J521" t="s">
        <v>2249</v>
      </c>
      <c r="K521" t="s">
        <v>2250</v>
      </c>
      <c r="M521">
        <v>8186484837</v>
      </c>
    </row>
    <row r="522" spans="1:13" x14ac:dyDescent="0.25">
      <c r="A522">
        <v>1579783690</v>
      </c>
      <c r="B522" t="s">
        <v>2251</v>
      </c>
      <c r="C522">
        <v>1949999</v>
      </c>
      <c r="D522" t="s">
        <v>2252</v>
      </c>
      <c r="E522" t="s">
        <v>2253</v>
      </c>
      <c r="F522">
        <v>5</v>
      </c>
      <c r="I522" t="str">
        <f>HYPERLINK("tel:+18186871512", "818-687-1512")</f>
        <v>818-687-1512</v>
      </c>
      <c r="J522" t="s">
        <v>2254</v>
      </c>
      <c r="K522" t="s">
        <v>2206</v>
      </c>
      <c r="M522">
        <v>8186871512</v>
      </c>
    </row>
    <row r="523" spans="1:13" x14ac:dyDescent="0.25">
      <c r="A523">
        <v>1823068330</v>
      </c>
      <c r="B523" t="s">
        <v>1268</v>
      </c>
      <c r="C523">
        <v>799999</v>
      </c>
      <c r="D523" t="s">
        <v>1269</v>
      </c>
      <c r="E523" t="s">
        <v>2255</v>
      </c>
      <c r="F523">
        <v>5</v>
      </c>
      <c r="I523" t="str">
        <f>HYPERLINK("tel:+18186877632", "818-687-7632")</f>
        <v>818-687-7632</v>
      </c>
      <c r="J523" t="s">
        <v>2256</v>
      </c>
      <c r="K523" t="s">
        <v>678</v>
      </c>
      <c r="M523">
        <v>8186877632</v>
      </c>
    </row>
    <row r="524" spans="1:13" x14ac:dyDescent="0.25">
      <c r="A524">
        <v>2164144609</v>
      </c>
      <c r="B524" t="s">
        <v>2257</v>
      </c>
      <c r="C524">
        <v>3900000</v>
      </c>
      <c r="D524" t="s">
        <v>2258</v>
      </c>
      <c r="E524" t="s">
        <v>2259</v>
      </c>
      <c r="F524">
        <v>5</v>
      </c>
      <c r="I524" t="str">
        <f>HYPERLINK("tel:+18187441469", "818-744-1469")</f>
        <v>818-744-1469</v>
      </c>
      <c r="J524" t="s">
        <v>2260</v>
      </c>
      <c r="K524" t="s">
        <v>409</v>
      </c>
      <c r="M524">
        <v>8187441469</v>
      </c>
    </row>
    <row r="525" spans="1:13" x14ac:dyDescent="0.25">
      <c r="A525">
        <v>1169750868</v>
      </c>
      <c r="B525" t="s">
        <v>2261</v>
      </c>
      <c r="C525">
        <v>3790000</v>
      </c>
      <c r="D525" t="s">
        <v>2262</v>
      </c>
      <c r="E525" t="s">
        <v>2263</v>
      </c>
      <c r="F525">
        <v>5</v>
      </c>
      <c r="I525" t="str">
        <f>HYPERLINK("tel:+18189332400", "818-933-2400")</f>
        <v>818-933-2400</v>
      </c>
      <c r="J525" t="s">
        <v>2264</v>
      </c>
      <c r="K525" t="s">
        <v>63</v>
      </c>
      <c r="M525">
        <v>8189332400</v>
      </c>
    </row>
    <row r="526" spans="1:13" x14ac:dyDescent="0.25">
      <c r="A526">
        <v>2172509850</v>
      </c>
      <c r="B526" t="s">
        <v>2265</v>
      </c>
      <c r="C526">
        <v>2199000</v>
      </c>
      <c r="D526" t="s">
        <v>2266</v>
      </c>
      <c r="E526" t="s">
        <v>2267</v>
      </c>
      <c r="F526">
        <v>5</v>
      </c>
      <c r="I526" t="str">
        <f>HYPERLINK("tel:+18189335866", "818-933-5866")</f>
        <v>818-933-5866</v>
      </c>
      <c r="J526" t="s">
        <v>2268</v>
      </c>
      <c r="K526" t="s">
        <v>34</v>
      </c>
      <c r="M526">
        <v>8189335866</v>
      </c>
    </row>
    <row r="527" spans="1:13" x14ac:dyDescent="0.25">
      <c r="A527">
        <v>9200845606</v>
      </c>
      <c r="B527" t="s">
        <v>2269</v>
      </c>
      <c r="C527">
        <v>845000</v>
      </c>
      <c r="D527" t="s">
        <v>2270</v>
      </c>
      <c r="E527" t="s">
        <v>2271</v>
      </c>
      <c r="F527">
        <v>5</v>
      </c>
      <c r="I527" t="str">
        <f>HYPERLINK("tel:+18573139161", "857-313-9161")</f>
        <v>857-313-9161</v>
      </c>
      <c r="J527" t="s">
        <v>2272</v>
      </c>
      <c r="K527" t="s">
        <v>2273</v>
      </c>
      <c r="M527">
        <v>8573139161</v>
      </c>
    </row>
    <row r="528" spans="1:13" x14ac:dyDescent="0.25">
      <c r="A528">
        <v>2382859190</v>
      </c>
      <c r="B528" t="s">
        <v>2274</v>
      </c>
      <c r="C528">
        <v>558000</v>
      </c>
      <c r="D528" t="s">
        <v>2275</v>
      </c>
      <c r="E528" t="s">
        <v>2276</v>
      </c>
      <c r="F528">
        <v>5</v>
      </c>
      <c r="I528" t="str">
        <f>HYPERLINK("tel:+18588806415", "858-880-6415")</f>
        <v>858-880-6415</v>
      </c>
      <c r="J528" t="s">
        <v>2277</v>
      </c>
      <c r="K528" t="s">
        <v>505</v>
      </c>
      <c r="M528">
        <v>8588806415</v>
      </c>
    </row>
    <row r="529" spans="1:13" x14ac:dyDescent="0.25">
      <c r="A529">
        <v>2660706199</v>
      </c>
      <c r="B529" t="s">
        <v>2278</v>
      </c>
      <c r="C529">
        <v>2375000</v>
      </c>
      <c r="D529" t="s">
        <v>2279</v>
      </c>
      <c r="E529" t="s">
        <v>2280</v>
      </c>
      <c r="F529">
        <v>5</v>
      </c>
      <c r="I529" t="str">
        <f>HYPERLINK("tel:+18665827865", "866-582-7865")</f>
        <v>866-582-7865</v>
      </c>
      <c r="J529" t="s">
        <v>2281</v>
      </c>
      <c r="K529" t="s">
        <v>9</v>
      </c>
      <c r="M529">
        <v>8665827865</v>
      </c>
    </row>
    <row r="530" spans="1:13" x14ac:dyDescent="0.25">
      <c r="A530">
        <v>2091514510</v>
      </c>
      <c r="B530" t="s">
        <v>2282</v>
      </c>
      <c r="C530">
        <v>5200000</v>
      </c>
      <c r="D530" t="s">
        <v>2283</v>
      </c>
      <c r="E530" t="s">
        <v>2284</v>
      </c>
      <c r="F530">
        <v>5</v>
      </c>
      <c r="I530" t="str">
        <f>HYPERLINK("tel:+18773814092", "877-381-4092")</f>
        <v>877-381-4092</v>
      </c>
      <c r="J530" t="s">
        <v>2285</v>
      </c>
      <c r="K530" t="s">
        <v>460</v>
      </c>
      <c r="M530">
        <v>8773814092</v>
      </c>
    </row>
    <row r="531" spans="1:13" x14ac:dyDescent="0.25">
      <c r="A531">
        <v>9975299730</v>
      </c>
      <c r="B531" t="s">
        <v>2286</v>
      </c>
      <c r="C531">
        <v>1550096</v>
      </c>
      <c r="D531" t="s">
        <v>2287</v>
      </c>
      <c r="E531" t="s">
        <v>2288</v>
      </c>
      <c r="F531">
        <v>5</v>
      </c>
      <c r="I531" t="str">
        <f>HYPERLINK("tel:+19092938102", "909-293-8102")</f>
        <v>909-293-8102</v>
      </c>
      <c r="J531" t="s">
        <v>2289</v>
      </c>
      <c r="K531" t="s">
        <v>2290</v>
      </c>
      <c r="M531">
        <v>9092938102</v>
      </c>
    </row>
    <row r="532" spans="1:13" x14ac:dyDescent="0.25">
      <c r="A532">
        <v>1511451802</v>
      </c>
      <c r="B532" t="s">
        <v>2291</v>
      </c>
      <c r="C532">
        <v>16995000</v>
      </c>
      <c r="D532" t="s">
        <v>2292</v>
      </c>
      <c r="E532" t="s">
        <v>2293</v>
      </c>
      <c r="F532">
        <v>5</v>
      </c>
      <c r="I532" t="str">
        <f>HYPERLINK("tel:+19165324817", "916-532-4817")</f>
        <v>916-532-4817</v>
      </c>
      <c r="J532" t="s">
        <v>2294</v>
      </c>
      <c r="K532" t="s">
        <v>19</v>
      </c>
      <c r="M532">
        <v>9165324817</v>
      </c>
    </row>
    <row r="533" spans="1:13" x14ac:dyDescent="0.25">
      <c r="A533">
        <v>2220348987</v>
      </c>
      <c r="B533" t="s">
        <v>491</v>
      </c>
      <c r="C533">
        <v>2299999</v>
      </c>
      <c r="D533" t="s">
        <v>492</v>
      </c>
      <c r="E533" t="s">
        <v>2295</v>
      </c>
      <c r="F533">
        <v>5</v>
      </c>
      <c r="I533" t="str">
        <f>HYPERLINK("tel:+19492129536", "949-212-9536")</f>
        <v>949-212-9536</v>
      </c>
      <c r="J533" t="s">
        <v>2296</v>
      </c>
      <c r="K533" t="s">
        <v>495</v>
      </c>
      <c r="M533">
        <v>9492129536</v>
      </c>
    </row>
    <row r="534" spans="1:13" x14ac:dyDescent="0.25">
      <c r="A534">
        <v>2520636728</v>
      </c>
      <c r="B534" t="s">
        <v>2297</v>
      </c>
      <c r="C534">
        <v>5095000</v>
      </c>
      <c r="D534" t="s">
        <v>2298</v>
      </c>
      <c r="E534" t="s">
        <v>2299</v>
      </c>
      <c r="F534">
        <v>5</v>
      </c>
      <c r="I534" t="str">
        <f>HYPERLINK("tel:+19492308718", "949-230-8718")</f>
        <v>949-230-8718</v>
      </c>
      <c r="J534" t="s">
        <v>2300</v>
      </c>
      <c r="K534" t="s">
        <v>744</v>
      </c>
      <c r="M534">
        <v>9492308718</v>
      </c>
    </row>
    <row r="535" spans="1:13" x14ac:dyDescent="0.25">
      <c r="A535">
        <v>2176472451</v>
      </c>
      <c r="B535" t="s">
        <v>2301</v>
      </c>
      <c r="C535">
        <v>14995000</v>
      </c>
      <c r="D535" t="s">
        <v>2302</v>
      </c>
      <c r="E535" t="s">
        <v>2303</v>
      </c>
      <c r="F535">
        <v>5</v>
      </c>
      <c r="I535" t="str">
        <f>HYPERLINK("tel:+19492358208", "949-235-8208")</f>
        <v>949-235-8208</v>
      </c>
      <c r="J535" t="s">
        <v>2304</v>
      </c>
      <c r="K535" t="s">
        <v>387</v>
      </c>
      <c r="M535">
        <v>9492358208</v>
      </c>
    </row>
    <row r="536" spans="1:13" x14ac:dyDescent="0.25">
      <c r="A536">
        <v>1574719741</v>
      </c>
      <c r="B536" t="s">
        <v>2165</v>
      </c>
      <c r="C536">
        <v>615000</v>
      </c>
      <c r="D536" t="s">
        <v>2166</v>
      </c>
      <c r="E536" t="s">
        <v>2305</v>
      </c>
      <c r="F536">
        <v>5</v>
      </c>
      <c r="I536" t="str">
        <f>HYPERLINK("tel:+19492680801", "949-268-0801")</f>
        <v>949-268-0801</v>
      </c>
      <c r="J536" t="s">
        <v>2306</v>
      </c>
      <c r="K536" t="s">
        <v>505</v>
      </c>
      <c r="M536">
        <v>9492680801</v>
      </c>
    </row>
    <row r="537" spans="1:13" x14ac:dyDescent="0.25">
      <c r="A537">
        <v>9275457936</v>
      </c>
      <c r="B537" t="s">
        <v>2307</v>
      </c>
      <c r="C537">
        <v>5399000</v>
      </c>
      <c r="D537" t="s">
        <v>2308</v>
      </c>
      <c r="E537" t="s">
        <v>2309</v>
      </c>
      <c r="F537">
        <v>5</v>
      </c>
      <c r="I537" t="str">
        <f>HYPERLINK("tel:+19492850943", "949-285-0943")</f>
        <v>949-285-0943</v>
      </c>
      <c r="J537" t="s">
        <v>2310</v>
      </c>
      <c r="K537" t="s">
        <v>744</v>
      </c>
      <c r="M537">
        <v>9492850943</v>
      </c>
    </row>
    <row r="538" spans="1:13" x14ac:dyDescent="0.25">
      <c r="A538">
        <v>9016715619</v>
      </c>
      <c r="B538" t="s">
        <v>2311</v>
      </c>
      <c r="C538">
        <v>265000</v>
      </c>
      <c r="D538" t="s">
        <v>2312</v>
      </c>
      <c r="E538" t="s">
        <v>2313</v>
      </c>
      <c r="F538">
        <v>5</v>
      </c>
      <c r="I538" t="str">
        <f>HYPERLINK("tel:+19492897830", "949-289-7830")</f>
        <v>949-289-7830</v>
      </c>
      <c r="J538" t="s">
        <v>2314</v>
      </c>
      <c r="K538" t="s">
        <v>1248</v>
      </c>
      <c r="M538">
        <v>9492897830</v>
      </c>
    </row>
    <row r="539" spans="1:13" x14ac:dyDescent="0.25">
      <c r="A539">
        <v>1435415217</v>
      </c>
      <c r="B539" t="s">
        <v>2315</v>
      </c>
      <c r="C539">
        <v>979900</v>
      </c>
      <c r="D539" t="s">
        <v>2316</v>
      </c>
      <c r="E539" t="s">
        <v>2317</v>
      </c>
      <c r="F539">
        <v>5</v>
      </c>
      <c r="I539" t="str">
        <f>HYPERLINK("tel:+19492905004", "949-290-5004")</f>
        <v>949-290-5004</v>
      </c>
      <c r="J539" t="s">
        <v>2318</v>
      </c>
      <c r="K539" t="s">
        <v>2319</v>
      </c>
      <c r="M539">
        <v>9492905004</v>
      </c>
    </row>
    <row r="540" spans="1:13" x14ac:dyDescent="0.25">
      <c r="A540">
        <v>1122755182</v>
      </c>
      <c r="B540" t="s">
        <v>2025</v>
      </c>
      <c r="C540">
        <v>1799000</v>
      </c>
      <c r="D540" t="s">
        <v>2026</v>
      </c>
      <c r="E540" t="s">
        <v>2320</v>
      </c>
      <c r="F540">
        <v>5</v>
      </c>
      <c r="I540" t="str">
        <f>HYPERLINK("tel:+19492907907", "949-290-7907")</f>
        <v>949-290-7907</v>
      </c>
      <c r="J540" t="s">
        <v>2321</v>
      </c>
      <c r="K540" t="s">
        <v>4</v>
      </c>
      <c r="M540">
        <v>9492907907</v>
      </c>
    </row>
    <row r="541" spans="1:13" x14ac:dyDescent="0.25">
      <c r="A541">
        <v>1633820318</v>
      </c>
      <c r="B541" t="s">
        <v>2322</v>
      </c>
      <c r="C541">
        <v>5995000</v>
      </c>
      <c r="D541" t="s">
        <v>2323</v>
      </c>
      <c r="E541" t="s">
        <v>2324</v>
      </c>
      <c r="F541">
        <v>5</v>
      </c>
      <c r="I541" t="str">
        <f>HYPERLINK("tel:+19492946411", "949-294-6411")</f>
        <v>949-294-6411</v>
      </c>
      <c r="J541" t="s">
        <v>2325</v>
      </c>
      <c r="K541" t="s">
        <v>24</v>
      </c>
      <c r="M541">
        <v>9492946411</v>
      </c>
    </row>
    <row r="542" spans="1:13" x14ac:dyDescent="0.25">
      <c r="A542">
        <v>2046662578</v>
      </c>
      <c r="B542" t="s">
        <v>2326</v>
      </c>
      <c r="C542">
        <v>5450000</v>
      </c>
      <c r="D542" t="s">
        <v>2327</v>
      </c>
      <c r="E542" t="s">
        <v>2328</v>
      </c>
      <c r="F542">
        <v>5</v>
      </c>
      <c r="I542" t="str">
        <f>HYPERLINK("tel:+19492955758", "949-295-5758")</f>
        <v>949-295-5758</v>
      </c>
      <c r="J542" t="s">
        <v>2329</v>
      </c>
      <c r="K542" t="s">
        <v>24</v>
      </c>
      <c r="M542">
        <v>9492955758</v>
      </c>
    </row>
    <row r="543" spans="1:13" x14ac:dyDescent="0.25">
      <c r="A543">
        <v>9015347492</v>
      </c>
      <c r="B543" t="s">
        <v>2330</v>
      </c>
      <c r="C543">
        <v>2190000</v>
      </c>
      <c r="D543" t="s">
        <v>2331</v>
      </c>
      <c r="E543" t="s">
        <v>2332</v>
      </c>
      <c r="F543">
        <v>5</v>
      </c>
      <c r="I543" t="str">
        <f>HYPERLINK("tel:+19492997719", "949-299-7719")</f>
        <v>949-299-7719</v>
      </c>
      <c r="J543" t="s">
        <v>2333</v>
      </c>
      <c r="K543" t="s">
        <v>450</v>
      </c>
      <c r="M543">
        <v>9492997719</v>
      </c>
    </row>
    <row r="544" spans="1:13" x14ac:dyDescent="0.25">
      <c r="A544">
        <v>2352832805</v>
      </c>
      <c r="B544" t="s">
        <v>2334</v>
      </c>
      <c r="C544">
        <v>1550000</v>
      </c>
      <c r="D544" t="s">
        <v>2335</v>
      </c>
      <c r="E544" t="s">
        <v>2336</v>
      </c>
      <c r="F544">
        <v>5</v>
      </c>
      <c r="I544" t="str">
        <f>HYPERLINK("tel:+19493101256", "949-310-1256")</f>
        <v>949-310-1256</v>
      </c>
      <c r="J544" t="s">
        <v>2337</v>
      </c>
      <c r="K544" t="s">
        <v>158</v>
      </c>
      <c r="M544">
        <v>9493101256</v>
      </c>
    </row>
    <row r="545" spans="1:13" x14ac:dyDescent="0.25">
      <c r="A545">
        <v>2211453799</v>
      </c>
      <c r="B545" t="s">
        <v>2338</v>
      </c>
      <c r="C545">
        <v>2100000</v>
      </c>
      <c r="D545" t="s">
        <v>2339</v>
      </c>
      <c r="E545" t="s">
        <v>2340</v>
      </c>
      <c r="F545">
        <v>5</v>
      </c>
      <c r="I545" t="str">
        <f>HYPERLINK("tel:+19493358904", "949-335-8904")</f>
        <v>949-335-8904</v>
      </c>
      <c r="J545" t="s">
        <v>2341</v>
      </c>
      <c r="K545" t="s">
        <v>219</v>
      </c>
      <c r="M545">
        <v>9493358904</v>
      </c>
    </row>
    <row r="546" spans="1:13" x14ac:dyDescent="0.25">
      <c r="A546">
        <v>1435415217</v>
      </c>
      <c r="B546" t="s">
        <v>2315</v>
      </c>
      <c r="C546">
        <v>979900</v>
      </c>
      <c r="D546" t="s">
        <v>2316</v>
      </c>
      <c r="E546" t="s">
        <v>2342</v>
      </c>
      <c r="F546">
        <v>5</v>
      </c>
      <c r="I546" t="str">
        <f>HYPERLINK("tel:+19493446916", "949-344-6916")</f>
        <v>949-344-6916</v>
      </c>
      <c r="J546" t="s">
        <v>2343</v>
      </c>
      <c r="K546" t="s">
        <v>2319</v>
      </c>
      <c r="M546">
        <v>9493446916</v>
      </c>
    </row>
    <row r="547" spans="1:13" x14ac:dyDescent="0.25">
      <c r="A547">
        <v>9943860275</v>
      </c>
      <c r="B547" t="s">
        <v>2137</v>
      </c>
      <c r="C547">
        <v>120000</v>
      </c>
      <c r="D547" t="s">
        <v>2138</v>
      </c>
      <c r="E547" t="s">
        <v>2344</v>
      </c>
      <c r="F547">
        <v>5</v>
      </c>
      <c r="I547" t="str">
        <f>HYPERLINK("tel:+19493450208", "949-345-0208")</f>
        <v>949-345-0208</v>
      </c>
      <c r="J547" t="s">
        <v>2345</v>
      </c>
      <c r="K547" t="s">
        <v>2141</v>
      </c>
      <c r="M547">
        <v>9493450208</v>
      </c>
    </row>
    <row r="548" spans="1:13" x14ac:dyDescent="0.25">
      <c r="A548">
        <v>2331631083</v>
      </c>
      <c r="B548" t="s">
        <v>2346</v>
      </c>
      <c r="C548">
        <v>2150000</v>
      </c>
      <c r="D548" t="s">
        <v>2347</v>
      </c>
      <c r="E548" t="s">
        <v>2348</v>
      </c>
      <c r="F548">
        <v>5</v>
      </c>
      <c r="I548" t="str">
        <f>HYPERLINK("tel:+19493785690", "949-378-5690")</f>
        <v>949-378-5690</v>
      </c>
      <c r="J548" t="s">
        <v>2349</v>
      </c>
      <c r="K548" t="s">
        <v>68</v>
      </c>
      <c r="M548">
        <v>9493785690</v>
      </c>
    </row>
    <row r="549" spans="1:13" x14ac:dyDescent="0.25">
      <c r="A549">
        <v>1186979106</v>
      </c>
      <c r="B549" t="s">
        <v>542</v>
      </c>
      <c r="C549">
        <v>2995000</v>
      </c>
      <c r="D549" t="s">
        <v>543</v>
      </c>
      <c r="E549" t="s">
        <v>2350</v>
      </c>
      <c r="F549">
        <v>5</v>
      </c>
      <c r="I549" t="str">
        <f>HYPERLINK("tel:+19493955295", "949-395-5295")</f>
        <v>949-395-5295</v>
      </c>
      <c r="J549" t="s">
        <v>2351</v>
      </c>
      <c r="K549" t="s">
        <v>24</v>
      </c>
      <c r="M549">
        <v>9493955295</v>
      </c>
    </row>
    <row r="550" spans="1:13" x14ac:dyDescent="0.25">
      <c r="A550">
        <v>9422177237</v>
      </c>
      <c r="B550" t="s">
        <v>2352</v>
      </c>
      <c r="C550">
        <v>2595000</v>
      </c>
      <c r="D550" t="s">
        <v>2353</v>
      </c>
      <c r="E550" t="s">
        <v>2354</v>
      </c>
      <c r="F550">
        <v>5</v>
      </c>
      <c r="I550" t="str">
        <f>HYPERLINK("tel:+19494001717", "949-400-1717")</f>
        <v>949-400-1717</v>
      </c>
      <c r="J550" t="s">
        <v>2355</v>
      </c>
      <c r="K550" t="s">
        <v>2356</v>
      </c>
      <c r="M550">
        <v>9494001717</v>
      </c>
    </row>
    <row r="551" spans="1:13" x14ac:dyDescent="0.25">
      <c r="A551">
        <v>9806293524</v>
      </c>
      <c r="B551" t="s">
        <v>2081</v>
      </c>
      <c r="C551">
        <v>1088000</v>
      </c>
      <c r="D551" t="s">
        <v>2082</v>
      </c>
      <c r="E551" t="s">
        <v>2357</v>
      </c>
      <c r="F551">
        <v>5</v>
      </c>
      <c r="I551" t="str">
        <f>HYPERLINK("tel:+19494132194", "949-413-2194")</f>
        <v>949-413-2194</v>
      </c>
      <c r="J551" t="s">
        <v>2358</v>
      </c>
      <c r="K551" t="s">
        <v>2085</v>
      </c>
      <c r="M551">
        <v>9494132194</v>
      </c>
    </row>
    <row r="552" spans="1:13" x14ac:dyDescent="0.25">
      <c r="A552">
        <v>1674619952</v>
      </c>
      <c r="B552" t="s">
        <v>1511</v>
      </c>
      <c r="C552">
        <v>3900000</v>
      </c>
      <c r="D552" t="s">
        <v>1512</v>
      </c>
      <c r="E552" t="s">
        <v>2359</v>
      </c>
      <c r="F552">
        <v>5</v>
      </c>
      <c r="I552" t="str">
        <f>HYPERLINK("tel:+19494226122", "949-422-6122")</f>
        <v>949-422-6122</v>
      </c>
      <c r="J552" t="s">
        <v>2360</v>
      </c>
      <c r="K552" t="s">
        <v>1515</v>
      </c>
      <c r="M552">
        <v>9494226122</v>
      </c>
    </row>
    <row r="553" spans="1:13" x14ac:dyDescent="0.25">
      <c r="A553">
        <v>2865370664</v>
      </c>
      <c r="B553" t="s">
        <v>2361</v>
      </c>
      <c r="C553">
        <v>3249000</v>
      </c>
      <c r="D553" t="s">
        <v>2362</v>
      </c>
      <c r="E553" t="s">
        <v>2363</v>
      </c>
      <c r="F553">
        <v>5</v>
      </c>
      <c r="I553" t="str">
        <f>HYPERLINK("tel:+19494233893", "949-423-3893")</f>
        <v>949-423-3893</v>
      </c>
      <c r="J553" t="s">
        <v>2364</v>
      </c>
      <c r="K553" t="s">
        <v>450</v>
      </c>
      <c r="M553">
        <v>9494233893</v>
      </c>
    </row>
    <row r="554" spans="1:13" x14ac:dyDescent="0.25">
      <c r="A554">
        <v>2228420564</v>
      </c>
      <c r="B554" t="s">
        <v>2365</v>
      </c>
      <c r="C554">
        <v>4398000</v>
      </c>
      <c r="D554" t="s">
        <v>2366</v>
      </c>
      <c r="E554" t="s">
        <v>2367</v>
      </c>
      <c r="F554">
        <v>5</v>
      </c>
      <c r="I554" t="str">
        <f>HYPERLINK("tel:+19494333001", "949-433-3001")</f>
        <v>949-433-3001</v>
      </c>
      <c r="J554" t="s">
        <v>2368</v>
      </c>
      <c r="K554" t="s">
        <v>744</v>
      </c>
      <c r="M554">
        <v>9494333001</v>
      </c>
    </row>
    <row r="555" spans="1:13" x14ac:dyDescent="0.25">
      <c r="A555">
        <v>9850439863</v>
      </c>
      <c r="B555" t="s">
        <v>2369</v>
      </c>
      <c r="C555">
        <v>465000</v>
      </c>
      <c r="D555" t="s">
        <v>2370</v>
      </c>
      <c r="E555" t="s">
        <v>2371</v>
      </c>
      <c r="F555">
        <v>5</v>
      </c>
      <c r="I555" t="str">
        <f>HYPERLINK("tel:+19495335040", "949-533-5040")</f>
        <v>949-533-5040</v>
      </c>
      <c r="J555" t="s">
        <v>2372</v>
      </c>
      <c r="K555" t="s">
        <v>2373</v>
      </c>
      <c r="M555">
        <v>9495335040</v>
      </c>
    </row>
    <row r="556" spans="1:13" x14ac:dyDescent="0.25">
      <c r="A556">
        <v>2271359823</v>
      </c>
      <c r="B556" t="s">
        <v>2374</v>
      </c>
      <c r="C556">
        <v>3856000</v>
      </c>
      <c r="D556" t="s">
        <v>2375</v>
      </c>
      <c r="E556" t="s">
        <v>2376</v>
      </c>
      <c r="F556">
        <v>5</v>
      </c>
      <c r="I556" t="str">
        <f>HYPERLINK("tel:+19495729103", "949-572-9103")</f>
        <v>949-572-9103</v>
      </c>
      <c r="J556" t="s">
        <v>2377</v>
      </c>
      <c r="K556" t="s">
        <v>2378</v>
      </c>
      <c r="M556">
        <v>9495729103</v>
      </c>
    </row>
    <row r="557" spans="1:13" x14ac:dyDescent="0.25">
      <c r="A557">
        <v>2211453799</v>
      </c>
      <c r="B557" t="s">
        <v>2338</v>
      </c>
      <c r="C557">
        <v>2100000</v>
      </c>
      <c r="D557" t="s">
        <v>2339</v>
      </c>
      <c r="E557" t="s">
        <v>2379</v>
      </c>
      <c r="F557">
        <v>5</v>
      </c>
      <c r="I557" t="str">
        <f>HYPERLINK("tel:+19496099838", "949-609-9838")</f>
        <v>949-609-9838</v>
      </c>
      <c r="J557" t="s">
        <v>2380</v>
      </c>
      <c r="K557" t="s">
        <v>219</v>
      </c>
      <c r="M557">
        <v>9496099838</v>
      </c>
    </row>
    <row r="558" spans="1:13" x14ac:dyDescent="0.25">
      <c r="A558">
        <v>1896251120</v>
      </c>
      <c r="B558" t="s">
        <v>2381</v>
      </c>
      <c r="C558">
        <v>2575000</v>
      </c>
      <c r="D558" t="s">
        <v>2382</v>
      </c>
      <c r="E558" t="s">
        <v>2383</v>
      </c>
      <c r="F558">
        <v>5</v>
      </c>
      <c r="I558" t="str">
        <f>HYPERLINK("tel:+19496328995", "949-632-8995")</f>
        <v>949-632-8995</v>
      </c>
      <c r="J558" t="s">
        <v>2384</v>
      </c>
      <c r="K558" t="s">
        <v>2385</v>
      </c>
      <c r="M558">
        <v>9496328995</v>
      </c>
    </row>
    <row r="559" spans="1:13" x14ac:dyDescent="0.25">
      <c r="A559">
        <v>2217421392</v>
      </c>
      <c r="B559" t="s">
        <v>1703</v>
      </c>
      <c r="C559">
        <v>1750000</v>
      </c>
      <c r="D559" t="s">
        <v>1704</v>
      </c>
      <c r="E559" t="s">
        <v>2386</v>
      </c>
      <c r="F559">
        <v>5</v>
      </c>
      <c r="I559" t="str">
        <f>HYPERLINK("tel:+19496688808", "949-668-8808")</f>
        <v>949-668-8808</v>
      </c>
      <c r="J559" t="s">
        <v>2387</v>
      </c>
      <c r="K559" t="s">
        <v>1707</v>
      </c>
      <c r="M559">
        <v>9496688808</v>
      </c>
    </row>
    <row r="560" spans="1:13" x14ac:dyDescent="0.25">
      <c r="A560">
        <v>2247080040</v>
      </c>
      <c r="B560" t="s">
        <v>2388</v>
      </c>
      <c r="C560">
        <v>1348000</v>
      </c>
      <c r="D560" t="s">
        <v>2389</v>
      </c>
      <c r="E560" t="s">
        <v>2390</v>
      </c>
      <c r="F560">
        <v>5</v>
      </c>
      <c r="I560" t="str">
        <f>HYPERLINK("tel:+19496776500", "949-677-6500")</f>
        <v>949-677-6500</v>
      </c>
      <c r="J560" t="s">
        <v>2391</v>
      </c>
      <c r="K560" t="s">
        <v>431</v>
      </c>
      <c r="M560">
        <v>9496776500</v>
      </c>
    </row>
    <row r="561" spans="1:13" x14ac:dyDescent="0.25">
      <c r="A561">
        <v>1646296185</v>
      </c>
      <c r="B561" t="s">
        <v>2392</v>
      </c>
      <c r="C561">
        <v>969999</v>
      </c>
      <c r="D561" t="s">
        <v>2393</v>
      </c>
      <c r="E561" t="s">
        <v>2394</v>
      </c>
      <c r="F561">
        <v>5</v>
      </c>
      <c r="I561" t="str">
        <f>HYPERLINK("tel:+19497352300", "949-735-2300")</f>
        <v>949-735-2300</v>
      </c>
      <c r="J561" t="s">
        <v>2395</v>
      </c>
      <c r="K561" t="s">
        <v>556</v>
      </c>
      <c r="M561">
        <v>9497352300</v>
      </c>
    </row>
    <row r="562" spans="1:13" x14ac:dyDescent="0.25">
      <c r="A562">
        <v>9742330964</v>
      </c>
      <c r="B562" t="s">
        <v>2396</v>
      </c>
      <c r="C562">
        <v>828000</v>
      </c>
      <c r="D562" t="s">
        <v>2397</v>
      </c>
      <c r="E562" t="s">
        <v>2398</v>
      </c>
      <c r="F562">
        <v>5</v>
      </c>
      <c r="I562" t="str">
        <f>HYPERLINK("tel:+19498385800", "949-838-5800")</f>
        <v>949-838-5800</v>
      </c>
      <c r="J562" t="s">
        <v>2399</v>
      </c>
      <c r="K562" t="s">
        <v>219</v>
      </c>
      <c r="M562">
        <v>9498385800</v>
      </c>
    </row>
    <row r="563" spans="1:13" x14ac:dyDescent="0.25">
      <c r="A563">
        <v>1816986980</v>
      </c>
      <c r="B563" t="s">
        <v>2400</v>
      </c>
      <c r="C563">
        <v>1705000</v>
      </c>
      <c r="D563" t="s">
        <v>2401</v>
      </c>
      <c r="E563" t="s">
        <v>2402</v>
      </c>
      <c r="F563">
        <v>5</v>
      </c>
      <c r="I563" t="str">
        <f>HYPERLINK("tel:+19498702882", "949-870-2882")</f>
        <v>949-870-2882</v>
      </c>
      <c r="J563" t="s">
        <v>2403</v>
      </c>
      <c r="K563" t="s">
        <v>2404</v>
      </c>
      <c r="M563">
        <v>9498702882</v>
      </c>
    </row>
    <row r="564" spans="1:13" x14ac:dyDescent="0.25">
      <c r="A564">
        <v>1476999117</v>
      </c>
      <c r="B564" t="s">
        <v>2405</v>
      </c>
      <c r="C564">
        <v>2190000</v>
      </c>
      <c r="D564" t="s">
        <v>2406</v>
      </c>
      <c r="E564" t="s">
        <v>2407</v>
      </c>
      <c r="F564">
        <v>5</v>
      </c>
      <c r="I564" t="str">
        <f>HYPERLINK("tel:+19498733666", "949-873-3666")</f>
        <v>949-873-3666</v>
      </c>
      <c r="J564" t="s">
        <v>2408</v>
      </c>
      <c r="K564" t="s">
        <v>2409</v>
      </c>
      <c r="M564">
        <v>9498733666</v>
      </c>
    </row>
    <row r="565" spans="1:13" x14ac:dyDescent="0.25">
      <c r="A565">
        <v>2028950831</v>
      </c>
      <c r="B565" t="s">
        <v>2410</v>
      </c>
      <c r="C565">
        <v>899000</v>
      </c>
      <c r="D565" t="s">
        <v>2411</v>
      </c>
      <c r="E565" t="s">
        <v>2412</v>
      </c>
      <c r="F565">
        <v>5</v>
      </c>
      <c r="I565" t="str">
        <f>HYPERLINK("tel:+19498805517", "949-880-5517")</f>
        <v>949-880-5517</v>
      </c>
      <c r="J565" t="s">
        <v>2413</v>
      </c>
      <c r="K565" t="s">
        <v>2414</v>
      </c>
      <c r="M565">
        <v>9498805517</v>
      </c>
    </row>
    <row r="566" spans="1:13" x14ac:dyDescent="0.25">
      <c r="A566">
        <v>1271282708</v>
      </c>
      <c r="B566" t="s">
        <v>2415</v>
      </c>
      <c r="C566">
        <v>12950000</v>
      </c>
      <c r="D566" t="s">
        <v>2416</v>
      </c>
      <c r="E566" t="s">
        <v>2417</v>
      </c>
      <c r="F566">
        <v>5</v>
      </c>
      <c r="I566" t="str">
        <f>HYPERLINK("tel:+19498875117", "949-887-5117")</f>
        <v>949-887-5117</v>
      </c>
      <c r="J566" t="s">
        <v>2418</v>
      </c>
      <c r="K566" t="s">
        <v>953</v>
      </c>
      <c r="M566">
        <v>9498875117</v>
      </c>
    </row>
    <row r="567" spans="1:13" x14ac:dyDescent="0.25">
      <c r="A567">
        <v>9322029012</v>
      </c>
      <c r="B567" t="s">
        <v>2419</v>
      </c>
      <c r="C567">
        <v>4180000</v>
      </c>
      <c r="D567" t="s">
        <v>2420</v>
      </c>
      <c r="E567" t="s">
        <v>2421</v>
      </c>
      <c r="F567">
        <v>5</v>
      </c>
      <c r="I567" t="str">
        <f>HYPERLINK("tel:+19498999000", "949-899-9000")</f>
        <v>949-899-9000</v>
      </c>
      <c r="J567" t="s">
        <v>2422</v>
      </c>
      <c r="K567" t="s">
        <v>2423</v>
      </c>
      <c r="M567">
        <v>9498999000</v>
      </c>
    </row>
    <row r="568" spans="1:13" x14ac:dyDescent="0.25">
      <c r="A568">
        <v>1080563563</v>
      </c>
      <c r="B568" t="s">
        <v>2424</v>
      </c>
      <c r="C568">
        <v>1700000</v>
      </c>
      <c r="D568" t="s">
        <v>2425</v>
      </c>
      <c r="E568" t="s">
        <v>2426</v>
      </c>
      <c r="F568">
        <v>5</v>
      </c>
      <c r="I568" t="str">
        <f>HYPERLINK("tel:+19499102343", "949-910-2343")</f>
        <v>949-910-2343</v>
      </c>
      <c r="J568" t="s">
        <v>2427</v>
      </c>
      <c r="K568" t="s">
        <v>2428</v>
      </c>
      <c r="M568">
        <v>9499102343</v>
      </c>
    </row>
    <row r="569" spans="1:13" x14ac:dyDescent="0.25">
      <c r="A569">
        <v>2864698654</v>
      </c>
      <c r="B569" t="s">
        <v>2429</v>
      </c>
      <c r="C569">
        <v>2996875</v>
      </c>
      <c r="D569" t="s">
        <v>2430</v>
      </c>
      <c r="E569" t="s">
        <v>2431</v>
      </c>
      <c r="F569">
        <v>5</v>
      </c>
      <c r="I569" t="str">
        <f>HYPERLINK("tel:+19499421302", "949-942-1302")</f>
        <v>949-942-1302</v>
      </c>
      <c r="J569" t="s">
        <v>2432</v>
      </c>
      <c r="K569" t="s">
        <v>2433</v>
      </c>
      <c r="M569">
        <v>9499421302</v>
      </c>
    </row>
    <row r="570" spans="1:13" x14ac:dyDescent="0.25">
      <c r="A570">
        <v>1693120582</v>
      </c>
      <c r="B570" t="s">
        <v>2434</v>
      </c>
      <c r="C570">
        <v>11495000</v>
      </c>
      <c r="D570" t="s">
        <v>2435</v>
      </c>
      <c r="E570" t="s">
        <v>2436</v>
      </c>
      <c r="F570">
        <v>5</v>
      </c>
      <c r="I570" t="str">
        <f>HYPERLINK("tel:+19499429123", "949-942-9123")</f>
        <v>949-942-9123</v>
      </c>
      <c r="J570" t="s">
        <v>2437</v>
      </c>
      <c r="K570" t="s">
        <v>2438</v>
      </c>
      <c r="M570">
        <v>9499429123</v>
      </c>
    </row>
    <row r="571" spans="1:13" x14ac:dyDescent="0.25">
      <c r="A571">
        <v>9026008475</v>
      </c>
      <c r="B571" t="s">
        <v>2439</v>
      </c>
      <c r="C571">
        <v>3750000</v>
      </c>
      <c r="D571" t="s">
        <v>2440</v>
      </c>
      <c r="E571" t="s">
        <v>2441</v>
      </c>
      <c r="F571">
        <v>5</v>
      </c>
      <c r="I571" t="str">
        <f>HYPERLINK("tel:+19499819047", "949-981-9047")</f>
        <v>949-981-9047</v>
      </c>
      <c r="J571" t="s">
        <v>2442</v>
      </c>
      <c r="K571" t="s">
        <v>744</v>
      </c>
      <c r="M571">
        <v>9499819047</v>
      </c>
    </row>
    <row r="572" spans="1:13" x14ac:dyDescent="0.25">
      <c r="A572">
        <v>9384020683</v>
      </c>
      <c r="B572" t="s">
        <v>2443</v>
      </c>
      <c r="C572">
        <v>2888000</v>
      </c>
      <c r="D572" t="s">
        <v>2444</v>
      </c>
      <c r="E572" t="s">
        <v>2445</v>
      </c>
      <c r="F572">
        <v>4</v>
      </c>
      <c r="I572" t="str">
        <f>HYPERLINK("tel:+12018397150", "201-839-7150")</f>
        <v>201-839-7150</v>
      </c>
      <c r="J572" t="s">
        <v>2446</v>
      </c>
      <c r="K572" t="s">
        <v>2319</v>
      </c>
      <c r="M572">
        <v>2018397150</v>
      </c>
    </row>
    <row r="573" spans="1:13" x14ac:dyDescent="0.25">
      <c r="A573">
        <v>2521501549</v>
      </c>
      <c r="B573" t="s">
        <v>2447</v>
      </c>
      <c r="C573">
        <v>999000</v>
      </c>
      <c r="D573" t="s">
        <v>2448</v>
      </c>
      <c r="E573" t="s">
        <v>2449</v>
      </c>
      <c r="F573">
        <v>4</v>
      </c>
      <c r="I573" t="str">
        <f>HYPERLINK("tel:+12132595283", "213-259-5283")</f>
        <v>213-259-5283</v>
      </c>
      <c r="J573" t="s">
        <v>2450</v>
      </c>
      <c r="K573" t="s">
        <v>14</v>
      </c>
      <c r="M573">
        <v>2132595283</v>
      </c>
    </row>
    <row r="574" spans="1:13" x14ac:dyDescent="0.25">
      <c r="A574">
        <v>1654464152</v>
      </c>
      <c r="B574" t="s">
        <v>2451</v>
      </c>
      <c r="C574">
        <v>355000</v>
      </c>
      <c r="D574" t="s">
        <v>2452</v>
      </c>
      <c r="E574" t="s">
        <v>2453</v>
      </c>
      <c r="F574">
        <v>4</v>
      </c>
      <c r="I574" t="str">
        <f>HYPERLINK("tel:+12132689576", "213-268-9576")</f>
        <v>213-268-9576</v>
      </c>
      <c r="J574" t="s">
        <v>2454</v>
      </c>
      <c r="K574" t="s">
        <v>2455</v>
      </c>
      <c r="M574">
        <v>2132689576</v>
      </c>
    </row>
    <row r="575" spans="1:13" x14ac:dyDescent="0.25">
      <c r="A575">
        <v>2966828886</v>
      </c>
      <c r="B575" t="s">
        <v>2456</v>
      </c>
      <c r="C575">
        <v>668000</v>
      </c>
      <c r="D575" t="s">
        <v>2457</v>
      </c>
      <c r="E575" t="s">
        <v>2458</v>
      </c>
      <c r="F575">
        <v>4</v>
      </c>
      <c r="I575" t="str">
        <f>HYPERLINK("tel:+12133885155", "213-388-5155")</f>
        <v>213-388-5155</v>
      </c>
      <c r="J575" t="s">
        <v>2459</v>
      </c>
      <c r="K575" t="s">
        <v>2460</v>
      </c>
      <c r="M575">
        <v>2133885155</v>
      </c>
    </row>
    <row r="576" spans="1:13" x14ac:dyDescent="0.25">
      <c r="A576">
        <v>2377793833</v>
      </c>
      <c r="B576" t="s">
        <v>2461</v>
      </c>
      <c r="C576">
        <v>1350000</v>
      </c>
      <c r="D576" t="s">
        <v>2462</v>
      </c>
      <c r="E576" t="s">
        <v>2463</v>
      </c>
      <c r="F576">
        <v>4</v>
      </c>
      <c r="I576" t="str">
        <f>HYPERLINK("tel:+12134302524", "213-430-2524")</f>
        <v>213-430-2524</v>
      </c>
      <c r="J576" t="s">
        <v>2464</v>
      </c>
      <c r="K576" t="s">
        <v>9</v>
      </c>
      <c r="M576">
        <v>2134302524</v>
      </c>
    </row>
    <row r="577" spans="1:13" x14ac:dyDescent="0.25">
      <c r="A577">
        <v>1941622665</v>
      </c>
      <c r="B577" t="s">
        <v>2465</v>
      </c>
      <c r="C577">
        <v>2250000</v>
      </c>
      <c r="D577" t="s">
        <v>2466</v>
      </c>
      <c r="E577" t="s">
        <v>2467</v>
      </c>
      <c r="F577">
        <v>4</v>
      </c>
      <c r="I577" t="str">
        <f>HYPERLINK("tel:+12135056345", "213-505-6345")</f>
        <v>213-505-6345</v>
      </c>
      <c r="J577" t="s">
        <v>2468</v>
      </c>
      <c r="K577" t="s">
        <v>2469</v>
      </c>
      <c r="M577">
        <v>2135056345</v>
      </c>
    </row>
    <row r="578" spans="1:13" x14ac:dyDescent="0.25">
      <c r="A578">
        <v>9924688950</v>
      </c>
      <c r="B578" t="s">
        <v>2470</v>
      </c>
      <c r="C578">
        <v>1198000</v>
      </c>
      <c r="D578" t="s">
        <v>2471</v>
      </c>
      <c r="E578" t="s">
        <v>2472</v>
      </c>
      <c r="F578">
        <v>4</v>
      </c>
      <c r="I578" t="str">
        <f>HYPERLINK("tel:+12135375342", "213-537-5342")</f>
        <v>213-537-5342</v>
      </c>
      <c r="J578" t="s">
        <v>2473</v>
      </c>
      <c r="K578" t="s">
        <v>2474</v>
      </c>
      <c r="M578">
        <v>2135375342</v>
      </c>
    </row>
    <row r="579" spans="1:13" x14ac:dyDescent="0.25">
      <c r="A579">
        <v>1472092974</v>
      </c>
      <c r="B579" t="s">
        <v>2475</v>
      </c>
      <c r="C579">
        <v>1849000</v>
      </c>
      <c r="D579" t="s">
        <v>2476</v>
      </c>
      <c r="E579" t="s">
        <v>2477</v>
      </c>
      <c r="F579">
        <v>4</v>
      </c>
      <c r="I579" t="str">
        <f>HYPERLINK("tel:+12135954720", "213-595-4720")</f>
        <v>213-595-4720</v>
      </c>
      <c r="J579" t="s">
        <v>2478</v>
      </c>
      <c r="K579" t="s">
        <v>24</v>
      </c>
      <c r="M579">
        <v>2135954720</v>
      </c>
    </row>
    <row r="580" spans="1:13" x14ac:dyDescent="0.25">
      <c r="A580">
        <v>1536347408</v>
      </c>
      <c r="B580" t="s">
        <v>2479</v>
      </c>
      <c r="C580">
        <v>3000000</v>
      </c>
      <c r="D580" t="s">
        <v>2480</v>
      </c>
      <c r="E580" t="s">
        <v>2481</v>
      </c>
      <c r="F580">
        <v>4</v>
      </c>
      <c r="I580" t="str">
        <f>HYPERLINK("tel:+12136230800", "213-623-0800")</f>
        <v>213-623-0800</v>
      </c>
      <c r="J580" t="s">
        <v>2482</v>
      </c>
      <c r="K580" t="s">
        <v>2483</v>
      </c>
      <c r="M580">
        <v>2136230800</v>
      </c>
    </row>
    <row r="581" spans="1:13" x14ac:dyDescent="0.25">
      <c r="A581">
        <v>1921006375</v>
      </c>
      <c r="B581" t="s">
        <v>2484</v>
      </c>
      <c r="C581">
        <v>2290000</v>
      </c>
      <c r="D581" t="s">
        <v>2485</v>
      </c>
      <c r="E581" t="s">
        <v>2486</v>
      </c>
      <c r="F581">
        <v>4</v>
      </c>
      <c r="I581" t="str">
        <f>HYPERLINK("tel:+12136751413", "213-675-1413")</f>
        <v>213-675-1413</v>
      </c>
      <c r="J581" t="s">
        <v>2487</v>
      </c>
      <c r="K581" t="s">
        <v>1730</v>
      </c>
      <c r="M581">
        <v>2136751413</v>
      </c>
    </row>
    <row r="582" spans="1:13" x14ac:dyDescent="0.25">
      <c r="A582">
        <v>1305387526</v>
      </c>
      <c r="B582" t="s">
        <v>2488</v>
      </c>
      <c r="C582">
        <v>1995000</v>
      </c>
      <c r="D582" t="s">
        <v>2489</v>
      </c>
      <c r="E582" t="s">
        <v>2490</v>
      </c>
      <c r="F582">
        <v>4</v>
      </c>
      <c r="I582" t="str">
        <f>HYPERLINK("tel:+12137124343", "213-712-4343")</f>
        <v>213-712-4343</v>
      </c>
      <c r="J582" t="s">
        <v>2491</v>
      </c>
      <c r="K582" t="s">
        <v>450</v>
      </c>
      <c r="M582">
        <v>2137124343</v>
      </c>
    </row>
    <row r="583" spans="1:13" x14ac:dyDescent="0.25">
      <c r="A583">
        <v>2235837281</v>
      </c>
      <c r="B583" t="s">
        <v>2492</v>
      </c>
      <c r="C583">
        <v>699900</v>
      </c>
      <c r="D583" t="s">
        <v>2493</v>
      </c>
      <c r="E583" t="s">
        <v>2494</v>
      </c>
      <c r="F583">
        <v>4</v>
      </c>
      <c r="I583" t="str">
        <f>HYPERLINK("tel:+12138002969", "213-800-2969")</f>
        <v>213-800-2969</v>
      </c>
      <c r="J583" t="s">
        <v>2495</v>
      </c>
      <c r="K583" t="s">
        <v>287</v>
      </c>
      <c r="M583">
        <v>2138002969</v>
      </c>
    </row>
    <row r="584" spans="1:13" x14ac:dyDescent="0.25">
      <c r="A584">
        <v>2252606955</v>
      </c>
      <c r="B584" t="s">
        <v>2496</v>
      </c>
      <c r="C584">
        <v>1790000</v>
      </c>
      <c r="D584" t="s">
        <v>2497</v>
      </c>
      <c r="E584" t="s">
        <v>2498</v>
      </c>
      <c r="F584">
        <v>4</v>
      </c>
      <c r="I584" t="str">
        <f>HYPERLINK("tel:+12138200218", "213-820-0218")</f>
        <v>213-820-0218</v>
      </c>
      <c r="J584" t="s">
        <v>2499</v>
      </c>
      <c r="K584" t="s">
        <v>2500</v>
      </c>
      <c r="M584">
        <v>2138200218</v>
      </c>
    </row>
    <row r="585" spans="1:13" x14ac:dyDescent="0.25">
      <c r="A585">
        <v>2925260366</v>
      </c>
      <c r="B585" t="s">
        <v>1562</v>
      </c>
      <c r="C585">
        <v>2495000</v>
      </c>
      <c r="D585" t="s">
        <v>1563</v>
      </c>
      <c r="E585" t="s">
        <v>2501</v>
      </c>
      <c r="F585">
        <v>4</v>
      </c>
      <c r="I585" t="str">
        <f>HYPERLINK("tel:+12138427625", "213-842-7625")</f>
        <v>213-842-7625</v>
      </c>
      <c r="J585" t="s">
        <v>2502</v>
      </c>
      <c r="K585" t="s">
        <v>323</v>
      </c>
      <c r="M585">
        <v>2138427625</v>
      </c>
    </row>
    <row r="586" spans="1:13" x14ac:dyDescent="0.25">
      <c r="A586">
        <v>1176862455</v>
      </c>
      <c r="B586" t="s">
        <v>2503</v>
      </c>
      <c r="C586">
        <v>1275000</v>
      </c>
      <c r="D586" t="s">
        <v>2504</v>
      </c>
      <c r="E586" t="s">
        <v>2505</v>
      </c>
      <c r="F586">
        <v>4</v>
      </c>
      <c r="I586" t="str">
        <f>HYPERLINK("tel:+12139431800", "213-943-1800")</f>
        <v>213-943-1800</v>
      </c>
      <c r="J586" t="s">
        <v>2506</v>
      </c>
      <c r="K586" t="s">
        <v>131</v>
      </c>
      <c r="M586">
        <v>2139431800</v>
      </c>
    </row>
    <row r="587" spans="1:13" x14ac:dyDescent="0.25">
      <c r="A587">
        <v>1538622493</v>
      </c>
      <c r="B587" t="s">
        <v>2507</v>
      </c>
      <c r="C587">
        <v>1400000</v>
      </c>
      <c r="D587" t="s">
        <v>2508</v>
      </c>
      <c r="E587" t="s">
        <v>2509</v>
      </c>
      <c r="F587">
        <v>4</v>
      </c>
      <c r="I587" t="str">
        <f>HYPERLINK("tel:+13012564407", "301-256-4407")</f>
        <v>301-256-4407</v>
      </c>
      <c r="J587" t="s">
        <v>2510</v>
      </c>
      <c r="K587" t="s">
        <v>24</v>
      </c>
      <c r="M587">
        <v>3012564407</v>
      </c>
    </row>
    <row r="588" spans="1:13" x14ac:dyDescent="0.25">
      <c r="A588">
        <v>2657642350</v>
      </c>
      <c r="B588" t="s">
        <v>2511</v>
      </c>
      <c r="C588">
        <v>7250000</v>
      </c>
      <c r="D588" t="s">
        <v>2512</v>
      </c>
      <c r="E588" t="s">
        <v>2513</v>
      </c>
      <c r="F588">
        <v>4</v>
      </c>
      <c r="I588" t="str">
        <f>HYPERLINK("tel:+13102050050", "310-205-0050")</f>
        <v>310-205-0050</v>
      </c>
      <c r="J588" t="s">
        <v>2514</v>
      </c>
      <c r="K588" t="s">
        <v>2515</v>
      </c>
      <c r="M588">
        <v>3102050050</v>
      </c>
    </row>
    <row r="589" spans="1:13" x14ac:dyDescent="0.25">
      <c r="A589">
        <v>9523660036</v>
      </c>
      <c r="B589" t="s">
        <v>2516</v>
      </c>
      <c r="C589">
        <v>201944</v>
      </c>
      <c r="D589" t="s">
        <v>2517</v>
      </c>
      <c r="E589" t="s">
        <v>2518</v>
      </c>
      <c r="F589">
        <v>4</v>
      </c>
      <c r="I589" t="str">
        <f>HYPERLINK("tel:+13102100008", "310-210-0008")</f>
        <v>310-210-0008</v>
      </c>
      <c r="J589" t="s">
        <v>2519</v>
      </c>
      <c r="K589" t="s">
        <v>2520</v>
      </c>
      <c r="M589">
        <v>3102100008</v>
      </c>
    </row>
    <row r="590" spans="1:13" x14ac:dyDescent="0.25">
      <c r="A590">
        <v>1511926294</v>
      </c>
      <c r="B590" t="s">
        <v>2521</v>
      </c>
      <c r="C590">
        <v>995000</v>
      </c>
      <c r="D590" t="s">
        <v>2522</v>
      </c>
      <c r="E590" t="s">
        <v>2523</v>
      </c>
      <c r="F590">
        <v>4</v>
      </c>
      <c r="I590" t="str">
        <f>HYPERLINK("tel:+13102303711", "310-230-3711")</f>
        <v>310-230-3711</v>
      </c>
      <c r="J590" t="s">
        <v>2524</v>
      </c>
      <c r="K590" t="s">
        <v>4</v>
      </c>
      <c r="M590">
        <v>3102303711</v>
      </c>
    </row>
    <row r="591" spans="1:13" x14ac:dyDescent="0.25">
      <c r="A591">
        <v>1858777326</v>
      </c>
      <c r="B591" t="s">
        <v>2525</v>
      </c>
      <c r="C591">
        <v>1799000</v>
      </c>
      <c r="D591" t="s">
        <v>2526</v>
      </c>
      <c r="E591" t="s">
        <v>2527</v>
      </c>
      <c r="F591">
        <v>4</v>
      </c>
      <c r="I591" t="str">
        <f>HYPERLINK("tel:+13102784100", "310-278-4100")</f>
        <v>310-278-4100</v>
      </c>
      <c r="J591" t="s">
        <v>2528</v>
      </c>
      <c r="K591" t="s">
        <v>24</v>
      </c>
      <c r="M591">
        <v>3102784100</v>
      </c>
    </row>
    <row r="592" spans="1:13" x14ac:dyDescent="0.25">
      <c r="A592">
        <v>1879881222</v>
      </c>
      <c r="B592" t="s">
        <v>2529</v>
      </c>
      <c r="C592">
        <v>1750000</v>
      </c>
      <c r="D592" t="s">
        <v>2530</v>
      </c>
      <c r="E592" t="s">
        <v>2531</v>
      </c>
      <c r="F592">
        <v>4</v>
      </c>
      <c r="I592" t="str">
        <f>HYPERLINK("tel:+13103003392", "310-300-3392")</f>
        <v>310-300-3392</v>
      </c>
      <c r="J592" t="s">
        <v>2532</v>
      </c>
      <c r="K592" t="s">
        <v>1296</v>
      </c>
      <c r="M592">
        <v>3103003392</v>
      </c>
    </row>
    <row r="593" spans="1:13" x14ac:dyDescent="0.25">
      <c r="A593">
        <v>2521770634</v>
      </c>
      <c r="B593" t="s">
        <v>2533</v>
      </c>
      <c r="C593">
        <v>1995000</v>
      </c>
      <c r="D593" t="s">
        <v>2534</v>
      </c>
      <c r="E593" t="s">
        <v>2535</v>
      </c>
      <c r="F593">
        <v>4</v>
      </c>
      <c r="I593" t="str">
        <f>HYPERLINK("tel:+13103090099", "310-309-0099")</f>
        <v>310-309-0099</v>
      </c>
      <c r="J593" t="s">
        <v>2536</v>
      </c>
      <c r="K593" t="s">
        <v>14</v>
      </c>
      <c r="M593">
        <v>3103090099</v>
      </c>
    </row>
    <row r="594" spans="1:13" x14ac:dyDescent="0.25">
      <c r="A594">
        <v>1800564775</v>
      </c>
      <c r="B594" t="s">
        <v>2537</v>
      </c>
      <c r="C594">
        <v>1600000</v>
      </c>
      <c r="D594" t="s">
        <v>2538</v>
      </c>
      <c r="E594" t="s">
        <v>2539</v>
      </c>
      <c r="F594">
        <v>4</v>
      </c>
      <c r="I594" t="str">
        <f>HYPERLINK("tel:+13103318552", "310-331-8552")</f>
        <v>310-331-8552</v>
      </c>
      <c r="J594" t="s">
        <v>2540</v>
      </c>
      <c r="K594" t="s">
        <v>2541</v>
      </c>
      <c r="M594">
        <v>3103318552</v>
      </c>
    </row>
    <row r="595" spans="1:13" x14ac:dyDescent="0.25">
      <c r="A595">
        <v>2773682197</v>
      </c>
      <c r="B595" t="s">
        <v>2542</v>
      </c>
      <c r="C595">
        <v>3250000</v>
      </c>
      <c r="D595" t="s">
        <v>2543</v>
      </c>
      <c r="E595" t="s">
        <v>2544</v>
      </c>
      <c r="F595">
        <v>4</v>
      </c>
      <c r="I595" t="str">
        <f>HYPERLINK("tel:+13103415368", "310-341-5368")</f>
        <v>310-341-5368</v>
      </c>
      <c r="J595" t="s">
        <v>2545</v>
      </c>
      <c r="K595" t="s">
        <v>653</v>
      </c>
      <c r="M595">
        <v>3103415368</v>
      </c>
    </row>
    <row r="596" spans="1:13" x14ac:dyDescent="0.25">
      <c r="A596">
        <v>2962621567</v>
      </c>
      <c r="B596" t="s">
        <v>2546</v>
      </c>
      <c r="C596">
        <v>1499888</v>
      </c>
      <c r="D596" t="s">
        <v>2547</v>
      </c>
      <c r="E596" t="s">
        <v>2548</v>
      </c>
      <c r="F596">
        <v>4</v>
      </c>
      <c r="I596" t="str">
        <f>HYPERLINK("tel:+13103467851", "310-346-7851")</f>
        <v>310-346-7851</v>
      </c>
      <c r="J596" t="s">
        <v>2549</v>
      </c>
      <c r="K596" t="s">
        <v>2550</v>
      </c>
      <c r="M596">
        <v>3103467851</v>
      </c>
    </row>
    <row r="597" spans="1:13" x14ac:dyDescent="0.25">
      <c r="A597">
        <v>2700357254</v>
      </c>
      <c r="B597" t="s">
        <v>2551</v>
      </c>
      <c r="C597">
        <v>1500000</v>
      </c>
      <c r="D597" t="s">
        <v>2552</v>
      </c>
      <c r="E597" t="s">
        <v>2553</v>
      </c>
      <c r="F597">
        <v>4</v>
      </c>
      <c r="I597" t="str">
        <f>HYPERLINK("tel:+13103500805", "310-350-0805")</f>
        <v>310-350-0805</v>
      </c>
      <c r="J597" t="s">
        <v>2554</v>
      </c>
      <c r="K597" t="s">
        <v>4</v>
      </c>
      <c r="M597">
        <v>3103500805</v>
      </c>
    </row>
    <row r="598" spans="1:13" x14ac:dyDescent="0.25">
      <c r="A598">
        <v>1412297218</v>
      </c>
      <c r="B598" t="s">
        <v>2555</v>
      </c>
      <c r="C598">
        <v>1700000</v>
      </c>
      <c r="D598" t="s">
        <v>2556</v>
      </c>
      <c r="E598" t="s">
        <v>2557</v>
      </c>
      <c r="F598">
        <v>4</v>
      </c>
      <c r="I598" t="str">
        <f>HYPERLINK("tel:+13103506205", "310-350-6205")</f>
        <v>310-350-6205</v>
      </c>
      <c r="J598" t="s">
        <v>2558</v>
      </c>
      <c r="K598" t="s">
        <v>2559</v>
      </c>
      <c r="M598">
        <v>3103506205</v>
      </c>
    </row>
    <row r="599" spans="1:13" x14ac:dyDescent="0.25">
      <c r="A599">
        <v>1037413208</v>
      </c>
      <c r="B599" t="s">
        <v>2560</v>
      </c>
      <c r="C599">
        <v>8995000</v>
      </c>
      <c r="D599" t="s">
        <v>2561</v>
      </c>
      <c r="E599" t="s">
        <v>2562</v>
      </c>
      <c r="F599">
        <v>4</v>
      </c>
      <c r="I599" t="str">
        <f>HYPERLINK("tel:+13103595695", "310-359-5695")</f>
        <v>310-359-5695</v>
      </c>
      <c r="J599" t="s">
        <v>2563</v>
      </c>
      <c r="K599" t="s">
        <v>4</v>
      </c>
      <c r="M599">
        <v>3103595695</v>
      </c>
    </row>
    <row r="600" spans="1:13" x14ac:dyDescent="0.25">
      <c r="A600">
        <v>1466363803</v>
      </c>
      <c r="B600" t="s">
        <v>2564</v>
      </c>
      <c r="C600">
        <v>6588000</v>
      </c>
      <c r="D600" t="s">
        <v>2565</v>
      </c>
      <c r="E600" t="s">
        <v>2566</v>
      </c>
      <c r="F600">
        <v>4</v>
      </c>
      <c r="I600" t="str">
        <f>HYPERLINK("tel:+13103843013", "310-384-3013")</f>
        <v>310-384-3013</v>
      </c>
      <c r="J600" t="s">
        <v>2567</v>
      </c>
      <c r="K600" t="s">
        <v>24</v>
      </c>
      <c r="M600">
        <v>3103843013</v>
      </c>
    </row>
    <row r="601" spans="1:13" x14ac:dyDescent="0.25">
      <c r="A601">
        <v>1511926294</v>
      </c>
      <c r="B601" t="s">
        <v>2521</v>
      </c>
      <c r="C601">
        <v>995000</v>
      </c>
      <c r="D601" t="s">
        <v>2522</v>
      </c>
      <c r="E601" t="s">
        <v>2568</v>
      </c>
      <c r="F601">
        <v>4</v>
      </c>
      <c r="I601" t="str">
        <f>HYPERLINK("tel:+13103864063", "310-386-4063")</f>
        <v>310-386-4063</v>
      </c>
      <c r="J601" t="s">
        <v>2569</v>
      </c>
      <c r="K601" t="s">
        <v>4</v>
      </c>
      <c r="M601">
        <v>3103864063</v>
      </c>
    </row>
    <row r="602" spans="1:13" x14ac:dyDescent="0.25">
      <c r="A602">
        <v>2047077059</v>
      </c>
      <c r="B602" t="s">
        <v>2570</v>
      </c>
      <c r="C602">
        <v>2595000</v>
      </c>
      <c r="D602" t="s">
        <v>2571</v>
      </c>
      <c r="E602" t="s">
        <v>2572</v>
      </c>
      <c r="F602">
        <v>4</v>
      </c>
      <c r="I602" t="str">
        <f>HYPERLINK("tel:+13103965500", "310-396-5500")</f>
        <v>310-396-5500</v>
      </c>
      <c r="J602" t="s">
        <v>2573</v>
      </c>
      <c r="K602" t="s">
        <v>24</v>
      </c>
      <c r="M602">
        <v>3103965500</v>
      </c>
    </row>
    <row r="603" spans="1:13" x14ac:dyDescent="0.25">
      <c r="A603">
        <v>9396647887</v>
      </c>
      <c r="B603" t="s">
        <v>2574</v>
      </c>
      <c r="C603">
        <v>6250000</v>
      </c>
      <c r="D603" t="s">
        <v>2575</v>
      </c>
      <c r="E603" t="s">
        <v>2576</v>
      </c>
      <c r="F603">
        <v>4</v>
      </c>
      <c r="I603" t="str">
        <f>HYPERLINK("tel:+13104002222", "310-400-2222")</f>
        <v>310-400-2222</v>
      </c>
      <c r="J603" t="s">
        <v>2577</v>
      </c>
      <c r="K603" t="s">
        <v>9</v>
      </c>
      <c r="M603">
        <v>3104002222</v>
      </c>
    </row>
    <row r="604" spans="1:13" x14ac:dyDescent="0.25">
      <c r="A604">
        <v>1538622493</v>
      </c>
      <c r="B604" t="s">
        <v>2507</v>
      </c>
      <c r="C604">
        <v>1400000</v>
      </c>
      <c r="D604" t="s">
        <v>2508</v>
      </c>
      <c r="E604" t="s">
        <v>2578</v>
      </c>
      <c r="F604">
        <v>4</v>
      </c>
      <c r="I604" t="str">
        <f>HYPERLINK("tel:+13104188546", "310-418-8546")</f>
        <v>310-418-8546</v>
      </c>
      <c r="J604" t="s">
        <v>2579</v>
      </c>
      <c r="K604" t="s">
        <v>24</v>
      </c>
      <c r="M604">
        <v>3104188546</v>
      </c>
    </row>
    <row r="605" spans="1:13" x14ac:dyDescent="0.25">
      <c r="A605">
        <v>9468982368</v>
      </c>
      <c r="B605" t="s">
        <v>2580</v>
      </c>
      <c r="C605">
        <v>1375000</v>
      </c>
      <c r="D605" t="s">
        <v>2581</v>
      </c>
      <c r="E605" t="s">
        <v>2582</v>
      </c>
      <c r="F605">
        <v>4</v>
      </c>
      <c r="I605" t="str">
        <f>HYPERLINK("tel:+13104301312", "310-430-1312")</f>
        <v>310-430-1312</v>
      </c>
      <c r="J605" t="s">
        <v>2583</v>
      </c>
      <c r="K605" t="s">
        <v>622</v>
      </c>
      <c r="M605">
        <v>3104301312</v>
      </c>
    </row>
    <row r="606" spans="1:13" x14ac:dyDescent="0.25">
      <c r="A606">
        <v>1737725683</v>
      </c>
      <c r="B606" t="s">
        <v>2584</v>
      </c>
      <c r="C606">
        <v>1599999</v>
      </c>
      <c r="D606" t="s">
        <v>2585</v>
      </c>
      <c r="E606" t="s">
        <v>2586</v>
      </c>
      <c r="F606">
        <v>4</v>
      </c>
      <c r="I606" t="str">
        <f>HYPERLINK("tel:+13104334946", "310-433-4946")</f>
        <v>310-433-4946</v>
      </c>
      <c r="J606" t="s">
        <v>2587</v>
      </c>
      <c r="K606" t="s">
        <v>63</v>
      </c>
      <c r="M606">
        <v>3104334946</v>
      </c>
    </row>
    <row r="607" spans="1:13" x14ac:dyDescent="0.25">
      <c r="A607">
        <v>2572931943</v>
      </c>
      <c r="B607" t="s">
        <v>2588</v>
      </c>
      <c r="C607">
        <v>12950000</v>
      </c>
      <c r="D607" t="s">
        <v>2589</v>
      </c>
      <c r="E607" t="s">
        <v>2590</v>
      </c>
      <c r="F607">
        <v>4</v>
      </c>
      <c r="I607" t="str">
        <f>HYPERLINK("tel:+13104675872", "310-467-5872")</f>
        <v>310-467-5872</v>
      </c>
      <c r="J607" t="s">
        <v>2591</v>
      </c>
      <c r="K607" t="s">
        <v>82</v>
      </c>
      <c r="M607">
        <v>3104675872</v>
      </c>
    </row>
    <row r="608" spans="1:13" x14ac:dyDescent="0.25">
      <c r="A608">
        <v>9398350703</v>
      </c>
      <c r="B608" t="s">
        <v>2592</v>
      </c>
      <c r="C608">
        <v>11400000</v>
      </c>
      <c r="D608" t="s">
        <v>2593</v>
      </c>
      <c r="E608" t="s">
        <v>2594</v>
      </c>
      <c r="F608">
        <v>4</v>
      </c>
      <c r="I608" t="str">
        <f>HYPERLINK("tel:+13104778865", "310-477-8865")</f>
        <v>310-477-8865</v>
      </c>
      <c r="J608" t="s">
        <v>2595</v>
      </c>
      <c r="K608" t="s">
        <v>2596</v>
      </c>
      <c r="M608">
        <v>3104778865</v>
      </c>
    </row>
    <row r="609" spans="1:13" x14ac:dyDescent="0.25">
      <c r="A609">
        <v>2907734000</v>
      </c>
      <c r="B609" t="s">
        <v>2597</v>
      </c>
      <c r="C609">
        <v>2949000</v>
      </c>
      <c r="D609" t="s">
        <v>2598</v>
      </c>
      <c r="E609" t="s">
        <v>2599</v>
      </c>
      <c r="F609">
        <v>4</v>
      </c>
      <c r="I609" t="str">
        <f>HYPERLINK("tel:+13104868039", "310-486-8039")</f>
        <v>310-486-8039</v>
      </c>
      <c r="J609" t="s">
        <v>2600</v>
      </c>
      <c r="K609" t="s">
        <v>409</v>
      </c>
      <c r="M609">
        <v>3104868039</v>
      </c>
    </row>
    <row r="610" spans="1:13" x14ac:dyDescent="0.25">
      <c r="A610">
        <v>9491471217</v>
      </c>
      <c r="B610" t="s">
        <v>2601</v>
      </c>
      <c r="C610">
        <v>3799000</v>
      </c>
      <c r="D610" t="s">
        <v>2602</v>
      </c>
      <c r="E610" t="s">
        <v>2603</v>
      </c>
      <c r="F610">
        <v>4</v>
      </c>
      <c r="I610" t="str">
        <f>HYPERLINK("tel:+13104903865", "310-490-3865")</f>
        <v>310-490-3865</v>
      </c>
      <c r="J610" t="s">
        <v>2604</v>
      </c>
      <c r="K610" t="s">
        <v>107</v>
      </c>
      <c r="M610">
        <v>3104903865</v>
      </c>
    </row>
    <row r="611" spans="1:13" x14ac:dyDescent="0.25">
      <c r="A611">
        <v>2582397492</v>
      </c>
      <c r="B611" t="s">
        <v>2605</v>
      </c>
      <c r="C611">
        <v>17995000</v>
      </c>
      <c r="D611" t="s">
        <v>2606</v>
      </c>
      <c r="E611" t="s">
        <v>2607</v>
      </c>
      <c r="F611">
        <v>4</v>
      </c>
      <c r="I611" t="str">
        <f>HYPERLINK("tel:+13104976841", "310-497-6841")</f>
        <v>310-497-6841</v>
      </c>
      <c r="J611" t="s">
        <v>2608</v>
      </c>
      <c r="K611" t="s">
        <v>995</v>
      </c>
      <c r="M611">
        <v>3104976841</v>
      </c>
    </row>
    <row r="612" spans="1:13" x14ac:dyDescent="0.25">
      <c r="A612">
        <v>2043630830</v>
      </c>
      <c r="B612" t="s">
        <v>2609</v>
      </c>
      <c r="C612">
        <v>2750000</v>
      </c>
      <c r="D612" t="s">
        <v>2610</v>
      </c>
      <c r="E612" t="s">
        <v>2611</v>
      </c>
      <c r="F612">
        <v>4</v>
      </c>
      <c r="I612" t="str">
        <f>HYPERLINK("tel:+13105285240", "310-528-5240")</f>
        <v>310-528-5240</v>
      </c>
      <c r="J612" t="s">
        <v>2612</v>
      </c>
      <c r="K612" t="s">
        <v>2613</v>
      </c>
      <c r="M612">
        <v>3105285240</v>
      </c>
    </row>
    <row r="613" spans="1:13" x14ac:dyDescent="0.25">
      <c r="A613">
        <v>1904062447</v>
      </c>
      <c r="B613" t="s">
        <v>2614</v>
      </c>
      <c r="C613">
        <v>1699000</v>
      </c>
      <c r="D613" t="s">
        <v>2615</v>
      </c>
      <c r="E613" t="s">
        <v>2616</v>
      </c>
      <c r="F613">
        <v>4</v>
      </c>
      <c r="I613" t="str">
        <f>HYPERLINK("tel:+13105313381", "310-531-3381")</f>
        <v>310-531-3381</v>
      </c>
      <c r="J613" t="s">
        <v>2617</v>
      </c>
      <c r="K613" t="s">
        <v>1827</v>
      </c>
      <c r="M613">
        <v>3105313381</v>
      </c>
    </row>
    <row r="614" spans="1:13" x14ac:dyDescent="0.25">
      <c r="A614">
        <v>9410708586</v>
      </c>
      <c r="B614" t="s">
        <v>2618</v>
      </c>
      <c r="C614">
        <v>13495000</v>
      </c>
      <c r="D614" t="s">
        <v>2619</v>
      </c>
      <c r="E614" t="s">
        <v>2620</v>
      </c>
      <c r="F614">
        <v>4</v>
      </c>
      <c r="I614" t="str">
        <f>HYPERLINK("tel:+13105697975", "310-569-7975")</f>
        <v>310-569-7975</v>
      </c>
      <c r="J614" t="s">
        <v>2621</v>
      </c>
      <c r="K614" t="s">
        <v>1762</v>
      </c>
      <c r="M614">
        <v>3105697975</v>
      </c>
    </row>
    <row r="615" spans="1:13" x14ac:dyDescent="0.25">
      <c r="A615">
        <v>1717449128</v>
      </c>
      <c r="B615" t="s">
        <v>2622</v>
      </c>
      <c r="C615">
        <v>2999000</v>
      </c>
      <c r="D615" t="s">
        <v>2623</v>
      </c>
      <c r="E615" t="s">
        <v>2624</v>
      </c>
      <c r="F615">
        <v>4</v>
      </c>
      <c r="I615" t="str">
        <f>HYPERLINK("tel:+13105953889", "310-595-3889")</f>
        <v>310-595-3889</v>
      </c>
      <c r="J615" t="s">
        <v>2625</v>
      </c>
      <c r="K615" t="s">
        <v>24</v>
      </c>
      <c r="M615">
        <v>3105953889</v>
      </c>
    </row>
    <row r="616" spans="1:13" x14ac:dyDescent="0.25">
      <c r="A616">
        <v>1224296835</v>
      </c>
      <c r="B616" t="s">
        <v>2626</v>
      </c>
      <c r="C616">
        <v>1799000</v>
      </c>
      <c r="D616" t="s">
        <v>2627</v>
      </c>
      <c r="E616" t="s">
        <v>2628</v>
      </c>
      <c r="F616">
        <v>4</v>
      </c>
      <c r="I616" t="str">
        <f>HYPERLINK("tel:+13105954436", "310-595-4436")</f>
        <v>310-595-4436</v>
      </c>
      <c r="J616" t="s">
        <v>2629</v>
      </c>
      <c r="K616" t="s">
        <v>323</v>
      </c>
      <c r="M616">
        <v>3105954436</v>
      </c>
    </row>
    <row r="617" spans="1:13" x14ac:dyDescent="0.25">
      <c r="A617">
        <v>2012904190</v>
      </c>
      <c r="B617" t="s">
        <v>2630</v>
      </c>
      <c r="C617">
        <v>2995000</v>
      </c>
      <c r="D617" t="s">
        <v>2631</v>
      </c>
      <c r="E617" t="s">
        <v>2632</v>
      </c>
      <c r="F617">
        <v>4</v>
      </c>
      <c r="I617" t="str">
        <f>HYPERLINK("tel:+13106002746", "310-600-2746")</f>
        <v>310-600-2746</v>
      </c>
      <c r="J617" t="s">
        <v>2633</v>
      </c>
      <c r="K617" t="s">
        <v>24</v>
      </c>
      <c r="M617">
        <v>3106002746</v>
      </c>
    </row>
    <row r="618" spans="1:13" x14ac:dyDescent="0.25">
      <c r="A618">
        <v>1419162375</v>
      </c>
      <c r="B618" t="s">
        <v>2634</v>
      </c>
      <c r="C618">
        <v>2995000</v>
      </c>
      <c r="D618" t="s">
        <v>2635</v>
      </c>
      <c r="E618" t="s">
        <v>2636</v>
      </c>
      <c r="F618">
        <v>4</v>
      </c>
      <c r="I618" t="str">
        <f>HYPERLINK("tel:+13106003848", "310-600-3848")</f>
        <v>310-600-3848</v>
      </c>
      <c r="J618" t="s">
        <v>2637</v>
      </c>
      <c r="K618" t="s">
        <v>351</v>
      </c>
      <c r="M618">
        <v>3106003848</v>
      </c>
    </row>
    <row r="619" spans="1:13" x14ac:dyDescent="0.25">
      <c r="A619">
        <v>2020580974</v>
      </c>
      <c r="B619" t="s">
        <v>2638</v>
      </c>
      <c r="C619">
        <v>2699000</v>
      </c>
      <c r="D619" t="s">
        <v>2639</v>
      </c>
      <c r="E619" t="s">
        <v>2640</v>
      </c>
      <c r="F619">
        <v>4</v>
      </c>
      <c r="I619" t="str">
        <f>HYPERLINK("tel:+13106214341", "310-621-4341")</f>
        <v>310-621-4341</v>
      </c>
      <c r="J619" t="s">
        <v>2641</v>
      </c>
      <c r="K619" t="s">
        <v>2642</v>
      </c>
      <c r="M619">
        <v>3106214341</v>
      </c>
    </row>
    <row r="620" spans="1:13" x14ac:dyDescent="0.25">
      <c r="A620">
        <v>1798096999</v>
      </c>
      <c r="B620" t="s">
        <v>2643</v>
      </c>
      <c r="C620">
        <v>18995000</v>
      </c>
      <c r="D620" t="s">
        <v>2644</v>
      </c>
      <c r="E620" t="s">
        <v>2645</v>
      </c>
      <c r="F620">
        <v>4</v>
      </c>
      <c r="I620" t="str">
        <f>HYPERLINK("tel:+13106231309", "310-623-1309")</f>
        <v>310-623-1309</v>
      </c>
      <c r="J620" t="s">
        <v>2646</v>
      </c>
      <c r="K620" t="s">
        <v>63</v>
      </c>
      <c r="M620">
        <v>3106231309</v>
      </c>
    </row>
    <row r="621" spans="1:13" x14ac:dyDescent="0.25">
      <c r="A621">
        <v>1078714022</v>
      </c>
      <c r="B621" t="s">
        <v>2647</v>
      </c>
      <c r="C621">
        <v>1995000</v>
      </c>
      <c r="D621" t="s">
        <v>2648</v>
      </c>
      <c r="E621" t="s">
        <v>2649</v>
      </c>
      <c r="F621">
        <v>4</v>
      </c>
      <c r="I621" t="str">
        <f>HYPERLINK("tel:+13106238819", "310-623-8819")</f>
        <v>310-623-8819</v>
      </c>
      <c r="J621" t="s">
        <v>2650</v>
      </c>
      <c r="K621" t="s">
        <v>117</v>
      </c>
      <c r="M621">
        <v>3106238819</v>
      </c>
    </row>
    <row r="622" spans="1:13" x14ac:dyDescent="0.25">
      <c r="A622">
        <v>1078714022</v>
      </c>
      <c r="B622" t="s">
        <v>2647</v>
      </c>
      <c r="C622">
        <v>1995000</v>
      </c>
      <c r="D622" t="s">
        <v>2648</v>
      </c>
      <c r="E622" t="s">
        <v>2651</v>
      </c>
      <c r="F622">
        <v>4</v>
      </c>
      <c r="I622" t="str">
        <f>HYPERLINK("tel:+13106238825", "310-623-8825")</f>
        <v>310-623-8825</v>
      </c>
      <c r="J622" t="s">
        <v>2652</v>
      </c>
      <c r="K622" t="s">
        <v>117</v>
      </c>
      <c r="M622">
        <v>3106238825</v>
      </c>
    </row>
    <row r="623" spans="1:13" x14ac:dyDescent="0.25">
      <c r="A623">
        <v>9758955110</v>
      </c>
      <c r="B623" t="s">
        <v>2653</v>
      </c>
      <c r="C623">
        <v>2995000</v>
      </c>
      <c r="D623" t="s">
        <v>2654</v>
      </c>
      <c r="E623" t="s">
        <v>2655</v>
      </c>
      <c r="F623">
        <v>4</v>
      </c>
      <c r="I623" t="str">
        <f>HYPERLINK("tel:+13106253443", "310-625-3443")</f>
        <v>310-625-3443</v>
      </c>
      <c r="J623" t="s">
        <v>2656</v>
      </c>
      <c r="K623" t="s">
        <v>117</v>
      </c>
      <c r="M623">
        <v>3106253443</v>
      </c>
    </row>
    <row r="624" spans="1:13" x14ac:dyDescent="0.25">
      <c r="A624">
        <v>2836310413</v>
      </c>
      <c r="B624" t="s">
        <v>2657</v>
      </c>
      <c r="C624">
        <v>2950000</v>
      </c>
      <c r="D624" t="s">
        <v>2658</v>
      </c>
      <c r="E624" t="s">
        <v>2659</v>
      </c>
      <c r="F624">
        <v>4</v>
      </c>
      <c r="I624" t="str">
        <f>HYPERLINK("tel:+13106287773", "310-628-7773")</f>
        <v>310-628-7773</v>
      </c>
      <c r="J624" t="s">
        <v>2660</v>
      </c>
      <c r="K624" t="s">
        <v>14</v>
      </c>
      <c r="M624">
        <v>3106287773</v>
      </c>
    </row>
    <row r="625" spans="1:13" x14ac:dyDescent="0.25">
      <c r="A625">
        <v>2094881743</v>
      </c>
      <c r="B625" t="s">
        <v>2661</v>
      </c>
      <c r="C625">
        <v>9995000</v>
      </c>
      <c r="D625" t="s">
        <v>2662</v>
      </c>
      <c r="E625" t="s">
        <v>2663</v>
      </c>
      <c r="F625">
        <v>4</v>
      </c>
      <c r="I625" t="str">
        <f>HYPERLINK("tel:+13106331300", "310-633-1300")</f>
        <v>310-633-1300</v>
      </c>
      <c r="J625" t="s">
        <v>2664</v>
      </c>
      <c r="K625" t="s">
        <v>136</v>
      </c>
      <c r="M625">
        <v>3106331300</v>
      </c>
    </row>
    <row r="626" spans="1:13" x14ac:dyDescent="0.25">
      <c r="A626">
        <v>1195678517</v>
      </c>
      <c r="B626" t="s">
        <v>2665</v>
      </c>
      <c r="C626">
        <v>2995000</v>
      </c>
      <c r="D626" t="s">
        <v>2666</v>
      </c>
      <c r="E626" t="s">
        <v>2667</v>
      </c>
      <c r="F626">
        <v>4</v>
      </c>
      <c r="I626" t="str">
        <f>HYPERLINK("tel:+13106333616", "310-633-3616")</f>
        <v>310-633-3616</v>
      </c>
      <c r="J626" t="s">
        <v>2668</v>
      </c>
      <c r="K626" t="s">
        <v>409</v>
      </c>
      <c r="M626">
        <v>3106333616</v>
      </c>
    </row>
    <row r="627" spans="1:13" x14ac:dyDescent="0.25">
      <c r="A627">
        <v>9543631563</v>
      </c>
      <c r="B627" t="s">
        <v>2669</v>
      </c>
      <c r="C627">
        <v>899000</v>
      </c>
      <c r="D627" t="s">
        <v>2670</v>
      </c>
      <c r="E627" t="s">
        <v>2671</v>
      </c>
      <c r="F627">
        <v>4</v>
      </c>
      <c r="I627" t="str">
        <f>HYPERLINK("tel:+13106505742", "310-650-5742")</f>
        <v>310-650-5742</v>
      </c>
      <c r="J627" t="s">
        <v>2672</v>
      </c>
      <c r="K627" t="s">
        <v>9</v>
      </c>
      <c r="M627">
        <v>3106505742</v>
      </c>
    </row>
    <row r="628" spans="1:13" x14ac:dyDescent="0.25">
      <c r="A628">
        <v>1976615385</v>
      </c>
      <c r="B628" t="s">
        <v>2673</v>
      </c>
      <c r="C628">
        <v>3199000</v>
      </c>
      <c r="D628" t="s">
        <v>2674</v>
      </c>
      <c r="E628" t="s">
        <v>2675</v>
      </c>
      <c r="F628">
        <v>4</v>
      </c>
      <c r="I628" t="str">
        <f>HYPERLINK("tel:+13106584271", "310-658-4271")</f>
        <v>310-658-4271</v>
      </c>
      <c r="J628" t="s">
        <v>2676</v>
      </c>
      <c r="K628" t="s">
        <v>24</v>
      </c>
      <c r="M628">
        <v>3106584271</v>
      </c>
    </row>
    <row r="629" spans="1:13" x14ac:dyDescent="0.25">
      <c r="A629">
        <v>2173872243</v>
      </c>
      <c r="B629" t="s">
        <v>2677</v>
      </c>
      <c r="C629">
        <v>1900000</v>
      </c>
      <c r="D629" t="s">
        <v>2678</v>
      </c>
      <c r="E629" t="s">
        <v>2679</v>
      </c>
      <c r="F629">
        <v>4</v>
      </c>
      <c r="I629" t="str">
        <f>HYPERLINK("tel:+13106635145", "310-663-5145")</f>
        <v>310-663-5145</v>
      </c>
      <c r="J629" t="s">
        <v>2680</v>
      </c>
      <c r="K629" t="s">
        <v>2681</v>
      </c>
      <c r="M629">
        <v>3106635145</v>
      </c>
    </row>
    <row r="630" spans="1:13" x14ac:dyDescent="0.25">
      <c r="A630">
        <v>1880999200</v>
      </c>
      <c r="B630" t="s">
        <v>2682</v>
      </c>
      <c r="C630">
        <v>6495000</v>
      </c>
      <c r="D630" t="s">
        <v>2683</v>
      </c>
      <c r="E630" t="s">
        <v>2684</v>
      </c>
      <c r="F630">
        <v>4</v>
      </c>
      <c r="I630" t="str">
        <f>HYPERLINK("tel:+13106787855", "310-678-7855")</f>
        <v>310-678-7855</v>
      </c>
      <c r="J630" t="s">
        <v>2685</v>
      </c>
      <c r="K630" t="s">
        <v>107</v>
      </c>
      <c r="M630">
        <v>3106787855</v>
      </c>
    </row>
    <row r="631" spans="1:13" x14ac:dyDescent="0.25">
      <c r="A631">
        <v>2654817049</v>
      </c>
      <c r="B631" t="s">
        <v>2686</v>
      </c>
      <c r="C631">
        <v>399900</v>
      </c>
      <c r="D631" t="s">
        <v>2687</v>
      </c>
      <c r="E631" t="s">
        <v>2688</v>
      </c>
      <c r="F631">
        <v>4</v>
      </c>
      <c r="I631" t="str">
        <f>HYPERLINK("tel:+13106899781", "310-689-9781")</f>
        <v>310-689-9781</v>
      </c>
      <c r="J631" t="s">
        <v>2689</v>
      </c>
      <c r="K631" t="s">
        <v>1310</v>
      </c>
      <c r="M631">
        <v>3106899781</v>
      </c>
    </row>
    <row r="632" spans="1:13" x14ac:dyDescent="0.25">
      <c r="A632">
        <v>1783935941</v>
      </c>
      <c r="B632" t="s">
        <v>2690</v>
      </c>
      <c r="C632">
        <v>99950000</v>
      </c>
      <c r="D632" t="s">
        <v>2691</v>
      </c>
      <c r="E632" t="s">
        <v>2692</v>
      </c>
      <c r="F632">
        <v>4</v>
      </c>
      <c r="I632" t="str">
        <f>HYPERLINK("tel:+13106917988", "310-691-7988")</f>
        <v>310-691-7988</v>
      </c>
      <c r="J632" t="s">
        <v>2693</v>
      </c>
      <c r="K632" t="s">
        <v>409</v>
      </c>
      <c r="M632">
        <v>3106917988</v>
      </c>
    </row>
    <row r="633" spans="1:13" x14ac:dyDescent="0.25">
      <c r="A633">
        <v>2416531613</v>
      </c>
      <c r="B633" t="s">
        <v>2694</v>
      </c>
      <c r="C633">
        <v>2990000</v>
      </c>
      <c r="D633" t="s">
        <v>2695</v>
      </c>
      <c r="E633" t="s">
        <v>2696</v>
      </c>
      <c r="F633">
        <v>4</v>
      </c>
      <c r="I633" t="str">
        <f>HYPERLINK("tel:+13107019212", "310-701-9212")</f>
        <v>310-701-9212</v>
      </c>
      <c r="J633" t="s">
        <v>2697</v>
      </c>
      <c r="K633" t="s">
        <v>409</v>
      </c>
      <c r="M633">
        <v>3107019212</v>
      </c>
    </row>
    <row r="634" spans="1:13" x14ac:dyDescent="0.25">
      <c r="A634">
        <v>2436260520</v>
      </c>
      <c r="B634" t="s">
        <v>1529</v>
      </c>
      <c r="C634">
        <v>6749000</v>
      </c>
      <c r="D634" t="s">
        <v>1530</v>
      </c>
      <c r="E634" t="s">
        <v>2698</v>
      </c>
      <c r="F634">
        <v>4</v>
      </c>
      <c r="I634" t="str">
        <f>HYPERLINK("tel:+13107022041", "310-702-2041")</f>
        <v>310-702-2041</v>
      </c>
      <c r="J634" t="s">
        <v>2699</v>
      </c>
      <c r="K634" t="s">
        <v>351</v>
      </c>
      <c r="M634">
        <v>3107022041</v>
      </c>
    </row>
    <row r="635" spans="1:13" x14ac:dyDescent="0.25">
      <c r="A635">
        <v>2334930571</v>
      </c>
      <c r="B635" t="s">
        <v>2700</v>
      </c>
      <c r="C635">
        <v>1800000</v>
      </c>
      <c r="D635" t="s">
        <v>2701</v>
      </c>
      <c r="E635" t="s">
        <v>2702</v>
      </c>
      <c r="F635">
        <v>4</v>
      </c>
      <c r="I635" t="str">
        <f>HYPERLINK("tel:+13107044863", "310-704-4863")</f>
        <v>310-704-4863</v>
      </c>
      <c r="J635" t="s">
        <v>2703</v>
      </c>
      <c r="K635" t="s">
        <v>2704</v>
      </c>
      <c r="M635">
        <v>3107044863</v>
      </c>
    </row>
    <row r="636" spans="1:13" x14ac:dyDescent="0.25">
      <c r="A636">
        <v>2261342287</v>
      </c>
      <c r="B636" t="s">
        <v>2705</v>
      </c>
      <c r="C636">
        <v>350000</v>
      </c>
      <c r="D636" t="s">
        <v>2706</v>
      </c>
      <c r="E636" t="s">
        <v>2707</v>
      </c>
      <c r="F636">
        <v>4</v>
      </c>
      <c r="I636" t="str">
        <f>HYPERLINK("tel:+13107073905", "310-707-3905")</f>
        <v>310-707-3905</v>
      </c>
      <c r="J636" t="s">
        <v>2708</v>
      </c>
      <c r="K636" t="s">
        <v>2709</v>
      </c>
      <c r="M636">
        <v>3107073905</v>
      </c>
    </row>
    <row r="637" spans="1:13" x14ac:dyDescent="0.25">
      <c r="A637">
        <v>1618153061</v>
      </c>
      <c r="B637" t="s">
        <v>1998</v>
      </c>
      <c r="C637">
        <v>1800000</v>
      </c>
      <c r="D637" t="s">
        <v>1999</v>
      </c>
      <c r="E637" t="s">
        <v>2710</v>
      </c>
      <c r="F637">
        <v>4</v>
      </c>
      <c r="I637" t="str">
        <f>HYPERLINK("tel:+13107176806", "310-717-6806")</f>
        <v>310-717-6806</v>
      </c>
      <c r="J637" t="s">
        <v>2711</v>
      </c>
      <c r="K637" t="s">
        <v>136</v>
      </c>
      <c r="M637">
        <v>3107176806</v>
      </c>
    </row>
    <row r="638" spans="1:13" x14ac:dyDescent="0.25">
      <c r="A638">
        <v>2044053688</v>
      </c>
      <c r="B638" t="s">
        <v>2712</v>
      </c>
      <c r="C638">
        <v>499999</v>
      </c>
      <c r="D638" t="s">
        <v>2713</v>
      </c>
      <c r="E638" t="s">
        <v>2714</v>
      </c>
      <c r="F638">
        <v>4</v>
      </c>
      <c r="I638" t="str">
        <f>HYPERLINK("tel:+13107298387", "310-729-8387")</f>
        <v>310-729-8387</v>
      </c>
      <c r="J638" t="s">
        <v>2715</v>
      </c>
      <c r="K638" t="s">
        <v>1915</v>
      </c>
      <c r="M638">
        <v>3107298387</v>
      </c>
    </row>
    <row r="639" spans="1:13" x14ac:dyDescent="0.25">
      <c r="A639">
        <v>9511033948</v>
      </c>
      <c r="B639" t="s">
        <v>2716</v>
      </c>
      <c r="C639">
        <v>4399000</v>
      </c>
      <c r="D639" t="s">
        <v>2717</v>
      </c>
      <c r="E639" t="s">
        <v>2718</v>
      </c>
      <c r="F639">
        <v>4</v>
      </c>
      <c r="I639" t="str">
        <f>HYPERLINK("tel:+13107299977", "310-729-9977")</f>
        <v>310-729-9977</v>
      </c>
      <c r="J639" t="s">
        <v>2719</v>
      </c>
      <c r="K639" t="s">
        <v>653</v>
      </c>
      <c r="M639">
        <v>3107299977</v>
      </c>
    </row>
    <row r="640" spans="1:13" x14ac:dyDescent="0.25">
      <c r="A640">
        <v>1210727202</v>
      </c>
      <c r="B640" t="s">
        <v>2720</v>
      </c>
      <c r="C640">
        <v>1690000</v>
      </c>
      <c r="D640" t="s">
        <v>2721</v>
      </c>
      <c r="E640" t="s">
        <v>2722</v>
      </c>
      <c r="F640">
        <v>4</v>
      </c>
      <c r="I640" t="str">
        <f>HYPERLINK("tel:+13107700221", "310-770-0221")</f>
        <v>310-770-0221</v>
      </c>
      <c r="J640" t="s">
        <v>2723</v>
      </c>
      <c r="K640" t="s">
        <v>635</v>
      </c>
      <c r="M640">
        <v>3107700221</v>
      </c>
    </row>
    <row r="641" spans="1:13" x14ac:dyDescent="0.25">
      <c r="A641">
        <v>2984431162</v>
      </c>
      <c r="B641" t="s">
        <v>2724</v>
      </c>
      <c r="C641">
        <v>2850000</v>
      </c>
      <c r="D641" t="s">
        <v>2725</v>
      </c>
      <c r="E641" t="s">
        <v>2726</v>
      </c>
      <c r="F641">
        <v>4</v>
      </c>
      <c r="I641" t="str">
        <f>HYPERLINK("tel:+13107701847", "310-770-1847")</f>
        <v>310-770-1847</v>
      </c>
      <c r="J641" t="s">
        <v>2727</v>
      </c>
      <c r="K641" t="s">
        <v>2728</v>
      </c>
      <c r="M641">
        <v>3107701847</v>
      </c>
    </row>
    <row r="642" spans="1:13" x14ac:dyDescent="0.25">
      <c r="A642">
        <v>1395400002</v>
      </c>
      <c r="B642" t="s">
        <v>2729</v>
      </c>
      <c r="C642">
        <v>8250000</v>
      </c>
      <c r="D642" t="s">
        <v>2730</v>
      </c>
      <c r="E642" t="s">
        <v>2731</v>
      </c>
      <c r="F642">
        <v>4</v>
      </c>
      <c r="I642" t="str">
        <f>HYPERLINK("tel:+13107702823", "310-770-2823")</f>
        <v>310-770-2823</v>
      </c>
      <c r="J642" t="s">
        <v>2732</v>
      </c>
      <c r="K642" t="s">
        <v>24</v>
      </c>
      <c r="M642">
        <v>3107702823</v>
      </c>
    </row>
    <row r="643" spans="1:13" x14ac:dyDescent="0.25">
      <c r="A643">
        <v>1959085871</v>
      </c>
      <c r="B643" t="s">
        <v>2733</v>
      </c>
      <c r="C643">
        <v>7999000</v>
      </c>
      <c r="D643" t="s">
        <v>2734</v>
      </c>
      <c r="E643" t="s">
        <v>2735</v>
      </c>
      <c r="F643">
        <v>4</v>
      </c>
      <c r="I643" t="str">
        <f>HYPERLINK("tel:+13107702999", "310-770-2999")</f>
        <v>310-770-2999</v>
      </c>
      <c r="J643" t="s">
        <v>2736</v>
      </c>
      <c r="K643" t="s">
        <v>2737</v>
      </c>
      <c r="M643">
        <v>3107702999</v>
      </c>
    </row>
    <row r="644" spans="1:13" x14ac:dyDescent="0.25">
      <c r="A644">
        <v>2572931943</v>
      </c>
      <c r="B644" t="s">
        <v>2588</v>
      </c>
      <c r="C644">
        <v>12950000</v>
      </c>
      <c r="D644" t="s">
        <v>2589</v>
      </c>
      <c r="E644" t="s">
        <v>2738</v>
      </c>
      <c r="F644">
        <v>4</v>
      </c>
      <c r="I644" t="str">
        <f>HYPERLINK("tel:+13107743800", "310-774-3800")</f>
        <v>310-774-3800</v>
      </c>
      <c r="J644" t="s">
        <v>2739</v>
      </c>
      <c r="K644" t="s">
        <v>82</v>
      </c>
      <c r="M644">
        <v>3107743800</v>
      </c>
    </row>
    <row r="645" spans="1:13" x14ac:dyDescent="0.25">
      <c r="A645">
        <v>2108712390</v>
      </c>
      <c r="B645" t="s">
        <v>2740</v>
      </c>
      <c r="C645">
        <v>3600000</v>
      </c>
      <c r="D645" t="s">
        <v>2741</v>
      </c>
      <c r="E645" t="s">
        <v>2742</v>
      </c>
      <c r="F645">
        <v>4</v>
      </c>
      <c r="I645" t="str">
        <f>HYPERLINK("tel:+13107760564", "310-776-0564")</f>
        <v>310-776-0564</v>
      </c>
      <c r="J645" t="s">
        <v>2743</v>
      </c>
      <c r="K645" t="s">
        <v>2744</v>
      </c>
      <c r="M645">
        <v>3107760564</v>
      </c>
    </row>
    <row r="646" spans="1:13" x14ac:dyDescent="0.25">
      <c r="A646">
        <v>2228891295</v>
      </c>
      <c r="B646" t="s">
        <v>2745</v>
      </c>
      <c r="C646">
        <v>3995000</v>
      </c>
      <c r="D646" t="s">
        <v>2746</v>
      </c>
      <c r="E646" t="s">
        <v>2747</v>
      </c>
      <c r="F646">
        <v>4</v>
      </c>
      <c r="I646" t="str">
        <f>HYPERLINK("tel:+13107772833", "310-777-2833")</f>
        <v>310-777-2833</v>
      </c>
      <c r="J646" t="s">
        <v>2748</v>
      </c>
      <c r="K646" t="s">
        <v>24</v>
      </c>
      <c r="M646">
        <v>3107772833</v>
      </c>
    </row>
    <row r="647" spans="1:13" x14ac:dyDescent="0.25">
      <c r="A647">
        <v>2099294868</v>
      </c>
      <c r="B647" t="s">
        <v>2749</v>
      </c>
      <c r="C647">
        <v>1699000</v>
      </c>
      <c r="D647" t="s">
        <v>2750</v>
      </c>
      <c r="E647" t="s">
        <v>2751</v>
      </c>
      <c r="F647">
        <v>4</v>
      </c>
      <c r="I647" t="str">
        <f>HYPERLINK("tel:+13107772866", "310-777-2866")</f>
        <v>310-777-2866</v>
      </c>
      <c r="J647" t="s">
        <v>2752</v>
      </c>
      <c r="K647" t="s">
        <v>635</v>
      </c>
      <c r="M647">
        <v>3107772866</v>
      </c>
    </row>
    <row r="648" spans="1:13" x14ac:dyDescent="0.25">
      <c r="A648">
        <v>2065851574</v>
      </c>
      <c r="B648" t="s">
        <v>2753</v>
      </c>
      <c r="C648">
        <v>2150000</v>
      </c>
      <c r="D648" t="s">
        <v>2754</v>
      </c>
      <c r="E648" t="s">
        <v>2755</v>
      </c>
      <c r="F648">
        <v>4</v>
      </c>
      <c r="I648" t="str">
        <f>HYPERLINK("tel:+13108000408", "310-800-0408")</f>
        <v>310-800-0408</v>
      </c>
      <c r="J648" t="s">
        <v>2756</v>
      </c>
      <c r="K648" t="s">
        <v>63</v>
      </c>
      <c r="M648">
        <v>3108000408</v>
      </c>
    </row>
    <row r="649" spans="1:13" x14ac:dyDescent="0.25">
      <c r="A649">
        <v>1987785232</v>
      </c>
      <c r="B649" t="s">
        <v>2757</v>
      </c>
      <c r="C649">
        <v>1025000</v>
      </c>
      <c r="D649" t="s">
        <v>2758</v>
      </c>
      <c r="E649" t="s">
        <v>2759</v>
      </c>
      <c r="F649">
        <v>4</v>
      </c>
      <c r="I649" t="str">
        <f>HYPERLINK("tel:+13108000414", "310-800-0414")</f>
        <v>310-800-0414</v>
      </c>
      <c r="J649" t="s">
        <v>2760</v>
      </c>
      <c r="K649" t="s">
        <v>532</v>
      </c>
      <c r="M649">
        <v>3108000414</v>
      </c>
    </row>
    <row r="650" spans="1:13" x14ac:dyDescent="0.25">
      <c r="A650">
        <v>2195139723</v>
      </c>
      <c r="B650" t="s">
        <v>2761</v>
      </c>
      <c r="C650">
        <v>2495000</v>
      </c>
      <c r="D650" t="s">
        <v>2762</v>
      </c>
      <c r="E650" t="s">
        <v>2763</v>
      </c>
      <c r="F650">
        <v>4</v>
      </c>
      <c r="I650" t="str">
        <f>HYPERLINK("tel:+13108030633", "310-803-0633")</f>
        <v>310-803-0633</v>
      </c>
      <c r="J650" t="s">
        <v>2764</v>
      </c>
      <c r="K650" t="s">
        <v>825</v>
      </c>
      <c r="M650">
        <v>3108030633</v>
      </c>
    </row>
    <row r="651" spans="1:13" x14ac:dyDescent="0.25">
      <c r="A651">
        <v>2750875351</v>
      </c>
      <c r="B651" t="s">
        <v>2765</v>
      </c>
      <c r="C651">
        <v>11995000</v>
      </c>
      <c r="D651" t="s">
        <v>2766</v>
      </c>
      <c r="E651" t="s">
        <v>2767</v>
      </c>
      <c r="F651">
        <v>4</v>
      </c>
      <c r="I651" t="str">
        <f>HYPERLINK("tel:+13108209341", "310-820-9341")</f>
        <v>310-820-9341</v>
      </c>
      <c r="J651" t="s">
        <v>2768</v>
      </c>
      <c r="K651" t="s">
        <v>431</v>
      </c>
      <c r="M651">
        <v>3108209341</v>
      </c>
    </row>
    <row r="652" spans="1:13" x14ac:dyDescent="0.25">
      <c r="A652">
        <v>1261825565</v>
      </c>
      <c r="B652" t="s">
        <v>2769</v>
      </c>
      <c r="C652">
        <v>500000</v>
      </c>
      <c r="D652" t="s">
        <v>2770</v>
      </c>
      <c r="E652" t="s">
        <v>2771</v>
      </c>
      <c r="F652">
        <v>4</v>
      </c>
      <c r="I652" t="str">
        <f>HYPERLINK("tel:+13108364663", "310-836-4663")</f>
        <v>310-836-4663</v>
      </c>
      <c r="J652" t="s">
        <v>2772</v>
      </c>
      <c r="K652" t="s">
        <v>2773</v>
      </c>
      <c r="M652">
        <v>3108364663</v>
      </c>
    </row>
    <row r="653" spans="1:13" x14ac:dyDescent="0.25">
      <c r="A653">
        <v>2823557145</v>
      </c>
      <c r="B653" t="s">
        <v>245</v>
      </c>
      <c r="C653">
        <v>135000000</v>
      </c>
      <c r="D653" t="s">
        <v>246</v>
      </c>
      <c r="E653" t="s">
        <v>2774</v>
      </c>
      <c r="F653">
        <v>4</v>
      </c>
      <c r="I653" t="str">
        <f>HYPERLINK("tel:+13108608888", "310-860-8888")</f>
        <v>310-860-8888</v>
      </c>
      <c r="J653" t="s">
        <v>2775</v>
      </c>
      <c r="K653" t="s">
        <v>249</v>
      </c>
      <c r="M653">
        <v>3108608888</v>
      </c>
    </row>
    <row r="654" spans="1:13" x14ac:dyDescent="0.25">
      <c r="A654">
        <v>1280090982</v>
      </c>
      <c r="B654" t="s">
        <v>2776</v>
      </c>
      <c r="C654">
        <v>373000</v>
      </c>
      <c r="D654" t="s">
        <v>2777</v>
      </c>
      <c r="E654" t="s">
        <v>2778</v>
      </c>
      <c r="F654">
        <v>4</v>
      </c>
      <c r="I654" t="str">
        <f>HYPERLINK("tel:+13108671063", "310-867-1063")</f>
        <v>310-867-1063</v>
      </c>
      <c r="J654" t="s">
        <v>2779</v>
      </c>
      <c r="K654" t="s">
        <v>2423</v>
      </c>
      <c r="M654">
        <v>3108671063</v>
      </c>
    </row>
    <row r="655" spans="1:13" x14ac:dyDescent="0.25">
      <c r="A655">
        <v>2422851077</v>
      </c>
      <c r="B655" t="s">
        <v>2780</v>
      </c>
      <c r="C655">
        <v>109000</v>
      </c>
      <c r="D655" t="s">
        <v>2781</v>
      </c>
      <c r="E655" t="s">
        <v>2782</v>
      </c>
      <c r="F655">
        <v>4</v>
      </c>
      <c r="I655" t="str">
        <f>HYPERLINK("tel:+13108741010", "310-874-1010")</f>
        <v>310-874-1010</v>
      </c>
      <c r="J655" t="s">
        <v>2783</v>
      </c>
      <c r="K655" t="s">
        <v>2784</v>
      </c>
      <c r="M655">
        <v>3108741010</v>
      </c>
    </row>
    <row r="656" spans="1:13" x14ac:dyDescent="0.25">
      <c r="A656">
        <v>9525964969</v>
      </c>
      <c r="B656" t="s">
        <v>2785</v>
      </c>
      <c r="C656">
        <v>1449000</v>
      </c>
      <c r="D656" t="s">
        <v>2786</v>
      </c>
      <c r="E656" t="s">
        <v>2787</v>
      </c>
      <c r="F656">
        <v>4</v>
      </c>
      <c r="I656" t="str">
        <f>HYPERLINK("tel:+13108809047", "310-880-9047")</f>
        <v>310-880-9047</v>
      </c>
      <c r="J656" t="s">
        <v>2788</v>
      </c>
      <c r="K656" t="s">
        <v>450</v>
      </c>
      <c r="M656">
        <v>3108809047</v>
      </c>
    </row>
    <row r="657" spans="1:13" x14ac:dyDescent="0.25">
      <c r="A657">
        <v>1755957442</v>
      </c>
      <c r="B657" t="s">
        <v>2789</v>
      </c>
      <c r="C657">
        <v>2299000</v>
      </c>
      <c r="D657" t="s">
        <v>2790</v>
      </c>
      <c r="E657" t="s">
        <v>2791</v>
      </c>
      <c r="F657">
        <v>4</v>
      </c>
      <c r="I657" t="str">
        <f>HYPERLINK("tel:+13108895729", "310-889-5729")</f>
        <v>310-889-5729</v>
      </c>
      <c r="J657" t="s">
        <v>2792</v>
      </c>
      <c r="K657" t="s">
        <v>254</v>
      </c>
      <c r="M657">
        <v>3108895729</v>
      </c>
    </row>
    <row r="658" spans="1:13" x14ac:dyDescent="0.25">
      <c r="A658">
        <v>1186051829</v>
      </c>
      <c r="B658" t="s">
        <v>2793</v>
      </c>
      <c r="C658">
        <v>1399000</v>
      </c>
      <c r="D658" t="s">
        <v>2794</v>
      </c>
      <c r="E658" t="s">
        <v>2795</v>
      </c>
      <c r="F658">
        <v>4</v>
      </c>
      <c r="I658" t="str">
        <f>HYPERLINK("tel:+13109026528", "310-902-6528")</f>
        <v>310-902-6528</v>
      </c>
      <c r="J658" t="s">
        <v>2796</v>
      </c>
      <c r="K658" t="s">
        <v>68</v>
      </c>
      <c r="M658">
        <v>3109026528</v>
      </c>
    </row>
    <row r="659" spans="1:13" x14ac:dyDescent="0.25">
      <c r="A659">
        <v>2787671357</v>
      </c>
      <c r="B659" t="s">
        <v>2797</v>
      </c>
      <c r="C659">
        <v>3150000</v>
      </c>
      <c r="D659" t="s">
        <v>2798</v>
      </c>
      <c r="E659" t="s">
        <v>2799</v>
      </c>
      <c r="F659">
        <v>4</v>
      </c>
      <c r="I659" t="str">
        <f>HYPERLINK("tel:+13109030222", "310-903-0222")</f>
        <v>310-903-0222</v>
      </c>
      <c r="J659" t="s">
        <v>2800</v>
      </c>
      <c r="K659" t="s">
        <v>2801</v>
      </c>
      <c r="M659">
        <v>3109030222</v>
      </c>
    </row>
    <row r="660" spans="1:13" x14ac:dyDescent="0.25">
      <c r="A660">
        <v>1347350903</v>
      </c>
      <c r="B660" t="s">
        <v>2802</v>
      </c>
      <c r="C660">
        <v>8800000</v>
      </c>
      <c r="D660" t="s">
        <v>2803</v>
      </c>
      <c r="E660" t="s">
        <v>2804</v>
      </c>
      <c r="F660">
        <v>4</v>
      </c>
      <c r="I660" t="str">
        <f>HYPERLINK("tel:+13109033935", "310-903-3935")</f>
        <v>310-903-3935</v>
      </c>
      <c r="J660" t="s">
        <v>2805</v>
      </c>
      <c r="K660" t="s">
        <v>2806</v>
      </c>
      <c r="M660">
        <v>3109033935</v>
      </c>
    </row>
    <row r="661" spans="1:13" x14ac:dyDescent="0.25">
      <c r="A661">
        <v>2837928592</v>
      </c>
      <c r="B661" t="s">
        <v>2807</v>
      </c>
      <c r="C661">
        <v>2449000</v>
      </c>
      <c r="D661" t="s">
        <v>2808</v>
      </c>
      <c r="E661" t="s">
        <v>2809</v>
      </c>
      <c r="F661">
        <v>4</v>
      </c>
      <c r="I661" t="str">
        <f>HYPERLINK("tel:+13109224026", "310-922-4026")</f>
        <v>310-922-4026</v>
      </c>
      <c r="J661" t="s">
        <v>2810</v>
      </c>
      <c r="K661" t="s">
        <v>24</v>
      </c>
      <c r="M661">
        <v>3109224026</v>
      </c>
    </row>
    <row r="662" spans="1:13" x14ac:dyDescent="0.25">
      <c r="A662">
        <v>1088660177</v>
      </c>
      <c r="B662" t="s">
        <v>2811</v>
      </c>
      <c r="C662">
        <v>6490000</v>
      </c>
      <c r="D662" t="s">
        <v>2812</v>
      </c>
      <c r="E662" t="s">
        <v>2813</v>
      </c>
      <c r="F662">
        <v>4</v>
      </c>
      <c r="I662" t="str">
        <f>HYPERLINK("tel:+13109229894", "310-922-9894")</f>
        <v>310-922-9894</v>
      </c>
      <c r="J662" t="s">
        <v>2814</v>
      </c>
      <c r="K662" t="s">
        <v>2815</v>
      </c>
      <c r="M662">
        <v>3109229894</v>
      </c>
    </row>
    <row r="663" spans="1:13" x14ac:dyDescent="0.25">
      <c r="A663">
        <v>1223081580</v>
      </c>
      <c r="B663" t="s">
        <v>2816</v>
      </c>
      <c r="C663">
        <v>750000</v>
      </c>
      <c r="D663" t="s">
        <v>2817</v>
      </c>
      <c r="E663" t="s">
        <v>2818</v>
      </c>
      <c r="F663">
        <v>4</v>
      </c>
      <c r="I663" t="str">
        <f>HYPERLINK("tel:+13109387999", "310-938-7999")</f>
        <v>310-938-7999</v>
      </c>
      <c r="J663" t="s">
        <v>2819</v>
      </c>
      <c r="K663" t="s">
        <v>450</v>
      </c>
      <c r="M663">
        <v>3109387999</v>
      </c>
    </row>
    <row r="664" spans="1:13" x14ac:dyDescent="0.25">
      <c r="A664">
        <v>9079092241</v>
      </c>
      <c r="B664" t="s">
        <v>2820</v>
      </c>
      <c r="C664">
        <v>769000</v>
      </c>
      <c r="D664" t="s">
        <v>2821</v>
      </c>
      <c r="E664" t="s">
        <v>2822</v>
      </c>
      <c r="F664">
        <v>4</v>
      </c>
      <c r="I664" t="str">
        <f>HYPERLINK("tel:+13109401516", "310-940-1516")</f>
        <v>310-940-1516</v>
      </c>
      <c r="J664" t="s">
        <v>2823</v>
      </c>
      <c r="K664" t="s">
        <v>532</v>
      </c>
      <c r="M664">
        <v>3109401516</v>
      </c>
    </row>
    <row r="665" spans="1:13" x14ac:dyDescent="0.25">
      <c r="A665">
        <v>2161789854</v>
      </c>
      <c r="B665" t="s">
        <v>2824</v>
      </c>
      <c r="C665">
        <v>4195000</v>
      </c>
      <c r="D665" t="s">
        <v>2825</v>
      </c>
      <c r="E665" t="s">
        <v>2826</v>
      </c>
      <c r="F665">
        <v>4</v>
      </c>
      <c r="I665" t="str">
        <f>HYPERLINK("tel:+13109441167", "310-944-1167")</f>
        <v>310-944-1167</v>
      </c>
      <c r="J665" t="s">
        <v>2827</v>
      </c>
      <c r="K665" t="s">
        <v>24</v>
      </c>
      <c r="M665">
        <v>3109441167</v>
      </c>
    </row>
    <row r="666" spans="1:13" x14ac:dyDescent="0.25">
      <c r="A666">
        <v>9325125723</v>
      </c>
      <c r="B666" t="s">
        <v>2828</v>
      </c>
      <c r="C666">
        <v>2699000</v>
      </c>
      <c r="D666" t="s">
        <v>2829</v>
      </c>
      <c r="E666" t="s">
        <v>2830</v>
      </c>
      <c r="F666">
        <v>4</v>
      </c>
      <c r="I666" t="str">
        <f>HYPERLINK("tel:+13109484093", "310-948-4093")</f>
        <v>310-948-4093</v>
      </c>
      <c r="J666" t="s">
        <v>2831</v>
      </c>
      <c r="K666" t="s">
        <v>1745</v>
      </c>
      <c r="M666">
        <v>3109484093</v>
      </c>
    </row>
    <row r="667" spans="1:13" x14ac:dyDescent="0.25">
      <c r="A667">
        <v>1990672869</v>
      </c>
      <c r="B667" t="s">
        <v>2832</v>
      </c>
      <c r="C667">
        <v>3195000</v>
      </c>
      <c r="D667" t="s">
        <v>2833</v>
      </c>
      <c r="E667" t="s">
        <v>2834</v>
      </c>
      <c r="F667">
        <v>4</v>
      </c>
      <c r="I667" t="str">
        <f>HYPERLINK("tel:+13109639944", "310-963-9944")</f>
        <v>310-963-9944</v>
      </c>
      <c r="J667" t="s">
        <v>2835</v>
      </c>
      <c r="K667" t="s">
        <v>24</v>
      </c>
      <c r="M667">
        <v>3109639944</v>
      </c>
    </row>
    <row r="668" spans="1:13" x14ac:dyDescent="0.25">
      <c r="A668">
        <v>2813044389</v>
      </c>
      <c r="B668" t="s">
        <v>2836</v>
      </c>
      <c r="C668">
        <v>600000</v>
      </c>
      <c r="D668" t="s">
        <v>2837</v>
      </c>
      <c r="E668" t="s">
        <v>2838</v>
      </c>
      <c r="F668">
        <v>4</v>
      </c>
      <c r="I668" t="str">
        <f>HYPERLINK("tel:+13109817003", "310-981-7003")</f>
        <v>310-981-7003</v>
      </c>
      <c r="J668" t="s">
        <v>2839</v>
      </c>
      <c r="K668" t="s">
        <v>2840</v>
      </c>
      <c r="M668">
        <v>3109817003</v>
      </c>
    </row>
    <row r="669" spans="1:13" x14ac:dyDescent="0.25">
      <c r="A669">
        <v>1088432208</v>
      </c>
      <c r="B669" t="s">
        <v>2841</v>
      </c>
      <c r="C669">
        <v>578000</v>
      </c>
      <c r="D669" t="s">
        <v>2842</v>
      </c>
      <c r="E669" t="s">
        <v>2843</v>
      </c>
      <c r="F669">
        <v>4</v>
      </c>
      <c r="I669" t="str">
        <f>HYPERLINK("tel:+13109879103", "310-987-9103")</f>
        <v>310-987-9103</v>
      </c>
      <c r="J669" t="s">
        <v>2844</v>
      </c>
      <c r="K669" t="s">
        <v>68</v>
      </c>
      <c r="M669">
        <v>3109879103</v>
      </c>
    </row>
    <row r="670" spans="1:13" x14ac:dyDescent="0.25">
      <c r="A670">
        <v>1958267854</v>
      </c>
      <c r="B670" t="s">
        <v>2845</v>
      </c>
      <c r="C670">
        <v>900000</v>
      </c>
      <c r="D670" t="s">
        <v>2846</v>
      </c>
      <c r="E670" t="s">
        <v>2847</v>
      </c>
      <c r="F670">
        <v>4</v>
      </c>
      <c r="I670" t="str">
        <f>HYPERLINK("tel:+13109909951", "310-990-9951")</f>
        <v>310-990-9951</v>
      </c>
      <c r="J670" t="s">
        <v>2848</v>
      </c>
      <c r="K670" t="s">
        <v>2849</v>
      </c>
      <c r="M670">
        <v>3109909951</v>
      </c>
    </row>
    <row r="671" spans="1:13" x14ac:dyDescent="0.25">
      <c r="A671">
        <v>2061326221</v>
      </c>
      <c r="B671" t="s">
        <v>2850</v>
      </c>
      <c r="C671">
        <v>2495000</v>
      </c>
      <c r="D671" t="s">
        <v>2851</v>
      </c>
      <c r="E671" t="s">
        <v>2852</v>
      </c>
      <c r="F671">
        <v>4</v>
      </c>
      <c r="I671" t="str">
        <f>HYPERLINK("tel:+13109912689", "310-991-2689")</f>
        <v>310-991-2689</v>
      </c>
      <c r="J671" t="s">
        <v>2853</v>
      </c>
      <c r="K671" t="s">
        <v>24</v>
      </c>
      <c r="M671">
        <v>3109912689</v>
      </c>
    </row>
    <row r="672" spans="1:13" x14ac:dyDescent="0.25">
      <c r="A672">
        <v>9973945666</v>
      </c>
      <c r="B672" t="s">
        <v>2854</v>
      </c>
      <c r="C672">
        <v>4680000</v>
      </c>
      <c r="D672" t="s">
        <v>2855</v>
      </c>
      <c r="E672" t="s">
        <v>2856</v>
      </c>
      <c r="F672">
        <v>4</v>
      </c>
      <c r="I672" t="str">
        <f>HYPERLINK("tel:+13109937333", "310-993-7333")</f>
        <v>310-993-7333</v>
      </c>
      <c r="J672" t="s">
        <v>2857</v>
      </c>
      <c r="K672" t="s">
        <v>58</v>
      </c>
      <c r="M672">
        <v>3109937333</v>
      </c>
    </row>
    <row r="673" spans="1:13" x14ac:dyDescent="0.25">
      <c r="A673">
        <v>1301948910</v>
      </c>
      <c r="B673" t="s">
        <v>2858</v>
      </c>
      <c r="C673">
        <v>1749000</v>
      </c>
      <c r="D673" t="s">
        <v>2859</v>
      </c>
      <c r="E673" t="s">
        <v>2860</v>
      </c>
      <c r="F673">
        <v>4</v>
      </c>
      <c r="I673" t="str">
        <f>HYPERLINK("tel:+13109943922", "310-994-3922")</f>
        <v>310-994-3922</v>
      </c>
      <c r="J673" t="s">
        <v>2861</v>
      </c>
      <c r="K673" t="s">
        <v>24</v>
      </c>
      <c r="M673">
        <v>3109943922</v>
      </c>
    </row>
    <row r="674" spans="1:13" x14ac:dyDescent="0.25">
      <c r="A674">
        <v>9019263096</v>
      </c>
      <c r="B674" t="s">
        <v>2862</v>
      </c>
      <c r="C674">
        <v>3500000</v>
      </c>
      <c r="D674" t="s">
        <v>2863</v>
      </c>
      <c r="E674" t="s">
        <v>2864</v>
      </c>
      <c r="F674">
        <v>4</v>
      </c>
      <c r="I674" t="str">
        <f>HYPERLINK("tel:+13232366450", "323-236-6450")</f>
        <v>323-236-6450</v>
      </c>
      <c r="J674" t="s">
        <v>2865</v>
      </c>
      <c r="K674" t="s">
        <v>24</v>
      </c>
      <c r="M674">
        <v>3232366450</v>
      </c>
    </row>
    <row r="675" spans="1:13" x14ac:dyDescent="0.25">
      <c r="A675">
        <v>2819183913</v>
      </c>
      <c r="B675" t="s">
        <v>2866</v>
      </c>
      <c r="C675">
        <v>4000000</v>
      </c>
      <c r="D675" t="s">
        <v>2867</v>
      </c>
      <c r="E675" t="s">
        <v>2868</v>
      </c>
      <c r="F675">
        <v>4</v>
      </c>
      <c r="I675" t="str">
        <f>HYPERLINK("tel:+13232385225", "323-238-5225")</f>
        <v>323-238-5225</v>
      </c>
      <c r="J675" t="s">
        <v>2869</v>
      </c>
      <c r="K675" t="s">
        <v>2870</v>
      </c>
      <c r="M675">
        <v>3232385225</v>
      </c>
    </row>
    <row r="676" spans="1:13" x14ac:dyDescent="0.25">
      <c r="A676">
        <v>2664126534</v>
      </c>
      <c r="B676" t="s">
        <v>2871</v>
      </c>
      <c r="C676">
        <v>1150000</v>
      </c>
      <c r="D676" t="s">
        <v>2872</v>
      </c>
      <c r="E676" t="s">
        <v>2873</v>
      </c>
      <c r="F676">
        <v>4</v>
      </c>
      <c r="I676" t="str">
        <f>HYPERLINK("tel:+13233471009", "323-347-1009")</f>
        <v>323-347-1009</v>
      </c>
      <c r="J676" t="s">
        <v>2874</v>
      </c>
      <c r="K676" t="s">
        <v>2875</v>
      </c>
      <c r="M676">
        <v>3233471009</v>
      </c>
    </row>
    <row r="677" spans="1:13" x14ac:dyDescent="0.25">
      <c r="A677">
        <v>2094881743</v>
      </c>
      <c r="B677" t="s">
        <v>2661</v>
      </c>
      <c r="C677">
        <v>9995000</v>
      </c>
      <c r="D677" t="s">
        <v>2662</v>
      </c>
      <c r="E677" t="s">
        <v>2876</v>
      </c>
      <c r="F677">
        <v>4</v>
      </c>
      <c r="I677" t="str">
        <f>HYPERLINK("tel:+13233562650", "323-356-2650")</f>
        <v>323-356-2650</v>
      </c>
      <c r="J677" t="s">
        <v>2877</v>
      </c>
      <c r="K677" t="s">
        <v>136</v>
      </c>
      <c r="M677">
        <v>3233562650</v>
      </c>
    </row>
    <row r="678" spans="1:13" x14ac:dyDescent="0.25">
      <c r="A678">
        <v>2597179231</v>
      </c>
      <c r="B678" t="s">
        <v>2878</v>
      </c>
      <c r="C678">
        <v>369000</v>
      </c>
      <c r="D678" t="s">
        <v>2879</v>
      </c>
      <c r="E678" t="s">
        <v>2880</v>
      </c>
      <c r="F678">
        <v>4</v>
      </c>
      <c r="I678" t="str">
        <f>HYPERLINK("tel:+13233716642", "323-371-6642")</f>
        <v>323-371-6642</v>
      </c>
      <c r="J678" t="s">
        <v>2881</v>
      </c>
      <c r="K678" t="s">
        <v>537</v>
      </c>
      <c r="M678">
        <v>3233716642</v>
      </c>
    </row>
    <row r="679" spans="1:13" x14ac:dyDescent="0.25">
      <c r="A679">
        <v>1294409297</v>
      </c>
      <c r="B679" t="s">
        <v>2882</v>
      </c>
      <c r="C679">
        <v>2500000</v>
      </c>
      <c r="D679" t="s">
        <v>2883</v>
      </c>
      <c r="E679" t="s">
        <v>2884</v>
      </c>
      <c r="F679">
        <v>4</v>
      </c>
      <c r="I679" t="str">
        <f>HYPERLINK("tel:+13233767235", "323-376-7235")</f>
        <v>323-376-7235</v>
      </c>
      <c r="J679" t="s">
        <v>2885</v>
      </c>
      <c r="K679" t="s">
        <v>24</v>
      </c>
      <c r="M679">
        <v>3233767235</v>
      </c>
    </row>
    <row r="680" spans="1:13" x14ac:dyDescent="0.25">
      <c r="A680">
        <v>1294409297</v>
      </c>
      <c r="B680" t="s">
        <v>2882</v>
      </c>
      <c r="C680">
        <v>2500000</v>
      </c>
      <c r="D680" t="s">
        <v>2883</v>
      </c>
      <c r="E680" t="s">
        <v>2886</v>
      </c>
      <c r="F680">
        <v>4</v>
      </c>
      <c r="I680" t="str">
        <f>HYPERLINK("tel:+13234592789", "323-459-2789")</f>
        <v>323-459-2789</v>
      </c>
      <c r="J680" t="s">
        <v>2887</v>
      </c>
      <c r="K680" t="s">
        <v>24</v>
      </c>
      <c r="M680">
        <v>3234592789</v>
      </c>
    </row>
    <row r="681" spans="1:13" x14ac:dyDescent="0.25">
      <c r="A681">
        <v>1545916440</v>
      </c>
      <c r="B681" t="s">
        <v>2888</v>
      </c>
      <c r="C681">
        <v>618000</v>
      </c>
      <c r="D681" t="s">
        <v>2889</v>
      </c>
      <c r="E681" t="s">
        <v>2890</v>
      </c>
      <c r="F681">
        <v>4</v>
      </c>
      <c r="I681" t="str">
        <f>HYPERLINK("tel:+13235415392", "323-541-5392")</f>
        <v>323-541-5392</v>
      </c>
      <c r="J681" t="s">
        <v>2891</v>
      </c>
      <c r="K681" t="s">
        <v>24</v>
      </c>
      <c r="M681">
        <v>3235415392</v>
      </c>
    </row>
    <row r="682" spans="1:13" x14ac:dyDescent="0.25">
      <c r="A682">
        <v>2020580974</v>
      </c>
      <c r="B682" t="s">
        <v>2638</v>
      </c>
      <c r="C682">
        <v>2699000</v>
      </c>
      <c r="D682" t="s">
        <v>2639</v>
      </c>
      <c r="E682" t="s">
        <v>2892</v>
      </c>
      <c r="F682">
        <v>4</v>
      </c>
      <c r="I682" t="str">
        <f>HYPERLINK("tel:+13235433697", "323-543-3697")</f>
        <v>323-543-3697</v>
      </c>
      <c r="J682" t="s">
        <v>2893</v>
      </c>
      <c r="K682" t="s">
        <v>2642</v>
      </c>
      <c r="M682">
        <v>3235433697</v>
      </c>
    </row>
    <row r="683" spans="1:13" x14ac:dyDescent="0.25">
      <c r="A683">
        <v>1651242069</v>
      </c>
      <c r="B683" t="s">
        <v>2894</v>
      </c>
      <c r="C683">
        <v>1650000</v>
      </c>
      <c r="D683" t="s">
        <v>2895</v>
      </c>
      <c r="E683" t="s">
        <v>2896</v>
      </c>
      <c r="F683">
        <v>4</v>
      </c>
      <c r="I683" t="str">
        <f>HYPERLINK("tel:+13235784949", "323-578-4949")</f>
        <v>323-578-4949</v>
      </c>
      <c r="J683" t="s">
        <v>2897</v>
      </c>
      <c r="K683" t="s">
        <v>24</v>
      </c>
      <c r="M683">
        <v>3235784949</v>
      </c>
    </row>
    <row r="684" spans="1:13" x14ac:dyDescent="0.25">
      <c r="A684">
        <v>2760169092</v>
      </c>
      <c r="B684" t="s">
        <v>2898</v>
      </c>
      <c r="C684">
        <v>1775000</v>
      </c>
      <c r="D684" t="s">
        <v>2899</v>
      </c>
      <c r="E684" t="s">
        <v>2900</v>
      </c>
      <c r="F684">
        <v>4</v>
      </c>
      <c r="I684" t="str">
        <f>HYPERLINK("tel:+13235788423", "323-578-8423")</f>
        <v>323-578-8423</v>
      </c>
      <c r="J684" t="s">
        <v>2901</v>
      </c>
      <c r="K684" t="s">
        <v>24</v>
      </c>
      <c r="M684">
        <v>3235788423</v>
      </c>
    </row>
    <row r="685" spans="1:13" x14ac:dyDescent="0.25">
      <c r="A685">
        <v>1511503009</v>
      </c>
      <c r="B685" t="s">
        <v>2902</v>
      </c>
      <c r="C685">
        <v>1149000</v>
      </c>
      <c r="D685" t="s">
        <v>2903</v>
      </c>
      <c r="E685" t="s">
        <v>2904</v>
      </c>
      <c r="F685">
        <v>4</v>
      </c>
      <c r="I685" t="str">
        <f>HYPERLINK("tel:+13235997753", "323-599-7753")</f>
        <v>323-599-7753</v>
      </c>
      <c r="J685" t="s">
        <v>2905</v>
      </c>
      <c r="K685" t="s">
        <v>24</v>
      </c>
      <c r="M685">
        <v>3235997753</v>
      </c>
    </row>
    <row r="686" spans="1:13" x14ac:dyDescent="0.25">
      <c r="A686">
        <v>2225011265</v>
      </c>
      <c r="B686" t="s">
        <v>2906</v>
      </c>
      <c r="C686">
        <v>1999000</v>
      </c>
      <c r="D686" t="s">
        <v>2907</v>
      </c>
      <c r="E686" t="s">
        <v>2908</v>
      </c>
      <c r="F686">
        <v>4</v>
      </c>
      <c r="I686" t="str">
        <f>HYPERLINK("tel:+13236122001", "323-612-2001")</f>
        <v>323-612-2001</v>
      </c>
      <c r="J686" t="s">
        <v>2909</v>
      </c>
      <c r="K686" t="s">
        <v>2910</v>
      </c>
      <c r="M686">
        <v>3236122001</v>
      </c>
    </row>
    <row r="687" spans="1:13" x14ac:dyDescent="0.25">
      <c r="A687">
        <v>1395400002</v>
      </c>
      <c r="B687" t="s">
        <v>2729</v>
      </c>
      <c r="C687">
        <v>8250000</v>
      </c>
      <c r="D687" t="s">
        <v>2730</v>
      </c>
      <c r="E687" t="s">
        <v>2911</v>
      </c>
      <c r="F687">
        <v>4</v>
      </c>
      <c r="I687" t="str">
        <f>HYPERLINK("tel:+13236402924", "323-640-2924")</f>
        <v>323-640-2924</v>
      </c>
      <c r="J687" t="s">
        <v>2912</v>
      </c>
      <c r="K687" t="s">
        <v>24</v>
      </c>
      <c r="M687">
        <v>3236402924</v>
      </c>
    </row>
    <row r="688" spans="1:13" x14ac:dyDescent="0.25">
      <c r="A688">
        <v>2802589107</v>
      </c>
      <c r="B688" t="s">
        <v>2913</v>
      </c>
      <c r="C688">
        <v>1199000</v>
      </c>
      <c r="D688" t="s">
        <v>2914</v>
      </c>
      <c r="E688" t="s">
        <v>2915</v>
      </c>
      <c r="F688">
        <v>4</v>
      </c>
      <c r="I688" t="str">
        <f>HYPERLINK("tel:+13236844421", "323-684-4421")</f>
        <v>323-684-4421</v>
      </c>
      <c r="J688" t="s">
        <v>2916</v>
      </c>
      <c r="K688" t="s">
        <v>2917</v>
      </c>
      <c r="M688">
        <v>3236844421</v>
      </c>
    </row>
    <row r="689" spans="1:13" x14ac:dyDescent="0.25">
      <c r="A689">
        <v>1006250199</v>
      </c>
      <c r="B689" t="s">
        <v>2918</v>
      </c>
      <c r="C689">
        <v>618888</v>
      </c>
      <c r="D689" t="s">
        <v>2919</v>
      </c>
      <c r="E689" t="s">
        <v>2920</v>
      </c>
      <c r="F689">
        <v>4</v>
      </c>
      <c r="I689" t="str">
        <f>HYPERLINK("tel:+13236965375", "323-696-5375")</f>
        <v>323-696-5375</v>
      </c>
      <c r="J689" t="s">
        <v>2921</v>
      </c>
      <c r="K689" t="s">
        <v>2922</v>
      </c>
      <c r="M689">
        <v>3236965375</v>
      </c>
    </row>
    <row r="690" spans="1:13" x14ac:dyDescent="0.25">
      <c r="A690">
        <v>1430873327</v>
      </c>
      <c r="B690" t="s">
        <v>2923</v>
      </c>
      <c r="C690">
        <v>800000</v>
      </c>
      <c r="D690" t="s">
        <v>2924</v>
      </c>
      <c r="E690" t="s">
        <v>2925</v>
      </c>
      <c r="F690">
        <v>4</v>
      </c>
      <c r="I690" t="str">
        <f>HYPERLINK("tel:+13236972360", "323-697-2360")</f>
        <v>323-697-2360</v>
      </c>
      <c r="J690" t="s">
        <v>2926</v>
      </c>
      <c r="K690" t="s">
        <v>4</v>
      </c>
      <c r="M690">
        <v>3236972360</v>
      </c>
    </row>
    <row r="691" spans="1:13" x14ac:dyDescent="0.25">
      <c r="A691">
        <v>9630631140</v>
      </c>
      <c r="B691" t="s">
        <v>2927</v>
      </c>
      <c r="C691">
        <v>645000</v>
      </c>
      <c r="D691" t="s">
        <v>2928</v>
      </c>
      <c r="E691" t="s">
        <v>2929</v>
      </c>
      <c r="F691">
        <v>4</v>
      </c>
      <c r="I691" t="str">
        <f>HYPERLINK("tel:+13237021970", "323-702-1970")</f>
        <v>323-702-1970</v>
      </c>
      <c r="J691" t="s">
        <v>2930</v>
      </c>
      <c r="K691" t="s">
        <v>668</v>
      </c>
      <c r="M691">
        <v>3237021970</v>
      </c>
    </row>
    <row r="692" spans="1:13" x14ac:dyDescent="0.25">
      <c r="A692">
        <v>2361993869</v>
      </c>
      <c r="B692" t="s">
        <v>2931</v>
      </c>
      <c r="C692">
        <v>999000</v>
      </c>
      <c r="D692" t="s">
        <v>2932</v>
      </c>
      <c r="E692" t="s">
        <v>2933</v>
      </c>
      <c r="F692">
        <v>4</v>
      </c>
      <c r="I692" t="str">
        <f>HYPERLINK("tel:+13237078179", "323-707-8179")</f>
        <v>323-707-8179</v>
      </c>
      <c r="J692" t="s">
        <v>2934</v>
      </c>
      <c r="K692" t="s">
        <v>2935</v>
      </c>
      <c r="M692">
        <v>3237078179</v>
      </c>
    </row>
    <row r="693" spans="1:13" x14ac:dyDescent="0.25">
      <c r="A693">
        <v>2940118104</v>
      </c>
      <c r="B693" t="s">
        <v>2936</v>
      </c>
      <c r="C693">
        <v>2795000</v>
      </c>
      <c r="D693" t="s">
        <v>2937</v>
      </c>
      <c r="E693" t="s">
        <v>2938</v>
      </c>
      <c r="F693">
        <v>4</v>
      </c>
      <c r="I693" t="str">
        <f>HYPERLINK("tel:+13237625987", "323-762-5987")</f>
        <v>323-762-5987</v>
      </c>
      <c r="J693" t="s">
        <v>2939</v>
      </c>
      <c r="K693" t="s">
        <v>450</v>
      </c>
      <c r="M693">
        <v>3237625987</v>
      </c>
    </row>
    <row r="694" spans="1:13" x14ac:dyDescent="0.25">
      <c r="A694">
        <v>1011411730</v>
      </c>
      <c r="B694" t="s">
        <v>2940</v>
      </c>
      <c r="C694">
        <v>2899000</v>
      </c>
      <c r="D694" t="s">
        <v>2941</v>
      </c>
      <c r="E694" t="s">
        <v>2942</v>
      </c>
      <c r="F694">
        <v>4</v>
      </c>
      <c r="I694" t="str">
        <f>HYPERLINK("tel:+13238215353", "323-821-5353")</f>
        <v>323-821-5353</v>
      </c>
      <c r="J694" t="s">
        <v>2943</v>
      </c>
      <c r="K694" t="s">
        <v>24</v>
      </c>
      <c r="M694">
        <v>3238215353</v>
      </c>
    </row>
    <row r="695" spans="1:13" x14ac:dyDescent="0.25">
      <c r="A695">
        <v>9477968798</v>
      </c>
      <c r="B695" t="s">
        <v>2944</v>
      </c>
      <c r="C695">
        <v>150000</v>
      </c>
      <c r="D695" t="s">
        <v>2945</v>
      </c>
      <c r="E695" t="s">
        <v>2946</v>
      </c>
      <c r="F695">
        <v>4</v>
      </c>
      <c r="I695" t="str">
        <f>HYPERLINK("tel:+13238649492", "323-864-9492")</f>
        <v>323-864-9492</v>
      </c>
      <c r="J695" t="s">
        <v>2947</v>
      </c>
      <c r="K695" t="s">
        <v>2948</v>
      </c>
      <c r="M695">
        <v>3238649492</v>
      </c>
    </row>
    <row r="696" spans="1:13" x14ac:dyDescent="0.25">
      <c r="A696">
        <v>2281281677</v>
      </c>
      <c r="B696" t="s">
        <v>2949</v>
      </c>
      <c r="C696">
        <v>699000</v>
      </c>
      <c r="D696" t="s">
        <v>2950</v>
      </c>
      <c r="E696" t="s">
        <v>2951</v>
      </c>
      <c r="F696">
        <v>4</v>
      </c>
      <c r="I696" t="str">
        <f>HYPERLINK("tel:+13238681919", "323-868-1919")</f>
        <v>323-868-1919</v>
      </c>
      <c r="J696" t="s">
        <v>2952</v>
      </c>
      <c r="K696" t="s">
        <v>24</v>
      </c>
      <c r="M696">
        <v>3238681919</v>
      </c>
    </row>
    <row r="697" spans="1:13" x14ac:dyDescent="0.25">
      <c r="A697">
        <v>2971214255</v>
      </c>
      <c r="B697" t="s">
        <v>2953</v>
      </c>
      <c r="C697">
        <v>2395000</v>
      </c>
      <c r="D697" t="s">
        <v>2954</v>
      </c>
      <c r="E697" t="s">
        <v>2955</v>
      </c>
      <c r="F697">
        <v>4</v>
      </c>
      <c r="I697" t="str">
        <f>HYPERLINK("tel:+14243039135", "424-303-9135")</f>
        <v>424-303-9135</v>
      </c>
      <c r="J697" t="s">
        <v>2956</v>
      </c>
      <c r="K697" t="s">
        <v>63</v>
      </c>
      <c r="M697">
        <v>4243039135</v>
      </c>
    </row>
    <row r="698" spans="1:13" x14ac:dyDescent="0.25">
      <c r="A698">
        <v>1798096999</v>
      </c>
      <c r="B698" t="s">
        <v>2643</v>
      </c>
      <c r="C698">
        <v>18995000</v>
      </c>
      <c r="D698" t="s">
        <v>2644</v>
      </c>
      <c r="E698" t="s">
        <v>2957</v>
      </c>
      <c r="F698">
        <v>4</v>
      </c>
      <c r="I698" t="str">
        <f>HYPERLINK("tel:+14243854446", "424-385-4446")</f>
        <v>424-385-4446</v>
      </c>
      <c r="J698" t="s">
        <v>2958</v>
      </c>
      <c r="K698" t="s">
        <v>63</v>
      </c>
      <c r="M698">
        <v>4243854446</v>
      </c>
    </row>
    <row r="699" spans="1:13" x14ac:dyDescent="0.25">
      <c r="A699">
        <v>1544202207</v>
      </c>
      <c r="B699" t="s">
        <v>2959</v>
      </c>
      <c r="C699">
        <v>2750000</v>
      </c>
      <c r="D699" t="s">
        <v>2960</v>
      </c>
      <c r="E699" t="s">
        <v>2961</v>
      </c>
      <c r="F699">
        <v>4</v>
      </c>
      <c r="I699" t="str">
        <f>HYPERLINK("tel:+14244053900", "424-405-3900")</f>
        <v>424-405-3900</v>
      </c>
      <c r="J699" t="s">
        <v>2962</v>
      </c>
      <c r="K699" t="s">
        <v>131</v>
      </c>
      <c r="M699">
        <v>4244053900</v>
      </c>
    </row>
    <row r="700" spans="1:13" x14ac:dyDescent="0.25">
      <c r="A700">
        <v>1712422598</v>
      </c>
      <c r="B700" t="s">
        <v>2963</v>
      </c>
      <c r="C700">
        <v>3690000</v>
      </c>
      <c r="D700" t="s">
        <v>2964</v>
      </c>
      <c r="E700" t="s">
        <v>2965</v>
      </c>
      <c r="F700">
        <v>4</v>
      </c>
      <c r="I700" t="str">
        <f>HYPERLINK("tel:+14245277177", "424-527-7177")</f>
        <v>424-527-7177</v>
      </c>
      <c r="J700" t="s">
        <v>2966</v>
      </c>
      <c r="K700" t="s">
        <v>153</v>
      </c>
      <c r="M700">
        <v>4245277177</v>
      </c>
    </row>
    <row r="701" spans="1:13" x14ac:dyDescent="0.25">
      <c r="A701">
        <v>2559083900</v>
      </c>
      <c r="B701" t="s">
        <v>2967</v>
      </c>
      <c r="C701">
        <v>16050000</v>
      </c>
      <c r="D701" t="s">
        <v>2968</v>
      </c>
      <c r="E701" t="s">
        <v>2969</v>
      </c>
      <c r="F701">
        <v>4</v>
      </c>
      <c r="I701" t="str">
        <f>HYPERLINK("tel:+14247775135", "424-777-5135")</f>
        <v>424-777-5135</v>
      </c>
      <c r="J701" t="s">
        <v>2970</v>
      </c>
      <c r="K701" t="s">
        <v>136</v>
      </c>
      <c r="M701">
        <v>4247775135</v>
      </c>
    </row>
    <row r="702" spans="1:13" x14ac:dyDescent="0.25">
      <c r="A702">
        <v>1707306522</v>
      </c>
      <c r="B702" t="s">
        <v>2971</v>
      </c>
      <c r="C702">
        <v>29500</v>
      </c>
      <c r="D702" t="s">
        <v>2972</v>
      </c>
      <c r="E702" t="s">
        <v>2973</v>
      </c>
      <c r="F702">
        <v>4</v>
      </c>
      <c r="I702" t="str">
        <f>HYPERLINK("tel:+15622125752", "562-212-5752")</f>
        <v>562-212-5752</v>
      </c>
      <c r="J702" t="s">
        <v>2974</v>
      </c>
      <c r="K702" t="s">
        <v>2975</v>
      </c>
      <c r="M702">
        <v>5622125752</v>
      </c>
    </row>
    <row r="703" spans="1:13" x14ac:dyDescent="0.25">
      <c r="A703">
        <v>2813835961</v>
      </c>
      <c r="B703" t="s">
        <v>2976</v>
      </c>
      <c r="C703">
        <v>4500000</v>
      </c>
      <c r="D703" t="s">
        <v>2977</v>
      </c>
      <c r="E703" t="s">
        <v>2978</v>
      </c>
      <c r="F703">
        <v>4</v>
      </c>
      <c r="I703" t="str">
        <f>HYPERLINK("tel:+15622600940", "562-260-0940")</f>
        <v>562-260-0940</v>
      </c>
      <c r="J703" t="s">
        <v>2979</v>
      </c>
      <c r="K703" t="s">
        <v>2980</v>
      </c>
      <c r="M703">
        <v>5622600940</v>
      </c>
    </row>
    <row r="704" spans="1:13" x14ac:dyDescent="0.25">
      <c r="A704">
        <v>2514511999</v>
      </c>
      <c r="B704" t="s">
        <v>2981</v>
      </c>
      <c r="C704">
        <v>549000</v>
      </c>
      <c r="D704" t="s">
        <v>2982</v>
      </c>
      <c r="E704" t="s">
        <v>2983</v>
      </c>
      <c r="F704">
        <v>4</v>
      </c>
      <c r="I704" t="str">
        <f>HYPERLINK("tel:+15622606899", "562-260-6899")</f>
        <v>562-260-6899</v>
      </c>
      <c r="J704" t="s">
        <v>2984</v>
      </c>
      <c r="K704" t="s">
        <v>2985</v>
      </c>
      <c r="M704">
        <v>5622606899</v>
      </c>
    </row>
    <row r="705" spans="1:13" x14ac:dyDescent="0.25">
      <c r="A705">
        <v>2869070142</v>
      </c>
      <c r="B705" t="s">
        <v>2986</v>
      </c>
      <c r="C705">
        <v>559999</v>
      </c>
      <c r="D705" t="s">
        <v>2987</v>
      </c>
      <c r="E705" t="s">
        <v>2988</v>
      </c>
      <c r="F705">
        <v>4</v>
      </c>
      <c r="I705" t="str">
        <f>HYPERLINK("tel:+15624007004", "562-400-7004")</f>
        <v>562-400-7004</v>
      </c>
      <c r="J705" t="s">
        <v>2989</v>
      </c>
      <c r="K705" t="s">
        <v>2990</v>
      </c>
      <c r="M705">
        <v>5624007004</v>
      </c>
    </row>
    <row r="706" spans="1:13" x14ac:dyDescent="0.25">
      <c r="A706">
        <v>1717098661</v>
      </c>
      <c r="B706" t="s">
        <v>2991</v>
      </c>
      <c r="C706">
        <v>1899000</v>
      </c>
      <c r="D706" t="s">
        <v>2992</v>
      </c>
      <c r="E706" t="s">
        <v>2993</v>
      </c>
      <c r="F706">
        <v>4</v>
      </c>
      <c r="I706" t="str">
        <f>HYPERLINK("tel:+15624134717", "562-413-4717")</f>
        <v>562-413-4717</v>
      </c>
      <c r="J706" t="s">
        <v>2994</v>
      </c>
      <c r="K706" t="s">
        <v>107</v>
      </c>
      <c r="M706">
        <v>5624134717</v>
      </c>
    </row>
    <row r="707" spans="1:13" x14ac:dyDescent="0.25">
      <c r="A707">
        <v>9215599667</v>
      </c>
      <c r="B707" t="s">
        <v>2995</v>
      </c>
      <c r="C707">
        <v>399000</v>
      </c>
      <c r="D707" t="s">
        <v>2996</v>
      </c>
      <c r="E707" t="s">
        <v>2997</v>
      </c>
      <c r="F707">
        <v>4</v>
      </c>
      <c r="I707" t="str">
        <f>HYPERLINK("tel:+15625333190", "562-533-3190")</f>
        <v>562-533-3190</v>
      </c>
      <c r="J707" t="s">
        <v>2998</v>
      </c>
      <c r="K707" t="s">
        <v>1075</v>
      </c>
      <c r="M707">
        <v>5625333190</v>
      </c>
    </row>
    <row r="708" spans="1:13" x14ac:dyDescent="0.25">
      <c r="A708">
        <v>2208510523</v>
      </c>
      <c r="B708" t="s">
        <v>2999</v>
      </c>
      <c r="C708">
        <v>820000</v>
      </c>
      <c r="D708" t="s">
        <v>3000</v>
      </c>
      <c r="E708" t="s">
        <v>3001</v>
      </c>
      <c r="F708">
        <v>4</v>
      </c>
      <c r="I708" t="str">
        <f>HYPERLINK("tel:+15625471182", "562-547-1182")</f>
        <v>562-547-1182</v>
      </c>
      <c r="J708" t="s">
        <v>3002</v>
      </c>
      <c r="K708" t="s">
        <v>4</v>
      </c>
      <c r="M708">
        <v>5625471182</v>
      </c>
    </row>
    <row r="709" spans="1:13" x14ac:dyDescent="0.25">
      <c r="A709">
        <v>9895046013</v>
      </c>
      <c r="B709" t="s">
        <v>3003</v>
      </c>
      <c r="C709">
        <v>810000</v>
      </c>
      <c r="D709" t="s">
        <v>3004</v>
      </c>
      <c r="E709" t="s">
        <v>3005</v>
      </c>
      <c r="F709">
        <v>4</v>
      </c>
      <c r="I709" t="str">
        <f>HYPERLINK("tel:+15625969846", "562-596-9846")</f>
        <v>562-596-9846</v>
      </c>
      <c r="J709" t="s">
        <v>3006</v>
      </c>
      <c r="K709" t="s">
        <v>490</v>
      </c>
      <c r="M709">
        <v>5625969846</v>
      </c>
    </row>
    <row r="710" spans="1:13" x14ac:dyDescent="0.25">
      <c r="A710">
        <v>9721009510</v>
      </c>
      <c r="B710" t="s">
        <v>3007</v>
      </c>
      <c r="C710">
        <v>415000</v>
      </c>
      <c r="D710" t="s">
        <v>3008</v>
      </c>
      <c r="E710" t="s">
        <v>3009</v>
      </c>
      <c r="F710">
        <v>4</v>
      </c>
      <c r="I710" t="str">
        <f>HYPERLINK("tel:+15626189940", "562-618-9940")</f>
        <v>562-618-9940</v>
      </c>
      <c r="J710" t="s">
        <v>3010</v>
      </c>
      <c r="K710" t="s">
        <v>1075</v>
      </c>
      <c r="M710">
        <v>5626189940</v>
      </c>
    </row>
    <row r="711" spans="1:13" x14ac:dyDescent="0.25">
      <c r="A711">
        <v>9476157105</v>
      </c>
      <c r="B711" t="s">
        <v>3011</v>
      </c>
      <c r="C711">
        <v>649900</v>
      </c>
      <c r="D711" t="s">
        <v>3012</v>
      </c>
      <c r="E711" t="s">
        <v>3013</v>
      </c>
      <c r="F711">
        <v>4</v>
      </c>
      <c r="I711" t="str">
        <f>HYPERLINK("tel:+15626199595", "562-619-9595")</f>
        <v>562-619-9595</v>
      </c>
      <c r="J711" t="s">
        <v>3014</v>
      </c>
      <c r="K711" t="s">
        <v>3015</v>
      </c>
      <c r="M711">
        <v>5626199595</v>
      </c>
    </row>
    <row r="712" spans="1:13" x14ac:dyDescent="0.25">
      <c r="A712">
        <v>2478608477</v>
      </c>
      <c r="B712" t="s">
        <v>3016</v>
      </c>
      <c r="C712">
        <v>85000</v>
      </c>
      <c r="D712" t="s">
        <v>3017</v>
      </c>
      <c r="E712" t="s">
        <v>3018</v>
      </c>
      <c r="F712">
        <v>4</v>
      </c>
      <c r="I712" t="str">
        <f>HYPERLINK("tel:+15626881252", "562-688-1252")</f>
        <v>562-688-1252</v>
      </c>
      <c r="J712" t="s">
        <v>3019</v>
      </c>
      <c r="K712" t="s">
        <v>3020</v>
      </c>
      <c r="M712">
        <v>5626881252</v>
      </c>
    </row>
    <row r="713" spans="1:13" x14ac:dyDescent="0.25">
      <c r="A713">
        <v>9336176488</v>
      </c>
      <c r="B713" t="s">
        <v>3021</v>
      </c>
      <c r="C713">
        <v>1995000</v>
      </c>
      <c r="D713" t="s">
        <v>3022</v>
      </c>
      <c r="E713" t="s">
        <v>3023</v>
      </c>
      <c r="F713">
        <v>4</v>
      </c>
      <c r="I713" t="str">
        <f>HYPERLINK("tel:+15627550084", "562-755-0084")</f>
        <v>562-755-0084</v>
      </c>
      <c r="J713" t="s">
        <v>3024</v>
      </c>
      <c r="K713" t="s">
        <v>3025</v>
      </c>
      <c r="M713">
        <v>5627550084</v>
      </c>
    </row>
    <row r="714" spans="1:13" x14ac:dyDescent="0.25">
      <c r="A714">
        <v>9425112132</v>
      </c>
      <c r="B714" t="s">
        <v>3026</v>
      </c>
      <c r="C714">
        <v>10000</v>
      </c>
      <c r="D714" t="s">
        <v>3027</v>
      </c>
      <c r="E714" t="s">
        <v>3028</v>
      </c>
      <c r="F714">
        <v>4</v>
      </c>
      <c r="I714" t="str">
        <f>HYPERLINK("tel:+15629128001", "562-912-8001")</f>
        <v>562-912-8001</v>
      </c>
      <c r="J714" t="s">
        <v>3029</v>
      </c>
      <c r="K714" t="s">
        <v>3030</v>
      </c>
      <c r="M714">
        <v>5629128001</v>
      </c>
    </row>
    <row r="715" spans="1:13" x14ac:dyDescent="0.25">
      <c r="A715">
        <v>1690573383</v>
      </c>
      <c r="B715" t="s">
        <v>3031</v>
      </c>
      <c r="C715">
        <v>3149000</v>
      </c>
      <c r="D715" t="s">
        <v>3032</v>
      </c>
      <c r="E715" t="s">
        <v>3033</v>
      </c>
      <c r="F715">
        <v>4</v>
      </c>
      <c r="I715" t="str">
        <f>HYPERLINK("tel:+16027698383", "602-769-8383")</f>
        <v>602-769-8383</v>
      </c>
      <c r="J715" t="s">
        <v>3034</v>
      </c>
      <c r="K715" t="s">
        <v>136</v>
      </c>
      <c r="M715">
        <v>6027698383</v>
      </c>
    </row>
    <row r="716" spans="1:13" x14ac:dyDescent="0.25">
      <c r="A716">
        <v>1812755813</v>
      </c>
      <c r="B716" t="s">
        <v>3035</v>
      </c>
      <c r="C716">
        <v>799000</v>
      </c>
      <c r="D716" t="s">
        <v>3036</v>
      </c>
      <c r="E716" t="s">
        <v>3037</v>
      </c>
      <c r="F716">
        <v>4</v>
      </c>
      <c r="I716" t="str">
        <f>HYPERLINK("tel:+16195073353", "619-507-3353")</f>
        <v>619-507-3353</v>
      </c>
      <c r="J716" t="s">
        <v>3038</v>
      </c>
      <c r="K716" t="s">
        <v>82</v>
      </c>
      <c r="M716">
        <v>6195073353</v>
      </c>
    </row>
    <row r="717" spans="1:13" x14ac:dyDescent="0.25">
      <c r="A717">
        <v>2275652102</v>
      </c>
      <c r="B717" t="s">
        <v>3039</v>
      </c>
      <c r="C717">
        <v>1259000</v>
      </c>
      <c r="D717" t="s">
        <v>3040</v>
      </c>
      <c r="E717" t="s">
        <v>3041</v>
      </c>
      <c r="F717">
        <v>4</v>
      </c>
      <c r="I717" t="str">
        <f>HYPERLINK("tel:+16199888010", "619-988-8010")</f>
        <v>619-988-8010</v>
      </c>
      <c r="J717" t="s">
        <v>3042</v>
      </c>
      <c r="K717" t="s">
        <v>239</v>
      </c>
      <c r="M717">
        <v>6199888010</v>
      </c>
    </row>
    <row r="718" spans="1:13" x14ac:dyDescent="0.25">
      <c r="A718">
        <v>1812755813</v>
      </c>
      <c r="B718" t="s">
        <v>3035</v>
      </c>
      <c r="C718">
        <v>799000</v>
      </c>
      <c r="D718" t="s">
        <v>3036</v>
      </c>
      <c r="E718" t="s">
        <v>3043</v>
      </c>
      <c r="F718">
        <v>4</v>
      </c>
      <c r="I718" t="str">
        <f>HYPERLINK("tel:+16199927299", "619-992-7299")</f>
        <v>619-992-7299</v>
      </c>
      <c r="J718" t="s">
        <v>3044</v>
      </c>
      <c r="K718" t="s">
        <v>82</v>
      </c>
      <c r="M718">
        <v>6199927299</v>
      </c>
    </row>
    <row r="719" spans="1:13" x14ac:dyDescent="0.25">
      <c r="A719">
        <v>2507489554</v>
      </c>
      <c r="B719" t="s">
        <v>3045</v>
      </c>
      <c r="C719">
        <v>679000</v>
      </c>
      <c r="D719" t="s">
        <v>3046</v>
      </c>
      <c r="E719" t="s">
        <v>3047</v>
      </c>
      <c r="F719">
        <v>4</v>
      </c>
      <c r="I719" t="str">
        <f>HYPERLINK("tel:+16262210260", "626-221-0260")</f>
        <v>626-221-0260</v>
      </c>
      <c r="J719" t="s">
        <v>3048</v>
      </c>
      <c r="K719" t="s">
        <v>3049</v>
      </c>
      <c r="M719">
        <v>6262210260</v>
      </c>
    </row>
    <row r="720" spans="1:13" x14ac:dyDescent="0.25">
      <c r="A720">
        <v>1211836557</v>
      </c>
      <c r="B720" t="s">
        <v>3050</v>
      </c>
      <c r="C720">
        <v>4780000</v>
      </c>
      <c r="D720" t="s">
        <v>3051</v>
      </c>
      <c r="E720" t="s">
        <v>3052</v>
      </c>
      <c r="F720">
        <v>4</v>
      </c>
      <c r="I720" t="str">
        <f>HYPERLINK("tel:+16262230124", "626-223-0124")</f>
        <v>626-223-0124</v>
      </c>
      <c r="J720" t="s">
        <v>3053</v>
      </c>
      <c r="K720" t="s">
        <v>917</v>
      </c>
      <c r="M720">
        <v>6262230124</v>
      </c>
    </row>
    <row r="721" spans="1:13" x14ac:dyDescent="0.25">
      <c r="A721">
        <v>2959135108</v>
      </c>
      <c r="B721" t="s">
        <v>3054</v>
      </c>
      <c r="C721">
        <v>1099000</v>
      </c>
      <c r="D721" t="s">
        <v>3055</v>
      </c>
      <c r="E721" t="s">
        <v>3056</v>
      </c>
      <c r="F721">
        <v>4</v>
      </c>
      <c r="I721" t="str">
        <f>HYPERLINK("tel:+16262347821", "626-234-7821")</f>
        <v>626-234-7821</v>
      </c>
      <c r="J721" t="s">
        <v>3057</v>
      </c>
      <c r="K721" t="s">
        <v>3058</v>
      </c>
      <c r="M721">
        <v>6262347821</v>
      </c>
    </row>
    <row r="722" spans="1:13" x14ac:dyDescent="0.25">
      <c r="A722">
        <v>2735536304</v>
      </c>
      <c r="B722" t="s">
        <v>3059</v>
      </c>
      <c r="C722">
        <v>975000</v>
      </c>
      <c r="D722" t="s">
        <v>3060</v>
      </c>
      <c r="E722" t="s">
        <v>3061</v>
      </c>
      <c r="F722">
        <v>4</v>
      </c>
      <c r="I722" t="str">
        <f>HYPERLINK("tel:+16262906900", "626-290-6900")</f>
        <v>626-290-6900</v>
      </c>
      <c r="J722" t="s">
        <v>3062</v>
      </c>
      <c r="K722" t="s">
        <v>3063</v>
      </c>
      <c r="M722">
        <v>6262906900</v>
      </c>
    </row>
    <row r="723" spans="1:13" x14ac:dyDescent="0.25">
      <c r="A723">
        <v>2979653478</v>
      </c>
      <c r="B723" t="s">
        <v>215</v>
      </c>
      <c r="C723">
        <v>26660000</v>
      </c>
      <c r="D723" t="s">
        <v>216</v>
      </c>
      <c r="E723" t="s">
        <v>3064</v>
      </c>
      <c r="F723">
        <v>4</v>
      </c>
      <c r="I723" t="str">
        <f>HYPERLINK("tel:+16263723370", "626-372-3370")</f>
        <v>626-372-3370</v>
      </c>
      <c r="J723" t="s">
        <v>3065</v>
      </c>
      <c r="K723" t="s">
        <v>29</v>
      </c>
      <c r="M723">
        <v>6263723370</v>
      </c>
    </row>
    <row r="724" spans="1:13" x14ac:dyDescent="0.25">
      <c r="A724">
        <v>2087907937</v>
      </c>
      <c r="B724" t="s">
        <v>3066</v>
      </c>
      <c r="C724">
        <v>749900</v>
      </c>
      <c r="D724" t="s">
        <v>3067</v>
      </c>
      <c r="E724" t="s">
        <v>3068</v>
      </c>
      <c r="F724">
        <v>4</v>
      </c>
      <c r="I724" t="str">
        <f>HYPERLINK("tel:+16264878827", "626-487-8827")</f>
        <v>626-487-8827</v>
      </c>
      <c r="J724" t="s">
        <v>3069</v>
      </c>
      <c r="K724" t="s">
        <v>3070</v>
      </c>
      <c r="M724">
        <v>6264878827</v>
      </c>
    </row>
    <row r="725" spans="1:13" x14ac:dyDescent="0.25">
      <c r="A725">
        <v>1818100587</v>
      </c>
      <c r="B725" t="s">
        <v>3071</v>
      </c>
      <c r="C725">
        <v>599900</v>
      </c>
      <c r="D725" t="s">
        <v>3072</v>
      </c>
      <c r="E725" t="s">
        <v>3073</v>
      </c>
      <c r="F725">
        <v>4</v>
      </c>
      <c r="I725" t="str">
        <f>HYPERLINK("tel:+16265777575", "626-577-7575")</f>
        <v>626-577-7575</v>
      </c>
      <c r="J725" t="s">
        <v>3074</v>
      </c>
      <c r="K725" t="s">
        <v>3075</v>
      </c>
      <c r="M725">
        <v>6265777575</v>
      </c>
    </row>
    <row r="726" spans="1:13" x14ac:dyDescent="0.25">
      <c r="A726">
        <v>2342190674</v>
      </c>
      <c r="B726" t="s">
        <v>3076</v>
      </c>
      <c r="C726">
        <v>679000</v>
      </c>
      <c r="D726" t="s">
        <v>3077</v>
      </c>
      <c r="E726" t="s">
        <v>3078</v>
      </c>
      <c r="F726">
        <v>4</v>
      </c>
      <c r="I726" t="str">
        <f>HYPERLINK("tel:+16265928028", "626-592-8028")</f>
        <v>626-592-8028</v>
      </c>
      <c r="J726" t="s">
        <v>3079</v>
      </c>
      <c r="K726" t="s">
        <v>3080</v>
      </c>
      <c r="M726">
        <v>6265928028</v>
      </c>
    </row>
    <row r="727" spans="1:13" x14ac:dyDescent="0.25">
      <c r="A727">
        <v>9876997571</v>
      </c>
      <c r="B727" t="s">
        <v>3081</v>
      </c>
      <c r="C727">
        <v>2880000</v>
      </c>
      <c r="D727" t="s">
        <v>3082</v>
      </c>
      <c r="E727" t="s">
        <v>3083</v>
      </c>
      <c r="F727">
        <v>4</v>
      </c>
      <c r="I727" t="str">
        <f>HYPERLINK("tel:+16265928589", "626-592-8589")</f>
        <v>626-592-8589</v>
      </c>
      <c r="J727" t="s">
        <v>3084</v>
      </c>
      <c r="K727" t="s">
        <v>450</v>
      </c>
      <c r="M727">
        <v>6265928589</v>
      </c>
    </row>
    <row r="728" spans="1:13" x14ac:dyDescent="0.25">
      <c r="A728">
        <v>9330756168</v>
      </c>
      <c r="B728" t="s">
        <v>3085</v>
      </c>
      <c r="C728">
        <v>1800000</v>
      </c>
      <c r="D728" t="s">
        <v>3086</v>
      </c>
      <c r="E728" t="s">
        <v>3087</v>
      </c>
      <c r="F728">
        <v>4</v>
      </c>
      <c r="I728" t="str">
        <f>HYPERLINK("tel:+16266322288", "626-632-2288")</f>
        <v>626-632-2288</v>
      </c>
      <c r="J728" t="s">
        <v>3088</v>
      </c>
      <c r="K728" t="s">
        <v>3089</v>
      </c>
      <c r="M728">
        <v>6266322288</v>
      </c>
    </row>
    <row r="729" spans="1:13" x14ac:dyDescent="0.25">
      <c r="A729">
        <v>1982698722</v>
      </c>
      <c r="B729" t="s">
        <v>3090</v>
      </c>
      <c r="C729">
        <v>299000</v>
      </c>
      <c r="D729" t="s">
        <v>3091</v>
      </c>
      <c r="E729" t="s">
        <v>3092</v>
      </c>
      <c r="F729">
        <v>4</v>
      </c>
      <c r="I729" t="str">
        <f>HYPERLINK("tel:+16266417678", "626-641-7678")</f>
        <v>626-641-7678</v>
      </c>
      <c r="J729" t="s">
        <v>3093</v>
      </c>
      <c r="K729" t="s">
        <v>3094</v>
      </c>
      <c r="M729">
        <v>6266417678</v>
      </c>
    </row>
    <row r="730" spans="1:13" x14ac:dyDescent="0.25">
      <c r="A730">
        <v>1026382489</v>
      </c>
      <c r="B730" t="s">
        <v>3095</v>
      </c>
      <c r="C730">
        <v>2050000</v>
      </c>
      <c r="D730" t="s">
        <v>3096</v>
      </c>
      <c r="E730" t="s">
        <v>3097</v>
      </c>
      <c r="F730">
        <v>4</v>
      </c>
      <c r="I730" t="str">
        <f>HYPERLINK("tel:+16266884871", "626-688-4871")</f>
        <v>626-688-4871</v>
      </c>
      <c r="J730" t="s">
        <v>3098</v>
      </c>
      <c r="K730" t="s">
        <v>3099</v>
      </c>
      <c r="M730">
        <v>6266884871</v>
      </c>
    </row>
    <row r="731" spans="1:13" x14ac:dyDescent="0.25">
      <c r="A731">
        <v>1102609012</v>
      </c>
      <c r="B731" t="s">
        <v>3100</v>
      </c>
      <c r="C731">
        <v>1100000</v>
      </c>
      <c r="D731" t="s">
        <v>3101</v>
      </c>
      <c r="E731" t="s">
        <v>3102</v>
      </c>
      <c r="F731">
        <v>4</v>
      </c>
      <c r="I731" t="str">
        <f>HYPERLINK("tel:+16267053509", "626-705-3509")</f>
        <v>626-705-3509</v>
      </c>
      <c r="J731" t="s">
        <v>3103</v>
      </c>
      <c r="K731" t="s">
        <v>3104</v>
      </c>
      <c r="M731">
        <v>6267053509</v>
      </c>
    </row>
    <row r="732" spans="1:13" x14ac:dyDescent="0.25">
      <c r="A732">
        <v>1507593233</v>
      </c>
      <c r="B732" t="s">
        <v>3105</v>
      </c>
      <c r="C732">
        <v>1199000</v>
      </c>
      <c r="D732" t="s">
        <v>3106</v>
      </c>
      <c r="E732" t="s">
        <v>3107</v>
      </c>
      <c r="F732">
        <v>4</v>
      </c>
      <c r="I732" t="str">
        <f>HYPERLINK("tel:+16267580315", "626-758-0315")</f>
        <v>626-758-0315</v>
      </c>
      <c r="J732" t="s">
        <v>3108</v>
      </c>
      <c r="K732" t="s">
        <v>3109</v>
      </c>
      <c r="M732">
        <v>6267580315</v>
      </c>
    </row>
    <row r="733" spans="1:13" x14ac:dyDescent="0.25">
      <c r="A733">
        <v>2925398057</v>
      </c>
      <c r="B733" t="s">
        <v>3110</v>
      </c>
      <c r="C733">
        <v>4250000</v>
      </c>
      <c r="D733" t="s">
        <v>3111</v>
      </c>
      <c r="E733" t="s">
        <v>3112</v>
      </c>
      <c r="F733">
        <v>4</v>
      </c>
      <c r="I733" t="str">
        <f>HYPERLINK("tel:+16267961680", "626-796-1680")</f>
        <v>626-796-1680</v>
      </c>
      <c r="J733" t="s">
        <v>3113</v>
      </c>
      <c r="K733" t="s">
        <v>450</v>
      </c>
      <c r="M733">
        <v>6267961680</v>
      </c>
    </row>
    <row r="734" spans="1:13" x14ac:dyDescent="0.25">
      <c r="A734">
        <v>1466825515</v>
      </c>
      <c r="B734" t="s">
        <v>3114</v>
      </c>
      <c r="C734">
        <v>1870000</v>
      </c>
      <c r="D734" t="s">
        <v>3115</v>
      </c>
      <c r="E734" t="s">
        <v>3116</v>
      </c>
      <c r="F734">
        <v>4</v>
      </c>
      <c r="I734" t="str">
        <f>HYPERLINK("tel:+16268041555", "626-804-1555")</f>
        <v>626-804-1555</v>
      </c>
      <c r="J734" t="s">
        <v>3117</v>
      </c>
      <c r="K734" t="s">
        <v>917</v>
      </c>
      <c r="M734">
        <v>6268041555</v>
      </c>
    </row>
    <row r="735" spans="1:13" x14ac:dyDescent="0.25">
      <c r="A735">
        <v>9934711269</v>
      </c>
      <c r="B735" t="s">
        <v>3118</v>
      </c>
      <c r="C735">
        <v>649000</v>
      </c>
      <c r="D735" t="s">
        <v>3119</v>
      </c>
      <c r="E735" t="s">
        <v>3120</v>
      </c>
      <c r="F735">
        <v>4</v>
      </c>
      <c r="I735" t="str">
        <f>HYPERLINK("tel:+16268400706", "626-840-0706")</f>
        <v>626-840-0706</v>
      </c>
      <c r="J735" t="s">
        <v>3121</v>
      </c>
      <c r="K735" t="s">
        <v>24</v>
      </c>
      <c r="M735">
        <v>6268400706</v>
      </c>
    </row>
    <row r="736" spans="1:13" x14ac:dyDescent="0.25">
      <c r="A736">
        <v>2801451074</v>
      </c>
      <c r="B736" t="s">
        <v>3122</v>
      </c>
      <c r="C736">
        <v>415000</v>
      </c>
      <c r="D736" t="s">
        <v>3123</v>
      </c>
      <c r="E736" t="s">
        <v>3124</v>
      </c>
      <c r="F736">
        <v>4</v>
      </c>
      <c r="I736" t="str">
        <f>HYPERLINK("tel:+16268622414", "626-862-2414")</f>
        <v>626-862-2414</v>
      </c>
      <c r="J736" t="s">
        <v>3125</v>
      </c>
      <c r="K736" t="s">
        <v>3126</v>
      </c>
      <c r="M736">
        <v>6268622414</v>
      </c>
    </row>
    <row r="737" spans="1:13" x14ac:dyDescent="0.25">
      <c r="A737">
        <v>2201760129</v>
      </c>
      <c r="B737" t="s">
        <v>3127</v>
      </c>
      <c r="C737">
        <v>1699000</v>
      </c>
      <c r="D737" t="s">
        <v>3128</v>
      </c>
      <c r="E737" t="s">
        <v>3129</v>
      </c>
      <c r="F737">
        <v>4</v>
      </c>
      <c r="I737" t="str">
        <f>HYPERLINK("tel:+16269911132", "626-991-1132")</f>
        <v>626-991-1132</v>
      </c>
      <c r="J737" t="s">
        <v>3130</v>
      </c>
      <c r="K737" t="s">
        <v>24</v>
      </c>
      <c r="M737">
        <v>6269911132</v>
      </c>
    </row>
    <row r="738" spans="1:13" x14ac:dyDescent="0.25">
      <c r="A738">
        <v>2984683585</v>
      </c>
      <c r="B738" t="s">
        <v>3131</v>
      </c>
      <c r="C738">
        <v>389888</v>
      </c>
      <c r="D738" t="s">
        <v>3132</v>
      </c>
      <c r="E738" t="s">
        <v>3133</v>
      </c>
      <c r="F738">
        <v>4</v>
      </c>
      <c r="I738" t="str">
        <f>HYPERLINK("tel:+16466735519", "646-673-5519")</f>
        <v>646-673-5519</v>
      </c>
      <c r="J738" t="s">
        <v>3134</v>
      </c>
      <c r="K738" t="s">
        <v>158</v>
      </c>
      <c r="M738">
        <v>6466735519</v>
      </c>
    </row>
    <row r="739" spans="1:13" x14ac:dyDescent="0.25">
      <c r="A739">
        <v>9031194628</v>
      </c>
      <c r="B739" t="s">
        <v>3135</v>
      </c>
      <c r="C739">
        <v>1699999</v>
      </c>
      <c r="D739" t="s">
        <v>3136</v>
      </c>
      <c r="E739" t="s">
        <v>3137</v>
      </c>
      <c r="F739">
        <v>4</v>
      </c>
      <c r="I739" t="str">
        <f>HYPERLINK("tel:+16509355626", "650-935-5626")</f>
        <v>650-935-5626</v>
      </c>
      <c r="J739" t="s">
        <v>3138</v>
      </c>
      <c r="K739" t="s">
        <v>3139</v>
      </c>
      <c r="M739">
        <v>6509355626</v>
      </c>
    </row>
    <row r="740" spans="1:13" x14ac:dyDescent="0.25">
      <c r="A740">
        <v>1142034973</v>
      </c>
      <c r="B740" t="s">
        <v>3140</v>
      </c>
      <c r="C740">
        <v>1598000</v>
      </c>
      <c r="D740" t="s">
        <v>3141</v>
      </c>
      <c r="E740" t="s">
        <v>3142</v>
      </c>
      <c r="F740">
        <v>4</v>
      </c>
      <c r="I740" t="str">
        <f>HYPERLINK("tel:+16576788888", "657-678-8888")</f>
        <v>657-678-8888</v>
      </c>
      <c r="J740" t="s">
        <v>3143</v>
      </c>
      <c r="K740" t="s">
        <v>3144</v>
      </c>
      <c r="M740">
        <v>6576788888</v>
      </c>
    </row>
    <row r="741" spans="1:13" x14ac:dyDescent="0.25">
      <c r="A741">
        <v>9312130894</v>
      </c>
      <c r="B741" t="s">
        <v>3145</v>
      </c>
      <c r="C741">
        <v>449999</v>
      </c>
      <c r="D741" t="s">
        <v>3146</v>
      </c>
      <c r="E741" t="s">
        <v>3147</v>
      </c>
      <c r="F741">
        <v>4</v>
      </c>
      <c r="I741" t="str">
        <f>HYPERLINK("tel:+16613120484", "661-312-0484")</f>
        <v>661-312-0484</v>
      </c>
      <c r="J741" t="s">
        <v>3148</v>
      </c>
      <c r="K741" t="s">
        <v>3149</v>
      </c>
      <c r="M741">
        <v>6613120484</v>
      </c>
    </row>
    <row r="742" spans="1:13" x14ac:dyDescent="0.25">
      <c r="A742">
        <v>2084037353</v>
      </c>
      <c r="B742" t="s">
        <v>3150</v>
      </c>
      <c r="C742">
        <v>899000</v>
      </c>
      <c r="D742" t="s">
        <v>3151</v>
      </c>
      <c r="E742" t="s">
        <v>3152</v>
      </c>
      <c r="F742">
        <v>4</v>
      </c>
      <c r="I742" t="str">
        <f>HYPERLINK("tel:+16613840139", "661-384-0139")</f>
        <v>661-384-0139</v>
      </c>
      <c r="J742" t="s">
        <v>3153</v>
      </c>
      <c r="K742" t="s">
        <v>3154</v>
      </c>
      <c r="M742">
        <v>6613840139</v>
      </c>
    </row>
    <row r="743" spans="1:13" x14ac:dyDescent="0.25">
      <c r="A743">
        <v>1955012327</v>
      </c>
      <c r="B743" t="s">
        <v>908</v>
      </c>
      <c r="C743">
        <v>3550000</v>
      </c>
      <c r="D743" t="s">
        <v>909</v>
      </c>
      <c r="E743" t="s">
        <v>3155</v>
      </c>
      <c r="F743">
        <v>4</v>
      </c>
      <c r="I743" t="str">
        <f>HYPERLINK("tel:+17142062688", "714-206-2688")</f>
        <v>714-206-2688</v>
      </c>
      <c r="J743" t="s">
        <v>3156</v>
      </c>
      <c r="K743" t="s">
        <v>912</v>
      </c>
      <c r="M743">
        <v>7142062688</v>
      </c>
    </row>
    <row r="744" spans="1:13" x14ac:dyDescent="0.25">
      <c r="A744">
        <v>9646752724</v>
      </c>
      <c r="B744" t="s">
        <v>3157</v>
      </c>
      <c r="C744">
        <v>574900</v>
      </c>
      <c r="D744" t="s">
        <v>3158</v>
      </c>
      <c r="E744" t="s">
        <v>3159</v>
      </c>
      <c r="F744">
        <v>4</v>
      </c>
      <c r="I744" t="str">
        <f>HYPERLINK("tel:+17142250106", "714-225-0106")</f>
        <v>714-225-0106</v>
      </c>
      <c r="J744" t="s">
        <v>3160</v>
      </c>
      <c r="K744" t="s">
        <v>306</v>
      </c>
      <c r="M744">
        <v>7142250106</v>
      </c>
    </row>
    <row r="745" spans="1:13" x14ac:dyDescent="0.25">
      <c r="A745">
        <v>1467467076</v>
      </c>
      <c r="B745" t="s">
        <v>3161</v>
      </c>
      <c r="C745">
        <v>1500000</v>
      </c>
      <c r="D745" t="s">
        <v>3162</v>
      </c>
      <c r="E745" t="s">
        <v>3163</v>
      </c>
      <c r="F745">
        <v>4</v>
      </c>
      <c r="I745" t="str">
        <f>HYPERLINK("tel:+17142305419", "714-230-5419")</f>
        <v>714-230-5419</v>
      </c>
      <c r="J745" t="s">
        <v>3164</v>
      </c>
      <c r="K745" t="s">
        <v>3165</v>
      </c>
      <c r="M745">
        <v>7142305419</v>
      </c>
    </row>
    <row r="746" spans="1:13" x14ac:dyDescent="0.25">
      <c r="A746">
        <v>1303866744</v>
      </c>
      <c r="B746" t="s">
        <v>3166</v>
      </c>
      <c r="C746">
        <v>1249000</v>
      </c>
      <c r="D746" t="s">
        <v>3167</v>
      </c>
      <c r="E746" t="s">
        <v>3168</v>
      </c>
      <c r="F746">
        <v>4</v>
      </c>
      <c r="I746" t="str">
        <f>HYPERLINK("tel:+17142319622", "714-231-9622")</f>
        <v>714-231-9622</v>
      </c>
      <c r="J746" t="s">
        <v>3169</v>
      </c>
      <c r="K746" t="s">
        <v>306</v>
      </c>
      <c r="M746">
        <v>7142319622</v>
      </c>
    </row>
    <row r="747" spans="1:13" x14ac:dyDescent="0.25">
      <c r="A747">
        <v>9815585446</v>
      </c>
      <c r="B747" t="s">
        <v>3170</v>
      </c>
      <c r="C747">
        <v>1485000</v>
      </c>
      <c r="D747" t="s">
        <v>3171</v>
      </c>
      <c r="E747" t="s">
        <v>3172</v>
      </c>
      <c r="F747">
        <v>4</v>
      </c>
      <c r="I747" t="str">
        <f>HYPERLINK("tel:+17142417368", "714-241-7368")</f>
        <v>714-241-7368</v>
      </c>
      <c r="J747" t="s">
        <v>3173</v>
      </c>
      <c r="K747" t="s">
        <v>3174</v>
      </c>
      <c r="M747">
        <v>7142417368</v>
      </c>
    </row>
    <row r="748" spans="1:13" x14ac:dyDescent="0.25">
      <c r="A748">
        <v>2889094548</v>
      </c>
      <c r="B748" t="s">
        <v>3175</v>
      </c>
      <c r="C748">
        <v>1175000</v>
      </c>
      <c r="D748" t="s">
        <v>3176</v>
      </c>
      <c r="E748" t="s">
        <v>3177</v>
      </c>
      <c r="F748">
        <v>4</v>
      </c>
      <c r="I748" t="str">
        <f>HYPERLINK("tel:+17142676094", "714-267-6094")</f>
        <v>714-267-6094</v>
      </c>
      <c r="J748" t="s">
        <v>3178</v>
      </c>
      <c r="K748" t="s">
        <v>3179</v>
      </c>
      <c r="M748">
        <v>7142676094</v>
      </c>
    </row>
    <row r="749" spans="1:13" x14ac:dyDescent="0.25">
      <c r="A749">
        <v>9346099447</v>
      </c>
      <c r="B749" t="s">
        <v>3180</v>
      </c>
      <c r="C749">
        <v>70000</v>
      </c>
      <c r="D749" t="s">
        <v>3181</v>
      </c>
      <c r="E749" t="s">
        <v>3182</v>
      </c>
      <c r="F749">
        <v>4</v>
      </c>
      <c r="I749" t="str">
        <f>HYPERLINK("tel:+17142695252", "714-269-5252")</f>
        <v>714-269-5252</v>
      </c>
      <c r="J749" t="s">
        <v>3183</v>
      </c>
      <c r="K749" t="s">
        <v>2078</v>
      </c>
      <c r="M749">
        <v>7142695252</v>
      </c>
    </row>
    <row r="750" spans="1:13" x14ac:dyDescent="0.25">
      <c r="A750">
        <v>1718498689</v>
      </c>
      <c r="B750" t="s">
        <v>3184</v>
      </c>
      <c r="C750">
        <v>589999</v>
      </c>
      <c r="D750" t="s">
        <v>3185</v>
      </c>
      <c r="E750" t="s">
        <v>3186</v>
      </c>
      <c r="F750">
        <v>4</v>
      </c>
      <c r="I750" t="str">
        <f>HYPERLINK("tel:+17142718776", "714-271-8776")</f>
        <v>714-271-8776</v>
      </c>
      <c r="J750" t="s">
        <v>3187</v>
      </c>
      <c r="K750" t="s">
        <v>3188</v>
      </c>
      <c r="M750">
        <v>7142718776</v>
      </c>
    </row>
    <row r="751" spans="1:13" x14ac:dyDescent="0.25">
      <c r="A751">
        <v>2889094548</v>
      </c>
      <c r="B751" t="s">
        <v>3175</v>
      </c>
      <c r="C751">
        <v>1175000</v>
      </c>
      <c r="D751" t="s">
        <v>3176</v>
      </c>
      <c r="E751" t="s">
        <v>3189</v>
      </c>
      <c r="F751">
        <v>4</v>
      </c>
      <c r="I751" t="str">
        <f>HYPERLINK("tel:+17142726562", "714-272-6562")</f>
        <v>714-272-6562</v>
      </c>
      <c r="J751" t="s">
        <v>3190</v>
      </c>
      <c r="K751" t="s">
        <v>3191</v>
      </c>
      <c r="M751">
        <v>7142726562</v>
      </c>
    </row>
    <row r="752" spans="1:13" x14ac:dyDescent="0.25">
      <c r="A752">
        <v>1975104968</v>
      </c>
      <c r="B752" t="s">
        <v>3192</v>
      </c>
      <c r="C752">
        <v>419000</v>
      </c>
      <c r="D752" t="s">
        <v>3193</v>
      </c>
      <c r="E752" t="s">
        <v>3194</v>
      </c>
      <c r="F752">
        <v>4</v>
      </c>
      <c r="I752" t="str">
        <f>HYPERLINK("tel:+17142901563", "714-290-1563")</f>
        <v>714-290-1563</v>
      </c>
      <c r="J752" t="s">
        <v>3195</v>
      </c>
      <c r="K752" t="s">
        <v>306</v>
      </c>
      <c r="M752">
        <v>7142901563</v>
      </c>
    </row>
    <row r="753" spans="1:13" x14ac:dyDescent="0.25">
      <c r="A753">
        <v>1817879957</v>
      </c>
      <c r="B753" t="s">
        <v>3196</v>
      </c>
      <c r="C753">
        <v>449000</v>
      </c>
      <c r="D753" t="s">
        <v>3197</v>
      </c>
      <c r="E753" t="s">
        <v>3198</v>
      </c>
      <c r="F753">
        <v>4</v>
      </c>
      <c r="I753" t="str">
        <f>HYPERLINK("tel:+17143178866", "714-317-8866")</f>
        <v>714-317-8866</v>
      </c>
      <c r="J753" t="s">
        <v>3199</v>
      </c>
      <c r="K753" t="s">
        <v>556</v>
      </c>
      <c r="M753">
        <v>7143178866</v>
      </c>
    </row>
    <row r="754" spans="1:13" x14ac:dyDescent="0.25">
      <c r="A754">
        <v>1969803299</v>
      </c>
      <c r="B754" t="s">
        <v>3200</v>
      </c>
      <c r="C754">
        <v>8495000</v>
      </c>
      <c r="D754" t="s">
        <v>3201</v>
      </c>
      <c r="E754" t="s">
        <v>3202</v>
      </c>
      <c r="F754">
        <v>4</v>
      </c>
      <c r="I754" t="str">
        <f>HYPERLINK("tel:+17143259055", "714-325-9055")</f>
        <v>714-325-9055</v>
      </c>
      <c r="J754" t="s">
        <v>3203</v>
      </c>
      <c r="K754" t="s">
        <v>3204</v>
      </c>
      <c r="M754">
        <v>7143259055</v>
      </c>
    </row>
    <row r="755" spans="1:13" x14ac:dyDescent="0.25">
      <c r="A755">
        <v>1961822549</v>
      </c>
      <c r="B755" t="s">
        <v>3205</v>
      </c>
      <c r="C755">
        <v>1078000</v>
      </c>
      <c r="D755" t="s">
        <v>3206</v>
      </c>
      <c r="E755" t="s">
        <v>3207</v>
      </c>
      <c r="F755">
        <v>4</v>
      </c>
      <c r="I755" t="str">
        <f>HYPERLINK("tel:+17143286342", "714-328-6342")</f>
        <v>714-328-6342</v>
      </c>
      <c r="J755" t="s">
        <v>3208</v>
      </c>
      <c r="K755" t="s">
        <v>3209</v>
      </c>
      <c r="M755">
        <v>7143286342</v>
      </c>
    </row>
    <row r="756" spans="1:13" x14ac:dyDescent="0.25">
      <c r="A756">
        <v>2844435153</v>
      </c>
      <c r="B756" t="s">
        <v>3210</v>
      </c>
      <c r="C756">
        <v>698888</v>
      </c>
      <c r="D756" t="s">
        <v>3211</v>
      </c>
      <c r="E756" t="s">
        <v>3212</v>
      </c>
      <c r="F756">
        <v>4</v>
      </c>
      <c r="I756" t="str">
        <f>HYPERLINK("tel:+17143350844", "714-335-0844")</f>
        <v>714-335-0844</v>
      </c>
      <c r="J756" t="s">
        <v>3213</v>
      </c>
      <c r="K756" t="s">
        <v>3154</v>
      </c>
      <c r="M756">
        <v>7143350844</v>
      </c>
    </row>
    <row r="757" spans="1:13" x14ac:dyDescent="0.25">
      <c r="A757">
        <v>2205270801</v>
      </c>
      <c r="B757" t="s">
        <v>3214</v>
      </c>
      <c r="C757">
        <v>699000</v>
      </c>
      <c r="D757" t="s">
        <v>3215</v>
      </c>
      <c r="E757" t="s">
        <v>3216</v>
      </c>
      <c r="F757">
        <v>4</v>
      </c>
      <c r="I757" t="str">
        <f>HYPERLINK("tel:+17143422552", "714-342-2552")</f>
        <v>714-342-2552</v>
      </c>
      <c r="J757" t="s">
        <v>3217</v>
      </c>
      <c r="K757" t="s">
        <v>3218</v>
      </c>
      <c r="M757">
        <v>7143422552</v>
      </c>
    </row>
    <row r="758" spans="1:13" x14ac:dyDescent="0.25">
      <c r="A758">
        <v>2128001566</v>
      </c>
      <c r="B758" t="s">
        <v>3219</v>
      </c>
      <c r="C758">
        <v>750000</v>
      </c>
      <c r="D758" t="s">
        <v>3220</v>
      </c>
      <c r="E758" t="s">
        <v>3221</v>
      </c>
      <c r="F758">
        <v>4</v>
      </c>
      <c r="I758" t="str">
        <f>HYPERLINK("tel:+17143504548", "714-350-4548")</f>
        <v>714-350-4548</v>
      </c>
      <c r="J758" t="s">
        <v>3222</v>
      </c>
      <c r="K758" t="s">
        <v>306</v>
      </c>
      <c r="M758">
        <v>7143504548</v>
      </c>
    </row>
    <row r="759" spans="1:13" x14ac:dyDescent="0.25">
      <c r="A759">
        <v>2237872204</v>
      </c>
      <c r="B759" t="s">
        <v>3223</v>
      </c>
      <c r="C759">
        <v>1749900</v>
      </c>
      <c r="D759" t="s">
        <v>3224</v>
      </c>
      <c r="E759" t="s">
        <v>3225</v>
      </c>
      <c r="F759">
        <v>4</v>
      </c>
      <c r="I759" t="str">
        <f>HYPERLINK("tel:+17143508046", "714-350-8046")</f>
        <v>714-350-8046</v>
      </c>
      <c r="J759" t="s">
        <v>3226</v>
      </c>
      <c r="K759" t="s">
        <v>3227</v>
      </c>
      <c r="M759">
        <v>7143508046</v>
      </c>
    </row>
    <row r="760" spans="1:13" x14ac:dyDescent="0.25">
      <c r="A760">
        <v>2544415548</v>
      </c>
      <c r="B760" t="s">
        <v>3228</v>
      </c>
      <c r="C760">
        <v>1300000</v>
      </c>
      <c r="D760" t="s">
        <v>3229</v>
      </c>
      <c r="E760" t="s">
        <v>3230</v>
      </c>
      <c r="F760">
        <v>4</v>
      </c>
      <c r="I760" t="str">
        <f>HYPERLINK("tel:+17143563573", "714-356-3573")</f>
        <v>714-356-3573</v>
      </c>
      <c r="J760" t="s">
        <v>3231</v>
      </c>
      <c r="K760" t="s">
        <v>3232</v>
      </c>
      <c r="M760">
        <v>7143563573</v>
      </c>
    </row>
    <row r="761" spans="1:13" x14ac:dyDescent="0.25">
      <c r="A761">
        <v>2115935654</v>
      </c>
      <c r="B761" t="s">
        <v>3233</v>
      </c>
      <c r="C761">
        <v>1850000</v>
      </c>
      <c r="D761" t="s">
        <v>3234</v>
      </c>
      <c r="E761" t="s">
        <v>3235</v>
      </c>
      <c r="F761">
        <v>4</v>
      </c>
      <c r="I761" t="str">
        <f>HYPERLINK("tel:+17143624884", "714-362-4884")</f>
        <v>714-362-4884</v>
      </c>
      <c r="J761" t="s">
        <v>3236</v>
      </c>
      <c r="K761" t="s">
        <v>234</v>
      </c>
      <c r="M761">
        <v>7143624884</v>
      </c>
    </row>
    <row r="762" spans="1:13" x14ac:dyDescent="0.25">
      <c r="A762">
        <v>9392503244</v>
      </c>
      <c r="B762" t="s">
        <v>3237</v>
      </c>
      <c r="C762">
        <v>265000</v>
      </c>
      <c r="D762" t="s">
        <v>3238</v>
      </c>
      <c r="E762" t="s">
        <v>3239</v>
      </c>
      <c r="F762">
        <v>4</v>
      </c>
      <c r="I762" t="str">
        <f>HYPERLINK("tel:+17143656152", "714-365-6152")</f>
        <v>714-365-6152</v>
      </c>
      <c r="J762" t="s">
        <v>3240</v>
      </c>
      <c r="K762" t="s">
        <v>490</v>
      </c>
      <c r="M762">
        <v>7143656152</v>
      </c>
    </row>
    <row r="763" spans="1:13" x14ac:dyDescent="0.25">
      <c r="A763">
        <v>2734801899</v>
      </c>
      <c r="B763" t="s">
        <v>3241</v>
      </c>
      <c r="C763">
        <v>165000</v>
      </c>
      <c r="D763" t="s">
        <v>3242</v>
      </c>
      <c r="E763" t="s">
        <v>3243</v>
      </c>
      <c r="F763">
        <v>4</v>
      </c>
      <c r="I763" t="str">
        <f>HYPERLINK("tel:+17144020084", "714-402-0084")</f>
        <v>714-402-0084</v>
      </c>
      <c r="J763" t="s">
        <v>3244</v>
      </c>
      <c r="K763" t="s">
        <v>158</v>
      </c>
      <c r="M763">
        <v>7144020084</v>
      </c>
    </row>
    <row r="764" spans="1:13" x14ac:dyDescent="0.25">
      <c r="A764">
        <v>1303866744</v>
      </c>
      <c r="B764" t="s">
        <v>3166</v>
      </c>
      <c r="C764">
        <v>1249000</v>
      </c>
      <c r="D764" t="s">
        <v>3167</v>
      </c>
      <c r="E764" t="s">
        <v>3245</v>
      </c>
      <c r="F764">
        <v>4</v>
      </c>
      <c r="I764" t="str">
        <f>HYPERLINK("tel:+17144033347", "714-403-3347")</f>
        <v>714-403-3347</v>
      </c>
      <c r="J764" t="s">
        <v>3246</v>
      </c>
      <c r="K764" t="s">
        <v>306</v>
      </c>
      <c r="M764">
        <v>7144033347</v>
      </c>
    </row>
    <row r="765" spans="1:13" x14ac:dyDescent="0.25">
      <c r="A765">
        <v>2311954113</v>
      </c>
      <c r="B765" t="s">
        <v>3247</v>
      </c>
      <c r="C765">
        <v>295000</v>
      </c>
      <c r="D765" t="s">
        <v>3248</v>
      </c>
      <c r="E765" t="s">
        <v>3249</v>
      </c>
      <c r="F765">
        <v>4</v>
      </c>
      <c r="I765" t="str">
        <f>HYPERLINK("tel:+17144047117", "714-404-7117")</f>
        <v>714-404-7117</v>
      </c>
      <c r="J765" t="s">
        <v>3250</v>
      </c>
      <c r="K765" t="s">
        <v>306</v>
      </c>
      <c r="M765">
        <v>7144047117</v>
      </c>
    </row>
    <row r="766" spans="1:13" x14ac:dyDescent="0.25">
      <c r="A766">
        <v>2996416855</v>
      </c>
      <c r="B766" t="s">
        <v>3251</v>
      </c>
      <c r="C766">
        <v>1099000</v>
      </c>
      <c r="D766" t="s">
        <v>3252</v>
      </c>
      <c r="E766" t="s">
        <v>3253</v>
      </c>
      <c r="F766">
        <v>4</v>
      </c>
      <c r="I766" t="str">
        <f>HYPERLINK("tel:+17144188834", "714-418-8834")</f>
        <v>714-418-8834</v>
      </c>
      <c r="J766" t="s">
        <v>3254</v>
      </c>
      <c r="K766" t="s">
        <v>3255</v>
      </c>
      <c r="M766">
        <v>7144188834</v>
      </c>
    </row>
    <row r="767" spans="1:13" x14ac:dyDescent="0.25">
      <c r="A767">
        <v>2952772597</v>
      </c>
      <c r="B767" t="s">
        <v>3256</v>
      </c>
      <c r="C767">
        <v>1450000</v>
      </c>
      <c r="D767" t="s">
        <v>3257</v>
      </c>
      <c r="E767" t="s">
        <v>3258</v>
      </c>
      <c r="F767">
        <v>4</v>
      </c>
      <c r="I767" t="str">
        <f>HYPERLINK("tel:+17144203664", "714-420-3664")</f>
        <v>714-420-3664</v>
      </c>
      <c r="J767" t="s">
        <v>3259</v>
      </c>
      <c r="K767" t="s">
        <v>24</v>
      </c>
      <c r="M767">
        <v>7144203664</v>
      </c>
    </row>
    <row r="768" spans="1:13" x14ac:dyDescent="0.25">
      <c r="A768">
        <v>1612192374</v>
      </c>
      <c r="B768" t="s">
        <v>3260</v>
      </c>
      <c r="C768">
        <v>1200000</v>
      </c>
      <c r="D768" t="s">
        <v>3261</v>
      </c>
      <c r="E768" t="s">
        <v>3262</v>
      </c>
      <c r="F768">
        <v>4</v>
      </c>
      <c r="I768" t="str">
        <f>HYPERLINK("tel:+17144687363", "714-468-7363")</f>
        <v>714-468-7363</v>
      </c>
      <c r="J768" t="s">
        <v>3263</v>
      </c>
      <c r="K768" t="s">
        <v>3264</v>
      </c>
      <c r="M768">
        <v>7144687363</v>
      </c>
    </row>
    <row r="769" spans="1:13" x14ac:dyDescent="0.25">
      <c r="A769">
        <v>2723377976</v>
      </c>
      <c r="B769" t="s">
        <v>3265</v>
      </c>
      <c r="C769">
        <v>2999000</v>
      </c>
      <c r="D769" t="s">
        <v>3266</v>
      </c>
      <c r="E769" t="s">
        <v>3267</v>
      </c>
      <c r="F769">
        <v>4</v>
      </c>
      <c r="I769" t="str">
        <f>HYPERLINK("tel:+17144698090", "714-469-8090")</f>
        <v>714-469-8090</v>
      </c>
      <c r="J769" t="s">
        <v>3268</v>
      </c>
      <c r="K769" t="s">
        <v>690</v>
      </c>
      <c r="M769">
        <v>7144698090</v>
      </c>
    </row>
    <row r="770" spans="1:13" x14ac:dyDescent="0.25">
      <c r="A770">
        <v>1796270968</v>
      </c>
      <c r="B770" t="s">
        <v>3269</v>
      </c>
      <c r="C770">
        <v>1249000</v>
      </c>
      <c r="D770" t="s">
        <v>3270</v>
      </c>
      <c r="E770" t="s">
        <v>3271</v>
      </c>
      <c r="F770">
        <v>4</v>
      </c>
      <c r="I770" t="str">
        <f>HYPERLINK("tel:+17144730777", "714-473-0777")</f>
        <v>714-473-0777</v>
      </c>
      <c r="J770" t="s">
        <v>3272</v>
      </c>
      <c r="K770" t="s">
        <v>2113</v>
      </c>
      <c r="M770">
        <v>7144730777</v>
      </c>
    </row>
    <row r="771" spans="1:13" x14ac:dyDescent="0.25">
      <c r="A771">
        <v>1014377598</v>
      </c>
      <c r="B771" t="s">
        <v>3273</v>
      </c>
      <c r="C771">
        <v>899000</v>
      </c>
      <c r="D771" t="s">
        <v>3274</v>
      </c>
      <c r="E771" t="s">
        <v>3275</v>
      </c>
      <c r="F771">
        <v>4</v>
      </c>
      <c r="I771" t="str">
        <f>HYPERLINK("tel:+17144929546", "714-492-9546")</f>
        <v>714-492-9546</v>
      </c>
      <c r="J771" t="s">
        <v>3276</v>
      </c>
      <c r="K771" t="s">
        <v>63</v>
      </c>
      <c r="M771">
        <v>7144929546</v>
      </c>
    </row>
    <row r="772" spans="1:13" x14ac:dyDescent="0.25">
      <c r="A772">
        <v>2999860302</v>
      </c>
      <c r="B772" t="s">
        <v>2169</v>
      </c>
      <c r="C772">
        <v>1425000</v>
      </c>
      <c r="D772" t="s">
        <v>2170</v>
      </c>
      <c r="E772" t="s">
        <v>3277</v>
      </c>
      <c r="F772">
        <v>4</v>
      </c>
      <c r="I772" t="str">
        <f>HYPERLINK("tel:+17144969490", "714-496-9490")</f>
        <v>714-496-9490</v>
      </c>
      <c r="J772" t="s">
        <v>3278</v>
      </c>
      <c r="K772" t="s">
        <v>68</v>
      </c>
      <c r="M772">
        <v>7144969490</v>
      </c>
    </row>
    <row r="773" spans="1:13" x14ac:dyDescent="0.25">
      <c r="A773">
        <v>1552031723</v>
      </c>
      <c r="B773" t="s">
        <v>3279</v>
      </c>
      <c r="C773">
        <v>975000</v>
      </c>
      <c r="D773" t="s">
        <v>3280</v>
      </c>
      <c r="E773" t="s">
        <v>3281</v>
      </c>
      <c r="F773">
        <v>4</v>
      </c>
      <c r="I773" t="str">
        <f>HYPERLINK("tel:+17145840428", "714-584-0428")</f>
        <v>714-584-0428</v>
      </c>
      <c r="J773" t="s">
        <v>3282</v>
      </c>
      <c r="K773" t="s">
        <v>3283</v>
      </c>
      <c r="M773">
        <v>7145840428</v>
      </c>
    </row>
    <row r="774" spans="1:13" x14ac:dyDescent="0.25">
      <c r="A774">
        <v>9336176488</v>
      </c>
      <c r="B774" t="s">
        <v>3021</v>
      </c>
      <c r="C774">
        <v>1995000</v>
      </c>
      <c r="D774" t="s">
        <v>3022</v>
      </c>
      <c r="E774" t="s">
        <v>3284</v>
      </c>
      <c r="F774">
        <v>4</v>
      </c>
      <c r="I774" t="str">
        <f>HYPERLINK("tel:+17145881017", "714-588-1017")</f>
        <v>714-588-1017</v>
      </c>
      <c r="J774" t="s">
        <v>3285</v>
      </c>
      <c r="K774" t="s">
        <v>3025</v>
      </c>
      <c r="M774">
        <v>7145881017</v>
      </c>
    </row>
    <row r="775" spans="1:13" x14ac:dyDescent="0.25">
      <c r="A775">
        <v>2171481749</v>
      </c>
      <c r="B775" t="s">
        <v>3286</v>
      </c>
      <c r="C775">
        <v>899000</v>
      </c>
      <c r="D775" t="s">
        <v>3287</v>
      </c>
      <c r="E775" t="s">
        <v>3288</v>
      </c>
      <c r="F775">
        <v>4</v>
      </c>
      <c r="I775" t="str">
        <f>HYPERLINK("tel:+17146063376", "714-606-3376")</f>
        <v>714-606-3376</v>
      </c>
      <c r="J775" t="s">
        <v>3289</v>
      </c>
      <c r="K775" t="s">
        <v>1506</v>
      </c>
      <c r="M775">
        <v>7146063376</v>
      </c>
    </row>
    <row r="776" spans="1:13" x14ac:dyDescent="0.25">
      <c r="A776">
        <v>2356394681</v>
      </c>
      <c r="B776" t="s">
        <v>3290</v>
      </c>
      <c r="C776">
        <v>229000</v>
      </c>
      <c r="D776" t="s">
        <v>3291</v>
      </c>
      <c r="E776" t="s">
        <v>3292</v>
      </c>
      <c r="F776">
        <v>4</v>
      </c>
      <c r="I776" t="str">
        <f>HYPERLINK("tel:+17146069230", "714-606-9230")</f>
        <v>714-606-9230</v>
      </c>
      <c r="J776" t="s">
        <v>3293</v>
      </c>
      <c r="K776" t="s">
        <v>3255</v>
      </c>
      <c r="M776">
        <v>7146069230</v>
      </c>
    </row>
    <row r="777" spans="1:13" x14ac:dyDescent="0.25">
      <c r="A777">
        <v>9413154380</v>
      </c>
      <c r="B777" t="s">
        <v>3294</v>
      </c>
      <c r="C777">
        <v>224888</v>
      </c>
      <c r="D777" t="s">
        <v>3295</v>
      </c>
      <c r="E777" t="s">
        <v>3296</v>
      </c>
      <c r="F777">
        <v>4</v>
      </c>
      <c r="I777" t="str">
        <f>HYPERLINK("tel:+17146124562", "714-612-4562")</f>
        <v>714-612-4562</v>
      </c>
      <c r="J777" t="s">
        <v>3297</v>
      </c>
      <c r="K777" t="s">
        <v>2990</v>
      </c>
      <c r="M777">
        <v>7146124562</v>
      </c>
    </row>
    <row r="778" spans="1:13" x14ac:dyDescent="0.25">
      <c r="A778">
        <v>2558981150</v>
      </c>
      <c r="B778" t="s">
        <v>264</v>
      </c>
      <c r="C778">
        <v>234000</v>
      </c>
      <c r="D778" t="s">
        <v>265</v>
      </c>
      <c r="E778" t="s">
        <v>3298</v>
      </c>
      <c r="F778">
        <v>4</v>
      </c>
      <c r="I778" t="str">
        <f>HYPERLINK("tel:+17146239769", "714-623-9769")</f>
        <v>714-623-9769</v>
      </c>
      <c r="J778" t="s">
        <v>3299</v>
      </c>
      <c r="K778" t="s">
        <v>3300</v>
      </c>
      <c r="M778">
        <v>7146239769</v>
      </c>
    </row>
    <row r="779" spans="1:13" x14ac:dyDescent="0.25">
      <c r="A779">
        <v>1822964572</v>
      </c>
      <c r="B779" t="s">
        <v>3301</v>
      </c>
      <c r="C779">
        <v>1399000</v>
      </c>
      <c r="D779" t="s">
        <v>3302</v>
      </c>
      <c r="E779" t="s">
        <v>3303</v>
      </c>
      <c r="F779">
        <v>4</v>
      </c>
      <c r="I779" t="str">
        <f>HYPERLINK("tel:+17146719100", "714-671-9100")</f>
        <v>714-671-9100</v>
      </c>
      <c r="J779" t="s">
        <v>3304</v>
      </c>
      <c r="K779" t="s">
        <v>3305</v>
      </c>
      <c r="M779">
        <v>7146719100</v>
      </c>
    </row>
    <row r="780" spans="1:13" x14ac:dyDescent="0.25">
      <c r="A780">
        <v>2926941705</v>
      </c>
      <c r="B780" t="s">
        <v>3306</v>
      </c>
      <c r="C780">
        <v>779000</v>
      </c>
      <c r="D780" t="s">
        <v>3307</v>
      </c>
      <c r="E780" t="s">
        <v>3308</v>
      </c>
      <c r="F780">
        <v>4</v>
      </c>
      <c r="I780" t="str">
        <f>HYPERLINK("tel:+17146862421", "714-686-2421")</f>
        <v>714-686-2421</v>
      </c>
      <c r="J780" t="s">
        <v>3309</v>
      </c>
      <c r="K780" t="s">
        <v>68</v>
      </c>
      <c r="M780">
        <v>7146862421</v>
      </c>
    </row>
    <row r="781" spans="1:13" x14ac:dyDescent="0.25">
      <c r="A781">
        <v>1558363265</v>
      </c>
      <c r="B781" t="s">
        <v>3310</v>
      </c>
      <c r="C781">
        <v>649000</v>
      </c>
      <c r="D781" t="s">
        <v>3311</v>
      </c>
      <c r="E781" t="s">
        <v>3312</v>
      </c>
      <c r="F781">
        <v>4</v>
      </c>
      <c r="I781" t="str">
        <f>HYPERLINK("tel:+17146901533", "714-690-1533")</f>
        <v>714-690-1533</v>
      </c>
      <c r="J781" t="s">
        <v>3313</v>
      </c>
      <c r="K781" t="s">
        <v>3314</v>
      </c>
      <c r="M781">
        <v>7146901533</v>
      </c>
    </row>
    <row r="782" spans="1:13" x14ac:dyDescent="0.25">
      <c r="A782">
        <v>2948943652</v>
      </c>
      <c r="B782" t="s">
        <v>3315</v>
      </c>
      <c r="C782">
        <v>1200000</v>
      </c>
      <c r="D782" t="s">
        <v>3316</v>
      </c>
      <c r="E782" t="s">
        <v>3317</v>
      </c>
      <c r="F782">
        <v>4</v>
      </c>
      <c r="I782" t="str">
        <f>HYPERLINK("tel:+17147211035", "714-721-1035")</f>
        <v>714-721-1035</v>
      </c>
      <c r="J782" t="s">
        <v>3318</v>
      </c>
      <c r="K782" t="s">
        <v>306</v>
      </c>
      <c r="M782">
        <v>7147211035</v>
      </c>
    </row>
    <row r="783" spans="1:13" x14ac:dyDescent="0.25">
      <c r="A783">
        <v>2720436841</v>
      </c>
      <c r="B783" t="s">
        <v>3319</v>
      </c>
      <c r="C783">
        <v>1395000</v>
      </c>
      <c r="D783" t="s">
        <v>3320</v>
      </c>
      <c r="E783" t="s">
        <v>3321</v>
      </c>
      <c r="F783">
        <v>4</v>
      </c>
      <c r="I783" t="str">
        <f>HYPERLINK("tel:+17147472117", "714-747-2117")</f>
        <v>714-747-2117</v>
      </c>
      <c r="J783" t="s">
        <v>3322</v>
      </c>
      <c r="K783" t="s">
        <v>1090</v>
      </c>
      <c r="M783">
        <v>7147472117</v>
      </c>
    </row>
    <row r="784" spans="1:13" x14ac:dyDescent="0.25">
      <c r="A784">
        <v>2442978875</v>
      </c>
      <c r="B784" t="s">
        <v>3323</v>
      </c>
      <c r="C784">
        <v>749000</v>
      </c>
      <c r="D784" t="s">
        <v>3324</v>
      </c>
      <c r="E784" t="s">
        <v>3325</v>
      </c>
      <c r="F784">
        <v>4</v>
      </c>
      <c r="I784" t="str">
        <f>HYPERLINK("tel:+17147473884", "714-747-3884")</f>
        <v>714-747-3884</v>
      </c>
      <c r="J784" t="s">
        <v>3326</v>
      </c>
      <c r="K784" t="s">
        <v>3327</v>
      </c>
      <c r="M784">
        <v>7147473884</v>
      </c>
    </row>
    <row r="785" spans="1:13" x14ac:dyDescent="0.25">
      <c r="A785">
        <v>2918176504</v>
      </c>
      <c r="B785" t="s">
        <v>3328</v>
      </c>
      <c r="C785">
        <v>8800000</v>
      </c>
      <c r="D785" t="s">
        <v>3329</v>
      </c>
      <c r="E785" t="s">
        <v>3330</v>
      </c>
      <c r="F785">
        <v>4</v>
      </c>
      <c r="I785" t="str">
        <f>HYPERLINK("tel:+17147856125", "714-785-6125")</f>
        <v>714-785-6125</v>
      </c>
      <c r="J785" t="s">
        <v>3331</v>
      </c>
      <c r="K785" t="s">
        <v>306</v>
      </c>
      <c r="M785">
        <v>7147856125</v>
      </c>
    </row>
    <row r="786" spans="1:13" x14ac:dyDescent="0.25">
      <c r="A786">
        <v>1524949776</v>
      </c>
      <c r="B786" t="s">
        <v>3332</v>
      </c>
      <c r="C786">
        <v>1199000</v>
      </c>
      <c r="D786" t="s">
        <v>3333</v>
      </c>
      <c r="E786" t="s">
        <v>3334</v>
      </c>
      <c r="F786">
        <v>4</v>
      </c>
      <c r="I786" t="str">
        <f>HYPERLINK("tel:+17147915577", "714-791-5577")</f>
        <v>714-791-5577</v>
      </c>
      <c r="J786" t="s">
        <v>3335</v>
      </c>
      <c r="K786" t="s">
        <v>158</v>
      </c>
      <c r="M786">
        <v>7147915577</v>
      </c>
    </row>
    <row r="787" spans="1:13" x14ac:dyDescent="0.25">
      <c r="A787">
        <v>1317477220</v>
      </c>
      <c r="B787" t="s">
        <v>3336</v>
      </c>
      <c r="C787">
        <v>249900</v>
      </c>
      <c r="D787" t="s">
        <v>3337</v>
      </c>
      <c r="E787" t="s">
        <v>3338</v>
      </c>
      <c r="F787">
        <v>4</v>
      </c>
      <c r="I787" t="str">
        <f>HYPERLINK("tel:+17148003439", "714-800-3439")</f>
        <v>714-800-3439</v>
      </c>
      <c r="J787" t="s">
        <v>3339</v>
      </c>
      <c r="K787" t="s">
        <v>3340</v>
      </c>
      <c r="M787">
        <v>7148003439</v>
      </c>
    </row>
    <row r="788" spans="1:13" x14ac:dyDescent="0.25">
      <c r="A788">
        <v>2811474665</v>
      </c>
      <c r="B788" t="s">
        <v>3341</v>
      </c>
      <c r="C788">
        <v>2250000</v>
      </c>
      <c r="D788" t="s">
        <v>3342</v>
      </c>
      <c r="E788" t="s">
        <v>3343</v>
      </c>
      <c r="F788">
        <v>4</v>
      </c>
      <c r="I788" t="str">
        <f>HYPERLINK("tel:+17148129155", "714-812-9155")</f>
        <v>714-812-9155</v>
      </c>
      <c r="J788" t="s">
        <v>3344</v>
      </c>
      <c r="K788" t="s">
        <v>3345</v>
      </c>
      <c r="M788">
        <v>7148129155</v>
      </c>
    </row>
    <row r="789" spans="1:13" x14ac:dyDescent="0.25">
      <c r="A789">
        <v>2851601861</v>
      </c>
      <c r="B789" t="s">
        <v>3346</v>
      </c>
      <c r="C789">
        <v>1475000</v>
      </c>
      <c r="D789" t="s">
        <v>3347</v>
      </c>
      <c r="E789" t="s">
        <v>3348</v>
      </c>
      <c r="F789">
        <v>4</v>
      </c>
      <c r="I789" t="str">
        <f>HYPERLINK("tel:+17148634239", "714-863-4239")</f>
        <v>714-863-4239</v>
      </c>
      <c r="J789" t="s">
        <v>3349</v>
      </c>
      <c r="K789" t="s">
        <v>3350</v>
      </c>
      <c r="M789">
        <v>7148634239</v>
      </c>
    </row>
    <row r="790" spans="1:13" x14ac:dyDescent="0.25">
      <c r="A790">
        <v>1407998213</v>
      </c>
      <c r="B790" t="s">
        <v>3351</v>
      </c>
      <c r="C790">
        <v>80000</v>
      </c>
      <c r="D790" t="s">
        <v>3352</v>
      </c>
      <c r="E790" t="s">
        <v>3353</v>
      </c>
      <c r="F790">
        <v>4</v>
      </c>
      <c r="I790" t="str">
        <f>HYPERLINK("tel:+17148731174", "714-873-1174")</f>
        <v>714-873-1174</v>
      </c>
      <c r="J790" t="s">
        <v>3354</v>
      </c>
      <c r="K790" t="s">
        <v>3355</v>
      </c>
      <c r="M790">
        <v>7148731174</v>
      </c>
    </row>
    <row r="791" spans="1:13" x14ac:dyDescent="0.25">
      <c r="A791">
        <v>9366095500</v>
      </c>
      <c r="B791" t="s">
        <v>2109</v>
      </c>
      <c r="C791">
        <v>1495000</v>
      </c>
      <c r="D791" t="s">
        <v>2110</v>
      </c>
      <c r="E791" t="s">
        <v>3356</v>
      </c>
      <c r="F791">
        <v>4</v>
      </c>
      <c r="I791" t="str">
        <f>HYPERLINK("tel:+17149061127", "714-906-1127")</f>
        <v>714-906-1127</v>
      </c>
      <c r="J791" t="s">
        <v>3357</v>
      </c>
      <c r="K791" t="s">
        <v>2113</v>
      </c>
      <c r="M791">
        <v>7149061127</v>
      </c>
    </row>
    <row r="792" spans="1:13" x14ac:dyDescent="0.25">
      <c r="A792">
        <v>1524949776</v>
      </c>
      <c r="B792" t="s">
        <v>3332</v>
      </c>
      <c r="C792">
        <v>1199000</v>
      </c>
      <c r="D792" t="s">
        <v>3333</v>
      </c>
      <c r="E792" t="s">
        <v>3358</v>
      </c>
      <c r="F792">
        <v>4</v>
      </c>
      <c r="I792" t="str">
        <f>HYPERLINK("tel:+17149066070", "714-906-6070")</f>
        <v>714-906-6070</v>
      </c>
      <c r="J792" t="s">
        <v>3359</v>
      </c>
      <c r="K792" t="s">
        <v>158</v>
      </c>
      <c r="M792">
        <v>7149066070</v>
      </c>
    </row>
    <row r="793" spans="1:13" x14ac:dyDescent="0.25">
      <c r="A793">
        <v>1245933827</v>
      </c>
      <c r="B793" t="s">
        <v>3360</v>
      </c>
      <c r="C793">
        <v>890000</v>
      </c>
      <c r="D793" t="s">
        <v>3361</v>
      </c>
      <c r="E793" t="s">
        <v>3362</v>
      </c>
      <c r="F793">
        <v>4</v>
      </c>
      <c r="I793" t="str">
        <f>HYPERLINK("tel:+17149149600", "714-914-9600")</f>
        <v>714-914-9600</v>
      </c>
      <c r="J793" t="s">
        <v>3363</v>
      </c>
      <c r="K793" t="s">
        <v>3364</v>
      </c>
      <c r="M793">
        <v>7149149600</v>
      </c>
    </row>
    <row r="794" spans="1:13" x14ac:dyDescent="0.25">
      <c r="A794">
        <v>1259208542</v>
      </c>
      <c r="B794" t="s">
        <v>3365</v>
      </c>
      <c r="C794">
        <v>2399000</v>
      </c>
      <c r="D794" t="s">
        <v>3366</v>
      </c>
      <c r="E794" t="s">
        <v>3367</v>
      </c>
      <c r="F794">
        <v>4</v>
      </c>
      <c r="I794" t="str">
        <f>HYPERLINK("tel:+17149284682", "714-928-4682")</f>
        <v>714-928-4682</v>
      </c>
      <c r="J794" t="s">
        <v>3368</v>
      </c>
      <c r="K794" t="s">
        <v>24</v>
      </c>
      <c r="M794">
        <v>7149284682</v>
      </c>
    </row>
    <row r="795" spans="1:13" x14ac:dyDescent="0.25">
      <c r="A795">
        <v>1782227822</v>
      </c>
      <c r="B795" t="s">
        <v>3369</v>
      </c>
      <c r="C795">
        <v>699999</v>
      </c>
      <c r="D795" t="s">
        <v>3370</v>
      </c>
      <c r="E795" t="s">
        <v>3371</v>
      </c>
      <c r="F795">
        <v>4</v>
      </c>
      <c r="I795" t="str">
        <f>HYPERLINK("tel:+17149322411", "714-932-2411")</f>
        <v>714-932-2411</v>
      </c>
      <c r="J795" t="s">
        <v>3372</v>
      </c>
      <c r="K795" t="s">
        <v>1090</v>
      </c>
      <c r="M795">
        <v>7149322411</v>
      </c>
    </row>
    <row r="796" spans="1:13" x14ac:dyDescent="0.25">
      <c r="A796">
        <v>2237872204</v>
      </c>
      <c r="B796" t="s">
        <v>3223</v>
      </c>
      <c r="C796">
        <v>1749900</v>
      </c>
      <c r="D796" t="s">
        <v>3224</v>
      </c>
      <c r="E796" t="s">
        <v>3373</v>
      </c>
      <c r="F796">
        <v>4</v>
      </c>
      <c r="I796" t="str">
        <f>HYPERLINK("tel:+17149431976", "714-943-1976")</f>
        <v>714-943-1976</v>
      </c>
      <c r="J796" t="s">
        <v>3374</v>
      </c>
      <c r="K796" t="s">
        <v>3227</v>
      </c>
      <c r="M796">
        <v>7149431976</v>
      </c>
    </row>
    <row r="797" spans="1:13" x14ac:dyDescent="0.25">
      <c r="A797">
        <v>1021947659</v>
      </c>
      <c r="B797" t="s">
        <v>3375</v>
      </c>
      <c r="C797">
        <v>2100000</v>
      </c>
      <c r="D797" t="s">
        <v>3376</v>
      </c>
      <c r="E797" t="s">
        <v>3377</v>
      </c>
      <c r="F797">
        <v>4</v>
      </c>
      <c r="I797" t="str">
        <f>HYPERLINK("tel:+17149886339", "714-988-6339")</f>
        <v>714-988-6339</v>
      </c>
      <c r="J797" t="s">
        <v>3378</v>
      </c>
      <c r="K797" t="s">
        <v>3379</v>
      </c>
      <c r="M797">
        <v>7149886339</v>
      </c>
    </row>
    <row r="798" spans="1:13" x14ac:dyDescent="0.25">
      <c r="A798">
        <v>2511800572</v>
      </c>
      <c r="B798" t="s">
        <v>3380</v>
      </c>
      <c r="C798">
        <v>2845000</v>
      </c>
      <c r="D798" t="s">
        <v>3381</v>
      </c>
      <c r="E798" t="s">
        <v>3382</v>
      </c>
      <c r="F798">
        <v>4</v>
      </c>
      <c r="I798" t="str">
        <f>HYPERLINK("tel:+17149937005", "714-993-7005")</f>
        <v>714-993-7005</v>
      </c>
      <c r="J798" t="s">
        <v>3383</v>
      </c>
      <c r="K798" t="s">
        <v>3384</v>
      </c>
      <c r="M798">
        <v>7149937005</v>
      </c>
    </row>
    <row r="799" spans="1:13" x14ac:dyDescent="0.25">
      <c r="A799">
        <v>1195253090</v>
      </c>
      <c r="B799" t="s">
        <v>3385</v>
      </c>
      <c r="C799">
        <v>399999</v>
      </c>
      <c r="D799" t="s">
        <v>3386</v>
      </c>
      <c r="E799" t="s">
        <v>3387</v>
      </c>
      <c r="F799">
        <v>4</v>
      </c>
      <c r="I799" t="str">
        <f>HYPERLINK("tel:+17169986695", "716-998-6695")</f>
        <v>716-998-6695</v>
      </c>
      <c r="J799" t="s">
        <v>3388</v>
      </c>
      <c r="K799" t="s">
        <v>3389</v>
      </c>
      <c r="M799">
        <v>7169986695</v>
      </c>
    </row>
    <row r="800" spans="1:13" x14ac:dyDescent="0.25">
      <c r="A800">
        <v>1861583644</v>
      </c>
      <c r="B800" t="s">
        <v>3390</v>
      </c>
      <c r="C800">
        <v>2450000</v>
      </c>
      <c r="D800" t="s">
        <v>3391</v>
      </c>
      <c r="E800" t="s">
        <v>3392</v>
      </c>
      <c r="F800">
        <v>4</v>
      </c>
      <c r="I800" t="str">
        <f>HYPERLINK("tel:+17342761988", "734-276-1988")</f>
        <v>734-276-1988</v>
      </c>
      <c r="J800" t="s">
        <v>3393</v>
      </c>
      <c r="K800" t="s">
        <v>24</v>
      </c>
      <c r="M800">
        <v>7342761988</v>
      </c>
    </row>
    <row r="801" spans="1:13" x14ac:dyDescent="0.25">
      <c r="A801">
        <v>2820197005</v>
      </c>
      <c r="B801" t="s">
        <v>3394</v>
      </c>
      <c r="C801">
        <v>489000</v>
      </c>
      <c r="D801" t="s">
        <v>3395</v>
      </c>
      <c r="E801" t="s">
        <v>3396</v>
      </c>
      <c r="F801">
        <v>4</v>
      </c>
      <c r="I801" t="str">
        <f>HYPERLINK("tel:+17479003053", "747-900-3053")</f>
        <v>747-900-3053</v>
      </c>
      <c r="J801" t="s">
        <v>3397</v>
      </c>
      <c r="K801" t="s">
        <v>9</v>
      </c>
      <c r="M801">
        <v>7479003053</v>
      </c>
    </row>
    <row r="802" spans="1:13" x14ac:dyDescent="0.25">
      <c r="A802">
        <v>2952772597</v>
      </c>
      <c r="B802" t="s">
        <v>3256</v>
      </c>
      <c r="C802">
        <v>1450000</v>
      </c>
      <c r="D802" t="s">
        <v>3257</v>
      </c>
      <c r="E802" t="s">
        <v>3398</v>
      </c>
      <c r="F802">
        <v>4</v>
      </c>
      <c r="I802" t="str">
        <f>HYPERLINK("tel:+17605194811", "760-519-4811")</f>
        <v>760-519-4811</v>
      </c>
      <c r="J802" t="s">
        <v>3399</v>
      </c>
      <c r="K802" t="s">
        <v>24</v>
      </c>
      <c r="M802">
        <v>7605194811</v>
      </c>
    </row>
    <row r="803" spans="1:13" x14ac:dyDescent="0.25">
      <c r="A803">
        <v>2708856915</v>
      </c>
      <c r="B803" t="s">
        <v>3400</v>
      </c>
      <c r="C803">
        <v>495000</v>
      </c>
      <c r="D803" t="s">
        <v>3401</v>
      </c>
      <c r="E803" t="s">
        <v>3402</v>
      </c>
      <c r="F803">
        <v>4</v>
      </c>
      <c r="I803" t="str">
        <f>HYPERLINK("tel:+17605673942", "760-567-3942")</f>
        <v>760-567-3942</v>
      </c>
      <c r="J803" t="s">
        <v>3403</v>
      </c>
      <c r="K803" t="s">
        <v>3404</v>
      </c>
      <c r="M803">
        <v>7605673942</v>
      </c>
    </row>
    <row r="804" spans="1:13" x14ac:dyDescent="0.25">
      <c r="A804">
        <v>2889943194</v>
      </c>
      <c r="B804" t="s">
        <v>3405</v>
      </c>
      <c r="C804">
        <v>105000</v>
      </c>
      <c r="D804" t="s">
        <v>3406</v>
      </c>
      <c r="E804" t="s">
        <v>3407</v>
      </c>
      <c r="F804">
        <v>4</v>
      </c>
      <c r="I804" t="str">
        <f>HYPERLINK("tel:+17608447500", "760-844-7500")</f>
        <v>760-844-7500</v>
      </c>
      <c r="J804" t="s">
        <v>3408</v>
      </c>
      <c r="K804" t="s">
        <v>3409</v>
      </c>
      <c r="M804">
        <v>7608447500</v>
      </c>
    </row>
    <row r="805" spans="1:13" x14ac:dyDescent="0.25">
      <c r="A805">
        <v>2057910779</v>
      </c>
      <c r="B805" t="s">
        <v>3410</v>
      </c>
      <c r="C805">
        <v>2975000</v>
      </c>
      <c r="D805" t="s">
        <v>3411</v>
      </c>
      <c r="E805" t="s">
        <v>3412</v>
      </c>
      <c r="F805">
        <v>4</v>
      </c>
      <c r="I805" t="str">
        <f>HYPERLINK("tel:+18125459396", "812-545-9396")</f>
        <v>812-545-9396</v>
      </c>
      <c r="J805" t="s">
        <v>3413</v>
      </c>
      <c r="K805" t="s">
        <v>3414</v>
      </c>
      <c r="M805">
        <v>8125459396</v>
      </c>
    </row>
    <row r="806" spans="1:13" x14ac:dyDescent="0.25">
      <c r="A806">
        <v>9923767443</v>
      </c>
      <c r="B806" t="s">
        <v>3415</v>
      </c>
      <c r="C806">
        <v>2150000</v>
      </c>
      <c r="D806" t="s">
        <v>3416</v>
      </c>
      <c r="E806" t="s">
        <v>3417</v>
      </c>
      <c r="F806">
        <v>4</v>
      </c>
      <c r="I806" t="str">
        <f>HYPERLINK("tel:+18166669999", "816-666-9999")</f>
        <v>816-666-9999</v>
      </c>
      <c r="J806" t="s">
        <v>3418</v>
      </c>
      <c r="K806" t="s">
        <v>3419</v>
      </c>
      <c r="M806">
        <v>8166669999</v>
      </c>
    </row>
    <row r="807" spans="1:13" x14ac:dyDescent="0.25">
      <c r="A807">
        <v>1137653365</v>
      </c>
      <c r="B807" t="s">
        <v>3420</v>
      </c>
      <c r="C807">
        <v>319000</v>
      </c>
      <c r="D807" t="s">
        <v>3421</v>
      </c>
      <c r="E807" t="s">
        <v>3422</v>
      </c>
      <c r="F807">
        <v>4</v>
      </c>
      <c r="I807" t="str">
        <f>HYPERLINK("tel:+18182097770", "818-209-7770")</f>
        <v>818-209-7770</v>
      </c>
      <c r="J807" t="s">
        <v>3423</v>
      </c>
      <c r="K807" t="s">
        <v>3424</v>
      </c>
      <c r="M807">
        <v>8182097770</v>
      </c>
    </row>
    <row r="808" spans="1:13" x14ac:dyDescent="0.25">
      <c r="A808">
        <v>1737549992</v>
      </c>
      <c r="B808" t="s">
        <v>3425</v>
      </c>
      <c r="C808">
        <v>479999</v>
      </c>
      <c r="D808" t="s">
        <v>3426</v>
      </c>
      <c r="E808" t="s">
        <v>3427</v>
      </c>
      <c r="F808">
        <v>4</v>
      </c>
      <c r="I808" t="str">
        <f>HYPERLINK("tel:+18182721669", "818-272-1669")</f>
        <v>818-272-1669</v>
      </c>
      <c r="J808" t="s">
        <v>3428</v>
      </c>
      <c r="K808" t="s">
        <v>3429</v>
      </c>
      <c r="M808">
        <v>8182721669</v>
      </c>
    </row>
    <row r="809" spans="1:13" x14ac:dyDescent="0.25">
      <c r="A809">
        <v>2243085247</v>
      </c>
      <c r="B809" t="s">
        <v>3430</v>
      </c>
      <c r="C809">
        <v>1800000</v>
      </c>
      <c r="D809" t="s">
        <v>3431</v>
      </c>
      <c r="E809" t="s">
        <v>3432</v>
      </c>
      <c r="F809">
        <v>4</v>
      </c>
      <c r="I809" t="str">
        <f>HYPERLINK("tel:+18182825762", "818-282-5762")</f>
        <v>818-282-5762</v>
      </c>
      <c r="J809" t="s">
        <v>3433</v>
      </c>
      <c r="K809" t="s">
        <v>87</v>
      </c>
      <c r="M809">
        <v>8182825762</v>
      </c>
    </row>
    <row r="810" spans="1:13" x14ac:dyDescent="0.25">
      <c r="A810">
        <v>1721278838</v>
      </c>
      <c r="B810" t="s">
        <v>3434</v>
      </c>
      <c r="C810">
        <v>599000</v>
      </c>
      <c r="D810" t="s">
        <v>3435</v>
      </c>
      <c r="E810" t="s">
        <v>3436</v>
      </c>
      <c r="F810">
        <v>4</v>
      </c>
      <c r="I810" t="str">
        <f>HYPERLINK("tel:+18182853724", "818-285-3724")</f>
        <v>818-285-3724</v>
      </c>
      <c r="J810" t="s">
        <v>3437</v>
      </c>
      <c r="K810" t="s">
        <v>117</v>
      </c>
      <c r="M810">
        <v>8182853724</v>
      </c>
    </row>
    <row r="811" spans="1:13" x14ac:dyDescent="0.25">
      <c r="A811">
        <v>2719586480</v>
      </c>
      <c r="B811" t="s">
        <v>3438</v>
      </c>
      <c r="C811">
        <v>1525000</v>
      </c>
      <c r="D811" t="s">
        <v>3439</v>
      </c>
      <c r="E811" t="s">
        <v>3440</v>
      </c>
      <c r="F811">
        <v>4</v>
      </c>
      <c r="I811" t="str">
        <f>HYPERLINK("tel:+18183216490", "818-321-6490")</f>
        <v>818-321-6490</v>
      </c>
      <c r="J811" t="s">
        <v>3441</v>
      </c>
      <c r="K811" t="s">
        <v>2550</v>
      </c>
      <c r="M811">
        <v>8183216490</v>
      </c>
    </row>
    <row r="812" spans="1:13" x14ac:dyDescent="0.25">
      <c r="A812">
        <v>2418487815</v>
      </c>
      <c r="B812" t="s">
        <v>3442</v>
      </c>
      <c r="C812">
        <v>539000</v>
      </c>
      <c r="D812" t="s">
        <v>3443</v>
      </c>
      <c r="E812" t="s">
        <v>3444</v>
      </c>
      <c r="F812">
        <v>4</v>
      </c>
      <c r="I812" t="str">
        <f>HYPERLINK("tel:+18183260945", "818-326-0945")</f>
        <v>818-326-0945</v>
      </c>
      <c r="J812" t="s">
        <v>3445</v>
      </c>
      <c r="K812" t="s">
        <v>117</v>
      </c>
      <c r="M812">
        <v>8183260945</v>
      </c>
    </row>
    <row r="813" spans="1:13" x14ac:dyDescent="0.25">
      <c r="A813">
        <v>1926771927</v>
      </c>
      <c r="B813" t="s">
        <v>3446</v>
      </c>
      <c r="C813">
        <v>3650000</v>
      </c>
      <c r="D813" t="s">
        <v>3447</v>
      </c>
      <c r="E813" t="s">
        <v>3448</v>
      </c>
      <c r="F813">
        <v>4</v>
      </c>
      <c r="I813" t="str">
        <f>HYPERLINK("tel:+18183304227", "818-330-4227")</f>
        <v>818-330-4227</v>
      </c>
      <c r="J813" t="s">
        <v>3449</v>
      </c>
      <c r="K813" t="s">
        <v>82</v>
      </c>
      <c r="M813">
        <v>8183304227</v>
      </c>
    </row>
    <row r="814" spans="1:13" x14ac:dyDescent="0.25">
      <c r="A814">
        <v>1697886954</v>
      </c>
      <c r="B814" t="s">
        <v>3450</v>
      </c>
      <c r="C814">
        <v>698888</v>
      </c>
      <c r="D814" t="s">
        <v>3451</v>
      </c>
      <c r="E814" t="s">
        <v>3452</v>
      </c>
      <c r="F814">
        <v>4</v>
      </c>
      <c r="I814" t="str">
        <f>HYPERLINK("tel:+18183552700", "818-355-2700")</f>
        <v>818-355-2700</v>
      </c>
      <c r="J814" t="s">
        <v>3453</v>
      </c>
      <c r="K814" t="s">
        <v>168</v>
      </c>
      <c r="M814">
        <v>8183552700</v>
      </c>
    </row>
    <row r="815" spans="1:13" x14ac:dyDescent="0.25">
      <c r="A815">
        <v>1021794407</v>
      </c>
      <c r="B815" t="s">
        <v>3454</v>
      </c>
      <c r="C815">
        <v>1650000</v>
      </c>
      <c r="D815" t="s">
        <v>3455</v>
      </c>
      <c r="E815" t="s">
        <v>3456</v>
      </c>
      <c r="F815">
        <v>4</v>
      </c>
      <c r="I815" t="str">
        <f>HYPERLINK("tel:+18183578441", "818-357-8441")</f>
        <v>818-357-8441</v>
      </c>
      <c r="J815" t="s">
        <v>3457</v>
      </c>
      <c r="K815" t="s">
        <v>3458</v>
      </c>
      <c r="M815">
        <v>8183578441</v>
      </c>
    </row>
    <row r="816" spans="1:13" x14ac:dyDescent="0.25">
      <c r="A816">
        <v>1302923602</v>
      </c>
      <c r="B816" t="s">
        <v>3459</v>
      </c>
      <c r="C816">
        <v>1049950</v>
      </c>
      <c r="D816" t="s">
        <v>3460</v>
      </c>
      <c r="E816" t="s">
        <v>3461</v>
      </c>
      <c r="F816">
        <v>4</v>
      </c>
      <c r="I816" t="str">
        <f>HYPERLINK("tel:+18183783828", "818-378-3828")</f>
        <v>818-378-3828</v>
      </c>
      <c r="J816" t="s">
        <v>3462</v>
      </c>
      <c r="K816" t="s">
        <v>1568</v>
      </c>
      <c r="M816">
        <v>8183783828</v>
      </c>
    </row>
    <row r="817" spans="1:13" x14ac:dyDescent="0.25">
      <c r="A817">
        <v>9544220547</v>
      </c>
      <c r="B817" t="s">
        <v>3463</v>
      </c>
      <c r="C817">
        <v>5500000</v>
      </c>
      <c r="D817" t="s">
        <v>3464</v>
      </c>
      <c r="E817" t="s">
        <v>3465</v>
      </c>
      <c r="F817">
        <v>4</v>
      </c>
      <c r="I817" t="str">
        <f>HYPERLINK("tel:+18183817722", "818-381-7722")</f>
        <v>818-381-7722</v>
      </c>
      <c r="J817" t="s">
        <v>3466</v>
      </c>
      <c r="K817" t="s">
        <v>3467</v>
      </c>
      <c r="M817">
        <v>8183817722</v>
      </c>
    </row>
    <row r="818" spans="1:13" x14ac:dyDescent="0.25">
      <c r="A818">
        <v>1834844367</v>
      </c>
      <c r="B818" t="s">
        <v>3468</v>
      </c>
      <c r="C818">
        <v>790000</v>
      </c>
      <c r="D818" t="s">
        <v>3469</v>
      </c>
      <c r="E818" t="s">
        <v>3470</v>
      </c>
      <c r="F818">
        <v>4</v>
      </c>
      <c r="I818" t="str">
        <f>HYPERLINK("tel:+18184089110", "818-408-9110")</f>
        <v>818-408-9110</v>
      </c>
      <c r="J818" t="s">
        <v>3471</v>
      </c>
      <c r="K818" t="s">
        <v>2206</v>
      </c>
      <c r="M818">
        <v>8184089110</v>
      </c>
    </row>
    <row r="819" spans="1:13" x14ac:dyDescent="0.25">
      <c r="A819">
        <v>9396647887</v>
      </c>
      <c r="B819" t="s">
        <v>2574</v>
      </c>
      <c r="C819">
        <v>6250000</v>
      </c>
      <c r="D819" t="s">
        <v>2575</v>
      </c>
      <c r="E819" t="s">
        <v>3472</v>
      </c>
      <c r="F819">
        <v>4</v>
      </c>
      <c r="I819" t="str">
        <f>HYPERLINK("tel:+18184382236", "818-438-2236")</f>
        <v>818-438-2236</v>
      </c>
      <c r="J819" t="s">
        <v>3473</v>
      </c>
      <c r="K819" t="s">
        <v>9</v>
      </c>
      <c r="M819">
        <v>8184382236</v>
      </c>
    </row>
    <row r="820" spans="1:13" x14ac:dyDescent="0.25">
      <c r="A820">
        <v>2339353846</v>
      </c>
      <c r="B820" t="s">
        <v>3474</v>
      </c>
      <c r="C820">
        <v>4595000</v>
      </c>
      <c r="D820" t="s">
        <v>3475</v>
      </c>
      <c r="E820" t="s">
        <v>3476</v>
      </c>
      <c r="F820">
        <v>4</v>
      </c>
      <c r="I820" t="str">
        <f>HYPERLINK("tel:+18184395068", "818-439-5068")</f>
        <v>818-439-5068</v>
      </c>
      <c r="J820" t="s">
        <v>3477</v>
      </c>
      <c r="K820" t="s">
        <v>24</v>
      </c>
      <c r="M820">
        <v>8184395068</v>
      </c>
    </row>
    <row r="821" spans="1:13" x14ac:dyDescent="0.25">
      <c r="A821">
        <v>2232788475</v>
      </c>
      <c r="B821" t="s">
        <v>3478</v>
      </c>
      <c r="C821">
        <v>2899000</v>
      </c>
      <c r="D821" t="s">
        <v>3479</v>
      </c>
      <c r="E821" t="s">
        <v>3480</v>
      </c>
      <c r="F821">
        <v>4</v>
      </c>
      <c r="I821" t="str">
        <f>HYPERLINK("tel:+18184456909", "818-445-6909")</f>
        <v>818-445-6909</v>
      </c>
      <c r="J821" t="s">
        <v>3481</v>
      </c>
      <c r="K821" t="s">
        <v>9</v>
      </c>
      <c r="M821">
        <v>8184456909</v>
      </c>
    </row>
    <row r="822" spans="1:13" x14ac:dyDescent="0.25">
      <c r="A822">
        <v>2552978675</v>
      </c>
      <c r="B822" t="s">
        <v>3482</v>
      </c>
      <c r="C822">
        <v>2999000</v>
      </c>
      <c r="D822" t="s">
        <v>3483</v>
      </c>
      <c r="E822" t="s">
        <v>3484</v>
      </c>
      <c r="F822">
        <v>4</v>
      </c>
      <c r="I822" t="str">
        <f>HYPERLINK("tel:+18184479251", "818-447-9251")</f>
        <v>818-447-9251</v>
      </c>
      <c r="J822" t="s">
        <v>3485</v>
      </c>
      <c r="K822" t="s">
        <v>3486</v>
      </c>
      <c r="M822">
        <v>8184479251</v>
      </c>
    </row>
    <row r="823" spans="1:13" x14ac:dyDescent="0.25">
      <c r="A823">
        <v>9327506155</v>
      </c>
      <c r="B823" t="s">
        <v>3487</v>
      </c>
      <c r="C823">
        <v>34000</v>
      </c>
      <c r="D823" t="s">
        <v>3488</v>
      </c>
      <c r="E823" t="s">
        <v>3489</v>
      </c>
      <c r="F823">
        <v>4</v>
      </c>
      <c r="I823" t="str">
        <f>HYPERLINK("tel:+18184589098", "818-458-9098")</f>
        <v>818-458-9098</v>
      </c>
      <c r="J823" t="s">
        <v>3490</v>
      </c>
      <c r="K823" t="s">
        <v>3491</v>
      </c>
      <c r="M823">
        <v>8184589098</v>
      </c>
    </row>
    <row r="824" spans="1:13" x14ac:dyDescent="0.25">
      <c r="A824">
        <v>2864443051</v>
      </c>
      <c r="B824" t="s">
        <v>471</v>
      </c>
      <c r="C824">
        <v>1650000</v>
      </c>
      <c r="D824" t="s">
        <v>472</v>
      </c>
      <c r="E824" t="s">
        <v>3492</v>
      </c>
      <c r="F824">
        <v>4</v>
      </c>
      <c r="I824" t="str">
        <f>HYPERLINK("tel:+18184645707", "818-464-5707")</f>
        <v>818-464-5707</v>
      </c>
      <c r="J824" t="s">
        <v>3493</v>
      </c>
      <c r="K824" t="s">
        <v>475</v>
      </c>
      <c r="M824">
        <v>8184645707</v>
      </c>
    </row>
    <row r="825" spans="1:13" x14ac:dyDescent="0.25">
      <c r="A825">
        <v>2464044037</v>
      </c>
      <c r="B825" t="s">
        <v>3494</v>
      </c>
      <c r="C825">
        <v>1225000</v>
      </c>
      <c r="D825" t="s">
        <v>3495</v>
      </c>
      <c r="E825" t="s">
        <v>3496</v>
      </c>
      <c r="F825">
        <v>4</v>
      </c>
      <c r="I825" t="str">
        <f>HYPERLINK("tel:+18184802032", "818-480-2032")</f>
        <v>818-480-2032</v>
      </c>
      <c r="J825" t="s">
        <v>3497</v>
      </c>
      <c r="K825" t="s">
        <v>3498</v>
      </c>
      <c r="M825">
        <v>8184802032</v>
      </c>
    </row>
    <row r="826" spans="1:13" x14ac:dyDescent="0.25">
      <c r="A826">
        <v>1238435852</v>
      </c>
      <c r="B826" t="s">
        <v>3499</v>
      </c>
      <c r="C826">
        <v>2400000</v>
      </c>
      <c r="D826" t="s">
        <v>3500</v>
      </c>
      <c r="E826" t="s">
        <v>3501</v>
      </c>
      <c r="F826">
        <v>4</v>
      </c>
      <c r="I826" t="str">
        <f>HYPERLINK("tel:+18184820085", "818-482-0085")</f>
        <v>818-482-0085</v>
      </c>
      <c r="J826" t="s">
        <v>3502</v>
      </c>
      <c r="K826" t="s">
        <v>117</v>
      </c>
      <c r="M826">
        <v>8184820085</v>
      </c>
    </row>
    <row r="827" spans="1:13" x14ac:dyDescent="0.25">
      <c r="A827">
        <v>2389077986</v>
      </c>
      <c r="B827" t="s">
        <v>3503</v>
      </c>
      <c r="C827">
        <v>1795000</v>
      </c>
      <c r="D827" t="s">
        <v>3504</v>
      </c>
      <c r="E827" t="s">
        <v>3505</v>
      </c>
      <c r="F827">
        <v>4</v>
      </c>
      <c r="I827" t="str">
        <f>HYPERLINK("tel:+18184821503", "818-482-1503")</f>
        <v>818-482-1503</v>
      </c>
      <c r="J827" t="s">
        <v>3506</v>
      </c>
      <c r="K827" t="s">
        <v>117</v>
      </c>
      <c r="M827">
        <v>8184821503</v>
      </c>
    </row>
    <row r="828" spans="1:13" x14ac:dyDescent="0.25">
      <c r="A828">
        <v>9612379838</v>
      </c>
      <c r="B828" t="s">
        <v>3507</v>
      </c>
      <c r="C828">
        <v>4000000</v>
      </c>
      <c r="D828" t="s">
        <v>3508</v>
      </c>
      <c r="E828" t="s">
        <v>3509</v>
      </c>
      <c r="F828">
        <v>4</v>
      </c>
      <c r="I828" t="str">
        <f>HYPERLINK("tel:+18184861763", "818-486-1763")</f>
        <v>818-486-1763</v>
      </c>
      <c r="J828" t="s">
        <v>3510</v>
      </c>
      <c r="K828" t="s">
        <v>3511</v>
      </c>
      <c r="M828">
        <v>8184861763</v>
      </c>
    </row>
    <row r="829" spans="1:13" x14ac:dyDescent="0.25">
      <c r="A829">
        <v>2463751413</v>
      </c>
      <c r="B829" t="s">
        <v>3512</v>
      </c>
      <c r="C829">
        <v>2698000</v>
      </c>
      <c r="D829" t="s">
        <v>3513</v>
      </c>
      <c r="E829" t="s">
        <v>3514</v>
      </c>
      <c r="F829">
        <v>4</v>
      </c>
      <c r="I829" t="str">
        <f>HYPERLINK("tel:+18185124226", "818-512-4226")</f>
        <v>818-512-4226</v>
      </c>
      <c r="J829" t="s">
        <v>3515</v>
      </c>
      <c r="K829" t="s">
        <v>9</v>
      </c>
      <c r="M829">
        <v>8185124226</v>
      </c>
    </row>
    <row r="830" spans="1:13" x14ac:dyDescent="0.25">
      <c r="A830">
        <v>2011850074</v>
      </c>
      <c r="B830" t="s">
        <v>3516</v>
      </c>
      <c r="C830">
        <v>10999999</v>
      </c>
      <c r="D830" t="s">
        <v>3517</v>
      </c>
      <c r="E830" t="s">
        <v>3518</v>
      </c>
      <c r="F830">
        <v>4</v>
      </c>
      <c r="I830" t="str">
        <f>HYPERLINK("tel:+18185197032", "818-519-7032")</f>
        <v>818-519-7032</v>
      </c>
      <c r="J830" t="s">
        <v>3519</v>
      </c>
      <c r="K830" t="s">
        <v>1328</v>
      </c>
      <c r="M830">
        <v>8185197032</v>
      </c>
    </row>
    <row r="831" spans="1:13" x14ac:dyDescent="0.25">
      <c r="A831">
        <v>2088598320</v>
      </c>
      <c r="B831" t="s">
        <v>3520</v>
      </c>
      <c r="C831">
        <v>749950</v>
      </c>
      <c r="D831" t="s">
        <v>3521</v>
      </c>
      <c r="E831" t="s">
        <v>3522</v>
      </c>
      <c r="F831">
        <v>4</v>
      </c>
      <c r="I831" t="str">
        <f>HYPERLINK("tel:+18185217653", "818-521-7653")</f>
        <v>818-521-7653</v>
      </c>
      <c r="J831" t="s">
        <v>3523</v>
      </c>
      <c r="K831" t="s">
        <v>2206</v>
      </c>
      <c r="M831">
        <v>8185217653</v>
      </c>
    </row>
    <row r="832" spans="1:13" x14ac:dyDescent="0.25">
      <c r="A832">
        <v>1093952644</v>
      </c>
      <c r="B832" t="s">
        <v>3524</v>
      </c>
      <c r="C832">
        <v>1669000</v>
      </c>
      <c r="D832" t="s">
        <v>3525</v>
      </c>
      <c r="E832" t="s">
        <v>3526</v>
      </c>
      <c r="F832">
        <v>4</v>
      </c>
      <c r="I832" t="str">
        <f>HYPERLINK("tel:+18185222862", "818-522-2862")</f>
        <v>818-522-2862</v>
      </c>
      <c r="J832" t="s">
        <v>3527</v>
      </c>
      <c r="K832" t="s">
        <v>9</v>
      </c>
      <c r="M832">
        <v>8185222862</v>
      </c>
    </row>
    <row r="833" spans="1:13" x14ac:dyDescent="0.25">
      <c r="A833">
        <v>1520005941</v>
      </c>
      <c r="B833" t="s">
        <v>3528</v>
      </c>
      <c r="C833">
        <v>399000</v>
      </c>
      <c r="D833" t="s">
        <v>3529</v>
      </c>
      <c r="E833" t="s">
        <v>3530</v>
      </c>
      <c r="F833">
        <v>4</v>
      </c>
      <c r="I833" t="str">
        <f>HYPERLINK("tel:+18185346168", "818-534-6168")</f>
        <v>818-534-6168</v>
      </c>
      <c r="J833" t="s">
        <v>3531</v>
      </c>
      <c r="K833" t="s">
        <v>87</v>
      </c>
      <c r="M833">
        <v>8185346168</v>
      </c>
    </row>
    <row r="834" spans="1:13" x14ac:dyDescent="0.25">
      <c r="A834">
        <v>2171168276</v>
      </c>
      <c r="B834" t="s">
        <v>3532</v>
      </c>
      <c r="C834">
        <v>1099000</v>
      </c>
      <c r="D834" t="s">
        <v>3533</v>
      </c>
      <c r="E834" t="s">
        <v>3534</v>
      </c>
      <c r="F834">
        <v>4</v>
      </c>
      <c r="I834" t="str">
        <f>HYPERLINK("tel:+18185356028", "818-535-6028")</f>
        <v>818-535-6028</v>
      </c>
      <c r="J834" t="s">
        <v>3535</v>
      </c>
      <c r="K834" t="s">
        <v>117</v>
      </c>
      <c r="M834">
        <v>8185356028</v>
      </c>
    </row>
    <row r="835" spans="1:13" x14ac:dyDescent="0.25">
      <c r="A835">
        <v>1661712545</v>
      </c>
      <c r="B835" t="s">
        <v>3536</v>
      </c>
      <c r="C835">
        <v>199000</v>
      </c>
      <c r="D835" t="s">
        <v>3537</v>
      </c>
      <c r="E835" t="s">
        <v>3538</v>
      </c>
      <c r="F835">
        <v>4</v>
      </c>
      <c r="I835" t="str">
        <f>HYPERLINK("tel:+18185749444", "818-574-9444")</f>
        <v>818-574-9444</v>
      </c>
      <c r="J835" t="s">
        <v>3539</v>
      </c>
      <c r="K835" t="s">
        <v>3540</v>
      </c>
      <c r="M835">
        <v>8185749444</v>
      </c>
    </row>
    <row r="836" spans="1:13" x14ac:dyDescent="0.25">
      <c r="A836">
        <v>2515109721</v>
      </c>
      <c r="B836" t="s">
        <v>3541</v>
      </c>
      <c r="C836">
        <v>1199000</v>
      </c>
      <c r="D836" t="s">
        <v>3542</v>
      </c>
      <c r="E836" t="s">
        <v>3543</v>
      </c>
      <c r="F836">
        <v>4</v>
      </c>
      <c r="I836" t="str">
        <f>HYPERLINK("tel:+18186018215", "818-601-8215")</f>
        <v>818-601-8215</v>
      </c>
      <c r="J836" t="s">
        <v>3544</v>
      </c>
      <c r="K836" t="s">
        <v>3543</v>
      </c>
      <c r="M836">
        <v>8186018215</v>
      </c>
    </row>
    <row r="837" spans="1:13" x14ac:dyDescent="0.25">
      <c r="A837">
        <v>2389077986</v>
      </c>
      <c r="B837" t="s">
        <v>3503</v>
      </c>
      <c r="C837">
        <v>1795000</v>
      </c>
      <c r="D837" t="s">
        <v>3504</v>
      </c>
      <c r="E837" t="s">
        <v>3545</v>
      </c>
      <c r="F837">
        <v>4</v>
      </c>
      <c r="I837" t="str">
        <f>HYPERLINK("tel:+18186064893", "818-606-4893")</f>
        <v>818-606-4893</v>
      </c>
      <c r="J837" t="s">
        <v>3546</v>
      </c>
      <c r="K837" t="s">
        <v>117</v>
      </c>
      <c r="M837">
        <v>8186064893</v>
      </c>
    </row>
    <row r="838" spans="1:13" x14ac:dyDescent="0.25">
      <c r="A838">
        <v>2578527367</v>
      </c>
      <c r="B838" t="s">
        <v>3547</v>
      </c>
      <c r="C838">
        <v>299000</v>
      </c>
      <c r="D838" t="s">
        <v>3548</v>
      </c>
      <c r="E838" t="s">
        <v>3549</v>
      </c>
      <c r="F838">
        <v>4</v>
      </c>
      <c r="I838" t="str">
        <f>HYPERLINK("tel:+18186069560", "818-606-9560")</f>
        <v>818-606-9560</v>
      </c>
      <c r="J838" t="s">
        <v>3550</v>
      </c>
      <c r="K838" t="s">
        <v>9</v>
      </c>
      <c r="M838">
        <v>8186069560</v>
      </c>
    </row>
    <row r="839" spans="1:13" x14ac:dyDescent="0.25">
      <c r="A839">
        <v>1010763688</v>
      </c>
      <c r="B839" t="s">
        <v>3551</v>
      </c>
      <c r="C839">
        <v>599999</v>
      </c>
      <c r="D839" t="s">
        <v>3552</v>
      </c>
      <c r="E839" t="s">
        <v>3553</v>
      </c>
      <c r="F839">
        <v>4</v>
      </c>
      <c r="I839" t="str">
        <f>HYPERLINK("tel:+18186131767", "818-613-1767")</f>
        <v>818-613-1767</v>
      </c>
      <c r="J839" t="s">
        <v>3554</v>
      </c>
      <c r="K839" t="s">
        <v>3555</v>
      </c>
      <c r="M839">
        <v>8186131767</v>
      </c>
    </row>
    <row r="840" spans="1:13" x14ac:dyDescent="0.25">
      <c r="A840">
        <v>9312130894</v>
      </c>
      <c r="B840" t="s">
        <v>3145</v>
      </c>
      <c r="C840">
        <v>449999</v>
      </c>
      <c r="D840" t="s">
        <v>3146</v>
      </c>
      <c r="E840" t="s">
        <v>3556</v>
      </c>
      <c r="F840">
        <v>4</v>
      </c>
      <c r="I840" t="str">
        <f>HYPERLINK("tel:+18186175727", "818-617-5727")</f>
        <v>818-617-5727</v>
      </c>
      <c r="J840" t="s">
        <v>3557</v>
      </c>
      <c r="K840" t="s">
        <v>3149</v>
      </c>
      <c r="M840">
        <v>8186175727</v>
      </c>
    </row>
    <row r="841" spans="1:13" x14ac:dyDescent="0.25">
      <c r="A841">
        <v>2061230597</v>
      </c>
      <c r="B841" t="s">
        <v>3558</v>
      </c>
      <c r="C841">
        <v>7888888</v>
      </c>
      <c r="D841" t="s">
        <v>3559</v>
      </c>
      <c r="E841" t="s">
        <v>3560</v>
      </c>
      <c r="F841">
        <v>4</v>
      </c>
      <c r="I841" t="str">
        <f>HYPERLINK("tel:+18186185153", "818-618-5153")</f>
        <v>818-618-5153</v>
      </c>
      <c r="J841" t="s">
        <v>3561</v>
      </c>
      <c r="K841" t="s">
        <v>87</v>
      </c>
      <c r="M841">
        <v>8186185153</v>
      </c>
    </row>
    <row r="842" spans="1:13" x14ac:dyDescent="0.25">
      <c r="A842">
        <v>2819835718</v>
      </c>
      <c r="B842" t="s">
        <v>3562</v>
      </c>
      <c r="C842">
        <v>1899000</v>
      </c>
      <c r="D842" t="s">
        <v>3563</v>
      </c>
      <c r="E842" t="s">
        <v>3564</v>
      </c>
      <c r="F842">
        <v>4</v>
      </c>
      <c r="I842" t="str">
        <f>HYPERLINK("tel:+18186186000", "818-618-6000")</f>
        <v>818-618-6000</v>
      </c>
      <c r="J842" t="s">
        <v>3565</v>
      </c>
      <c r="K842" t="s">
        <v>117</v>
      </c>
      <c r="M842">
        <v>8186186000</v>
      </c>
    </row>
    <row r="843" spans="1:13" x14ac:dyDescent="0.25">
      <c r="A843">
        <v>2035092650</v>
      </c>
      <c r="B843" t="s">
        <v>3566</v>
      </c>
      <c r="C843">
        <v>249999</v>
      </c>
      <c r="D843" t="s">
        <v>3567</v>
      </c>
      <c r="E843" t="s">
        <v>3568</v>
      </c>
      <c r="F843">
        <v>4</v>
      </c>
      <c r="I843" t="str">
        <f>HYPERLINK("tel:+18186212531", "818-621-2531")</f>
        <v>818-621-2531</v>
      </c>
      <c r="J843" t="s">
        <v>3569</v>
      </c>
      <c r="K843" t="s">
        <v>3570</v>
      </c>
      <c r="M843">
        <v>8186212531</v>
      </c>
    </row>
    <row r="844" spans="1:13" x14ac:dyDescent="0.25">
      <c r="A844">
        <v>2239027599</v>
      </c>
      <c r="B844" t="s">
        <v>3571</v>
      </c>
      <c r="C844">
        <v>299000</v>
      </c>
      <c r="D844" t="s">
        <v>3572</v>
      </c>
      <c r="E844" t="s">
        <v>3573</v>
      </c>
      <c r="F844">
        <v>4</v>
      </c>
      <c r="I844" t="str">
        <f>HYPERLINK("tel:+18186430663", "818-643-0663")</f>
        <v>818-643-0663</v>
      </c>
      <c r="J844" t="s">
        <v>3574</v>
      </c>
      <c r="K844" t="s">
        <v>3575</v>
      </c>
      <c r="M844">
        <v>8186430663</v>
      </c>
    </row>
    <row r="845" spans="1:13" x14ac:dyDescent="0.25">
      <c r="A845">
        <v>2649089467</v>
      </c>
      <c r="B845" t="s">
        <v>3576</v>
      </c>
      <c r="C845">
        <v>1887881</v>
      </c>
      <c r="D845" t="s">
        <v>3577</v>
      </c>
      <c r="E845" t="s">
        <v>3578</v>
      </c>
      <c r="F845">
        <v>4</v>
      </c>
      <c r="I845" t="str">
        <f>HYPERLINK("tel:+18186522876", "818-652-2876")</f>
        <v>818-652-2876</v>
      </c>
      <c r="J845" t="s">
        <v>3579</v>
      </c>
      <c r="K845" t="s">
        <v>3580</v>
      </c>
      <c r="M845">
        <v>8186522876</v>
      </c>
    </row>
    <row r="846" spans="1:13" x14ac:dyDescent="0.25">
      <c r="A846">
        <v>1372950680</v>
      </c>
      <c r="B846" t="s">
        <v>3581</v>
      </c>
      <c r="C846">
        <v>1995000</v>
      </c>
      <c r="D846" t="s">
        <v>3582</v>
      </c>
      <c r="E846" t="s">
        <v>3583</v>
      </c>
      <c r="F846">
        <v>4</v>
      </c>
      <c r="I846" t="str">
        <f>HYPERLINK("tel:+18186532283", "818-653-2283")</f>
        <v>818-653-2283</v>
      </c>
      <c r="J846" t="s">
        <v>3584</v>
      </c>
      <c r="K846" t="s">
        <v>24</v>
      </c>
      <c r="M846">
        <v>8186532283</v>
      </c>
    </row>
    <row r="847" spans="1:13" x14ac:dyDescent="0.25">
      <c r="A847">
        <v>1189282074</v>
      </c>
      <c r="B847" t="s">
        <v>3585</v>
      </c>
      <c r="C847">
        <v>1750000</v>
      </c>
      <c r="D847" t="s">
        <v>3586</v>
      </c>
      <c r="E847" t="s">
        <v>3587</v>
      </c>
      <c r="F847">
        <v>4</v>
      </c>
      <c r="I847" t="str">
        <f>HYPERLINK("tel:+18186812000", "818-681-2000")</f>
        <v>818-681-2000</v>
      </c>
      <c r="J847" t="s">
        <v>3588</v>
      </c>
      <c r="K847" t="s">
        <v>3589</v>
      </c>
      <c r="M847">
        <v>8186812000</v>
      </c>
    </row>
    <row r="848" spans="1:13" x14ac:dyDescent="0.25">
      <c r="A848">
        <v>2624072647</v>
      </c>
      <c r="B848" t="s">
        <v>3590</v>
      </c>
      <c r="C848">
        <v>749000</v>
      </c>
      <c r="D848" t="s">
        <v>3591</v>
      </c>
      <c r="E848" t="s">
        <v>3592</v>
      </c>
      <c r="F848">
        <v>4</v>
      </c>
      <c r="I848" t="str">
        <f>HYPERLINK("tel:+18186893471", "818-689-3471")</f>
        <v>818-689-3471</v>
      </c>
      <c r="J848" t="s">
        <v>3593</v>
      </c>
      <c r="K848" t="s">
        <v>2206</v>
      </c>
      <c r="M848">
        <v>8186893471</v>
      </c>
    </row>
    <row r="849" spans="1:13" x14ac:dyDescent="0.25">
      <c r="A849">
        <v>1960351690</v>
      </c>
      <c r="B849" t="s">
        <v>3594</v>
      </c>
      <c r="C849">
        <v>2295000</v>
      </c>
      <c r="D849" t="s">
        <v>3595</v>
      </c>
      <c r="E849" t="s">
        <v>3596</v>
      </c>
      <c r="F849">
        <v>4</v>
      </c>
      <c r="I849" t="str">
        <f>HYPERLINK("tel:+18187262663", "818-726-2663")</f>
        <v>818-726-2663</v>
      </c>
      <c r="J849" t="s">
        <v>3597</v>
      </c>
      <c r="K849" t="s">
        <v>781</v>
      </c>
      <c r="M849">
        <v>8187262663</v>
      </c>
    </row>
    <row r="850" spans="1:13" x14ac:dyDescent="0.25">
      <c r="A850">
        <v>9211917229</v>
      </c>
      <c r="B850" t="s">
        <v>3598</v>
      </c>
      <c r="C850">
        <v>1360000</v>
      </c>
      <c r="D850" t="s">
        <v>3599</v>
      </c>
      <c r="E850" t="s">
        <v>3600</v>
      </c>
      <c r="F850">
        <v>4</v>
      </c>
      <c r="I850" t="str">
        <f>HYPERLINK("tel:+18187301213", "818-730-1213")</f>
        <v>818-730-1213</v>
      </c>
      <c r="J850" t="s">
        <v>3601</v>
      </c>
      <c r="K850" t="s">
        <v>3602</v>
      </c>
      <c r="M850">
        <v>8187301213</v>
      </c>
    </row>
    <row r="851" spans="1:13" x14ac:dyDescent="0.25">
      <c r="A851">
        <v>2595658329</v>
      </c>
      <c r="B851" t="s">
        <v>3603</v>
      </c>
      <c r="C851">
        <v>914000</v>
      </c>
      <c r="D851" t="s">
        <v>3604</v>
      </c>
      <c r="E851" t="s">
        <v>3605</v>
      </c>
      <c r="F851">
        <v>4</v>
      </c>
      <c r="I851" t="str">
        <f>HYPERLINK("tel:+18187304336", "818-730-4336")</f>
        <v>818-730-4336</v>
      </c>
      <c r="J851" t="s">
        <v>3606</v>
      </c>
      <c r="K851" t="s">
        <v>724</v>
      </c>
      <c r="M851">
        <v>8187304336</v>
      </c>
    </row>
    <row r="852" spans="1:13" x14ac:dyDescent="0.25">
      <c r="A852">
        <v>2127214060</v>
      </c>
      <c r="B852" t="s">
        <v>3607</v>
      </c>
      <c r="C852">
        <v>2000000</v>
      </c>
      <c r="D852" t="s">
        <v>3608</v>
      </c>
      <c r="E852" t="s">
        <v>3609</v>
      </c>
      <c r="F852">
        <v>4</v>
      </c>
      <c r="I852" t="str">
        <f>HYPERLINK("tel:+18187634462", "818-763-4462")</f>
        <v>818-763-4462</v>
      </c>
      <c r="J852" t="s">
        <v>3610</v>
      </c>
      <c r="K852" t="s">
        <v>3611</v>
      </c>
      <c r="M852">
        <v>8187634462</v>
      </c>
    </row>
    <row r="853" spans="1:13" x14ac:dyDescent="0.25">
      <c r="A853">
        <v>9345102465</v>
      </c>
      <c r="B853" t="s">
        <v>3612</v>
      </c>
      <c r="C853">
        <v>799000</v>
      </c>
      <c r="D853" t="s">
        <v>3613</v>
      </c>
      <c r="E853" t="s">
        <v>3614</v>
      </c>
      <c r="F853">
        <v>4</v>
      </c>
      <c r="I853" t="str">
        <f>HYPERLINK("tel:+18188590286", "818-859-0286")</f>
        <v>818-859-0286</v>
      </c>
      <c r="J853" t="s">
        <v>3615</v>
      </c>
      <c r="K853" t="s">
        <v>3616</v>
      </c>
      <c r="M853">
        <v>8188590286</v>
      </c>
    </row>
    <row r="854" spans="1:13" x14ac:dyDescent="0.25">
      <c r="A854">
        <v>2833508466</v>
      </c>
      <c r="B854" t="s">
        <v>1836</v>
      </c>
      <c r="C854">
        <v>785000</v>
      </c>
      <c r="D854" t="s">
        <v>1837</v>
      </c>
      <c r="E854" t="s">
        <v>3617</v>
      </c>
      <c r="F854">
        <v>4</v>
      </c>
      <c r="I854" t="str">
        <f>HYPERLINK("tel:+18189664563", "818-966-4563")</f>
        <v>818-966-4563</v>
      </c>
      <c r="J854" t="s">
        <v>3618</v>
      </c>
      <c r="K854" t="s">
        <v>3619</v>
      </c>
      <c r="M854">
        <v>8189664563</v>
      </c>
    </row>
    <row r="855" spans="1:13" x14ac:dyDescent="0.25">
      <c r="A855">
        <v>1189801413</v>
      </c>
      <c r="B855" t="s">
        <v>3620</v>
      </c>
      <c r="C855">
        <v>1750000</v>
      </c>
      <c r="D855" t="s">
        <v>3621</v>
      </c>
      <c r="E855" t="s">
        <v>3622</v>
      </c>
      <c r="F855">
        <v>4</v>
      </c>
      <c r="I855" t="str">
        <f>HYPERLINK("tel:+18883527075", "888-352-7075")</f>
        <v>888-352-7075</v>
      </c>
      <c r="J855" t="s">
        <v>3623</v>
      </c>
      <c r="K855" t="s">
        <v>3624</v>
      </c>
      <c r="M855">
        <v>8883527075</v>
      </c>
    </row>
    <row r="856" spans="1:13" x14ac:dyDescent="0.25">
      <c r="A856">
        <v>1909565731</v>
      </c>
      <c r="B856" t="s">
        <v>3625</v>
      </c>
      <c r="C856">
        <v>2040000</v>
      </c>
      <c r="D856" t="s">
        <v>3626</v>
      </c>
      <c r="E856" t="s">
        <v>3627</v>
      </c>
      <c r="F856">
        <v>4</v>
      </c>
      <c r="I856" t="str">
        <f>HYPERLINK("tel:+19092327763", "909-232-7763")</f>
        <v>909-232-7763</v>
      </c>
      <c r="J856" t="s">
        <v>3628</v>
      </c>
      <c r="K856" t="s">
        <v>1169</v>
      </c>
      <c r="M856">
        <v>9092327763</v>
      </c>
    </row>
    <row r="857" spans="1:13" x14ac:dyDescent="0.25">
      <c r="A857">
        <v>1547037445</v>
      </c>
      <c r="B857" t="s">
        <v>3629</v>
      </c>
      <c r="C857">
        <v>299000</v>
      </c>
      <c r="D857" t="s">
        <v>3630</v>
      </c>
      <c r="E857" t="s">
        <v>3631</v>
      </c>
      <c r="F857">
        <v>4</v>
      </c>
      <c r="I857" t="str">
        <f>HYPERLINK("tel:+19095430180", "909-543-0180")</f>
        <v>909-543-0180</v>
      </c>
      <c r="J857" t="s">
        <v>3632</v>
      </c>
      <c r="K857" t="s">
        <v>3633</v>
      </c>
      <c r="M857">
        <v>9095430180</v>
      </c>
    </row>
    <row r="858" spans="1:13" x14ac:dyDescent="0.25">
      <c r="A858">
        <v>2831159031</v>
      </c>
      <c r="B858" t="s">
        <v>3634</v>
      </c>
      <c r="C858">
        <v>2595000</v>
      </c>
      <c r="D858" t="s">
        <v>3635</v>
      </c>
      <c r="E858" t="s">
        <v>3636</v>
      </c>
      <c r="F858">
        <v>4</v>
      </c>
      <c r="I858" t="str">
        <f>HYPERLINK("tel:+19179922656", "917-992-2656")</f>
        <v>917-992-2656</v>
      </c>
      <c r="J858" t="s">
        <v>3637</v>
      </c>
      <c r="K858" t="s">
        <v>995</v>
      </c>
      <c r="M858">
        <v>9179922656</v>
      </c>
    </row>
    <row r="859" spans="1:13" x14ac:dyDescent="0.25">
      <c r="A859">
        <v>2231626046</v>
      </c>
      <c r="B859" t="s">
        <v>3638</v>
      </c>
      <c r="C859">
        <v>3898000</v>
      </c>
      <c r="D859" t="s">
        <v>3639</v>
      </c>
      <c r="E859" t="s">
        <v>3640</v>
      </c>
      <c r="F859">
        <v>4</v>
      </c>
      <c r="I859" t="str">
        <f>HYPERLINK("tel:+19492304663", "949-230-4663")</f>
        <v>949-230-4663</v>
      </c>
      <c r="J859" t="s">
        <v>3641</v>
      </c>
      <c r="K859" t="s">
        <v>450</v>
      </c>
      <c r="M859">
        <v>9492304663</v>
      </c>
    </row>
    <row r="860" spans="1:13" x14ac:dyDescent="0.25">
      <c r="A860">
        <v>2133736698</v>
      </c>
      <c r="B860" t="s">
        <v>3642</v>
      </c>
      <c r="C860">
        <v>2450000</v>
      </c>
      <c r="D860" t="s">
        <v>3643</v>
      </c>
      <c r="E860" t="s">
        <v>3644</v>
      </c>
      <c r="F860">
        <v>4</v>
      </c>
      <c r="I860" t="str">
        <f>HYPERLINK("tel:+19492308901", "949-230-8901")</f>
        <v>949-230-8901</v>
      </c>
      <c r="J860" t="s">
        <v>3645</v>
      </c>
      <c r="K860" t="s">
        <v>3646</v>
      </c>
      <c r="M860">
        <v>9492308901</v>
      </c>
    </row>
    <row r="861" spans="1:13" x14ac:dyDescent="0.25">
      <c r="A861">
        <v>2330861828</v>
      </c>
      <c r="B861" t="s">
        <v>3647</v>
      </c>
      <c r="C861">
        <v>810000</v>
      </c>
      <c r="D861" t="s">
        <v>3648</v>
      </c>
      <c r="E861" t="s">
        <v>3649</v>
      </c>
      <c r="F861">
        <v>4</v>
      </c>
      <c r="I861" t="str">
        <f>HYPERLINK("tel:+19492325665", "949-232-5665")</f>
        <v>949-232-5665</v>
      </c>
      <c r="J861" t="s">
        <v>3650</v>
      </c>
      <c r="K861" t="s">
        <v>3651</v>
      </c>
      <c r="M861">
        <v>9492325665</v>
      </c>
    </row>
    <row r="862" spans="1:13" x14ac:dyDescent="0.25">
      <c r="A862">
        <v>9597635069</v>
      </c>
      <c r="B862" t="s">
        <v>3652</v>
      </c>
      <c r="C862">
        <v>450000</v>
      </c>
      <c r="D862" t="s">
        <v>3653</v>
      </c>
      <c r="E862" t="s">
        <v>3654</v>
      </c>
      <c r="F862">
        <v>4</v>
      </c>
      <c r="I862" t="str">
        <f>HYPERLINK("tel:+19492358076", "949-235-8076")</f>
        <v>949-235-8076</v>
      </c>
      <c r="J862" t="s">
        <v>3655</v>
      </c>
      <c r="K862" t="s">
        <v>3656</v>
      </c>
      <c r="M862">
        <v>9492358076</v>
      </c>
    </row>
    <row r="863" spans="1:13" x14ac:dyDescent="0.25">
      <c r="A863">
        <v>1264448244</v>
      </c>
      <c r="B863" t="s">
        <v>3657</v>
      </c>
      <c r="C863">
        <v>650000</v>
      </c>
      <c r="D863" t="s">
        <v>3658</v>
      </c>
      <c r="E863" t="s">
        <v>3659</v>
      </c>
      <c r="F863">
        <v>4</v>
      </c>
      <c r="I863" t="str">
        <f>HYPERLINK("tel:+19492488401", "949-248-8401")</f>
        <v>949-248-8401</v>
      </c>
      <c r="J863" t="s">
        <v>3660</v>
      </c>
      <c r="K863" t="s">
        <v>3661</v>
      </c>
      <c r="M863">
        <v>9492488401</v>
      </c>
    </row>
    <row r="864" spans="1:13" x14ac:dyDescent="0.25">
      <c r="A864">
        <v>2159903628</v>
      </c>
      <c r="B864" t="s">
        <v>3662</v>
      </c>
      <c r="C864">
        <v>1589000</v>
      </c>
      <c r="D864" t="s">
        <v>3663</v>
      </c>
      <c r="E864" t="s">
        <v>3664</v>
      </c>
      <c r="F864">
        <v>4</v>
      </c>
      <c r="I864" t="str">
        <f>HYPERLINK("tel:+19492498768", "949-249-8768")</f>
        <v>949-249-8768</v>
      </c>
      <c r="J864" t="s">
        <v>3665</v>
      </c>
      <c r="K864" t="s">
        <v>168</v>
      </c>
      <c r="M864">
        <v>9492498768</v>
      </c>
    </row>
    <row r="865" spans="1:13" x14ac:dyDescent="0.25">
      <c r="A865">
        <v>1211000934</v>
      </c>
      <c r="B865" t="s">
        <v>3666</v>
      </c>
      <c r="C865">
        <v>1850000</v>
      </c>
      <c r="D865" t="s">
        <v>3667</v>
      </c>
      <c r="E865" t="s">
        <v>3668</v>
      </c>
      <c r="F865">
        <v>4</v>
      </c>
      <c r="I865" t="str">
        <f>HYPERLINK("tel:+19492697270", "949-269-7270")</f>
        <v>949-269-7270</v>
      </c>
      <c r="J865" t="s">
        <v>3669</v>
      </c>
      <c r="K865" t="s">
        <v>82</v>
      </c>
      <c r="M865">
        <v>9492697270</v>
      </c>
    </row>
    <row r="866" spans="1:13" x14ac:dyDescent="0.25">
      <c r="A866">
        <v>1900733519</v>
      </c>
      <c r="B866" t="s">
        <v>3670</v>
      </c>
      <c r="C866">
        <v>395000</v>
      </c>
      <c r="D866" t="s">
        <v>3671</v>
      </c>
      <c r="E866" t="s">
        <v>3672</v>
      </c>
      <c r="F866">
        <v>4</v>
      </c>
      <c r="I866" t="str">
        <f>HYPERLINK("tel:+19492740970", "949-274-0970")</f>
        <v>949-274-0970</v>
      </c>
      <c r="J866" t="s">
        <v>3673</v>
      </c>
      <c r="K866" t="s">
        <v>168</v>
      </c>
      <c r="M866">
        <v>9492740970</v>
      </c>
    </row>
    <row r="867" spans="1:13" x14ac:dyDescent="0.25">
      <c r="A867">
        <v>2231626046</v>
      </c>
      <c r="B867" t="s">
        <v>3638</v>
      </c>
      <c r="C867">
        <v>3898000</v>
      </c>
      <c r="D867" t="s">
        <v>3639</v>
      </c>
      <c r="E867" t="s">
        <v>3674</v>
      </c>
      <c r="F867">
        <v>4</v>
      </c>
      <c r="I867" t="str">
        <f>HYPERLINK("tel:+19492757177", "949-275-7177")</f>
        <v>949-275-7177</v>
      </c>
      <c r="J867" t="s">
        <v>3675</v>
      </c>
      <c r="K867" t="s">
        <v>450</v>
      </c>
      <c r="M867">
        <v>9492757177</v>
      </c>
    </row>
    <row r="868" spans="1:13" x14ac:dyDescent="0.25">
      <c r="A868">
        <v>1021528287</v>
      </c>
      <c r="B868" t="s">
        <v>3676</v>
      </c>
      <c r="C868">
        <v>699000</v>
      </c>
      <c r="D868" t="s">
        <v>3677</v>
      </c>
      <c r="E868" t="s">
        <v>3678</v>
      </c>
      <c r="F868">
        <v>4</v>
      </c>
      <c r="I868" t="str">
        <f>HYPERLINK("tel:+19492782379", "949-278-2379")</f>
        <v>949-278-2379</v>
      </c>
      <c r="J868" t="s">
        <v>3679</v>
      </c>
      <c r="K868" t="s">
        <v>4</v>
      </c>
      <c r="M868">
        <v>9492782379</v>
      </c>
    </row>
    <row r="869" spans="1:13" x14ac:dyDescent="0.25">
      <c r="A869">
        <v>1835704449</v>
      </c>
      <c r="B869" t="s">
        <v>3680</v>
      </c>
      <c r="C869">
        <v>659900</v>
      </c>
      <c r="D869" t="s">
        <v>3681</v>
      </c>
      <c r="E869" t="s">
        <v>3682</v>
      </c>
      <c r="F869">
        <v>4</v>
      </c>
      <c r="I869" t="str">
        <f>HYPERLINK("tel:+19492795549", "949-279-5549")</f>
        <v>949-279-5549</v>
      </c>
      <c r="J869" t="s">
        <v>3683</v>
      </c>
      <c r="K869" t="s">
        <v>3684</v>
      </c>
      <c r="M869">
        <v>9492795549</v>
      </c>
    </row>
    <row r="870" spans="1:13" x14ac:dyDescent="0.25">
      <c r="A870">
        <v>2628126227</v>
      </c>
      <c r="B870" t="s">
        <v>3685</v>
      </c>
      <c r="C870">
        <v>1179000</v>
      </c>
      <c r="D870" t="s">
        <v>3686</v>
      </c>
      <c r="E870" t="s">
        <v>3687</v>
      </c>
      <c r="F870">
        <v>4</v>
      </c>
      <c r="I870" t="str">
        <f>HYPERLINK("tel:+19492935447", "949-293-5447")</f>
        <v>949-293-5447</v>
      </c>
      <c r="J870" t="s">
        <v>3688</v>
      </c>
      <c r="K870" t="s">
        <v>158</v>
      </c>
      <c r="M870">
        <v>9492935447</v>
      </c>
    </row>
    <row r="871" spans="1:13" x14ac:dyDescent="0.25">
      <c r="A871">
        <v>2791794516</v>
      </c>
      <c r="B871" t="s">
        <v>3689</v>
      </c>
      <c r="C871">
        <v>4150000</v>
      </c>
      <c r="D871" t="s">
        <v>3690</v>
      </c>
      <c r="E871" t="s">
        <v>3691</v>
      </c>
      <c r="F871">
        <v>4</v>
      </c>
      <c r="I871" t="str">
        <f>HYPERLINK("tel:+19492965613", "949-296-5613")</f>
        <v>949-296-5613</v>
      </c>
      <c r="J871" t="s">
        <v>3692</v>
      </c>
      <c r="K871" t="s">
        <v>3693</v>
      </c>
      <c r="M871">
        <v>9492965613</v>
      </c>
    </row>
    <row r="872" spans="1:13" x14ac:dyDescent="0.25">
      <c r="A872">
        <v>1195624621</v>
      </c>
      <c r="B872" t="s">
        <v>3694</v>
      </c>
      <c r="C872">
        <v>1250000</v>
      </c>
      <c r="D872" t="s">
        <v>3695</v>
      </c>
      <c r="E872" t="s">
        <v>3696</v>
      </c>
      <c r="F872">
        <v>4</v>
      </c>
      <c r="I872" t="str">
        <f>HYPERLINK("tel:+19493007245", "949-300-7245")</f>
        <v>949-300-7245</v>
      </c>
      <c r="J872" t="s">
        <v>3697</v>
      </c>
      <c r="K872" t="s">
        <v>1248</v>
      </c>
      <c r="M872">
        <v>9493007245</v>
      </c>
    </row>
    <row r="873" spans="1:13" x14ac:dyDescent="0.25">
      <c r="A873">
        <v>1359509413</v>
      </c>
      <c r="B873" t="s">
        <v>3698</v>
      </c>
      <c r="C873">
        <v>399500</v>
      </c>
      <c r="D873" t="s">
        <v>3699</v>
      </c>
      <c r="E873" t="s">
        <v>3700</v>
      </c>
      <c r="F873">
        <v>4</v>
      </c>
      <c r="I873" t="str">
        <f>HYPERLINK("tel:+19493061374", "949-306-1374")</f>
        <v>949-306-1374</v>
      </c>
      <c r="J873" t="s">
        <v>3701</v>
      </c>
      <c r="K873" t="s">
        <v>3702</v>
      </c>
      <c r="M873">
        <v>9493061374</v>
      </c>
    </row>
    <row r="874" spans="1:13" x14ac:dyDescent="0.25">
      <c r="A874">
        <v>9855572225</v>
      </c>
      <c r="B874" t="s">
        <v>3703</v>
      </c>
      <c r="C874">
        <v>2295000</v>
      </c>
      <c r="D874" t="s">
        <v>3704</v>
      </c>
      <c r="E874" t="s">
        <v>3705</v>
      </c>
      <c r="F874">
        <v>4</v>
      </c>
      <c r="I874" t="str">
        <f>HYPERLINK("tel:+19493168823", "949-316-8823")</f>
        <v>949-316-8823</v>
      </c>
      <c r="J874" t="s">
        <v>3706</v>
      </c>
      <c r="K874" t="s">
        <v>377</v>
      </c>
      <c r="M874">
        <v>9493168823</v>
      </c>
    </row>
    <row r="875" spans="1:13" x14ac:dyDescent="0.25">
      <c r="A875">
        <v>9347405136</v>
      </c>
      <c r="B875" t="s">
        <v>3707</v>
      </c>
      <c r="C875">
        <v>1549546</v>
      </c>
      <c r="D875" t="s">
        <v>3708</v>
      </c>
      <c r="E875" t="s">
        <v>3709</v>
      </c>
      <c r="F875">
        <v>4</v>
      </c>
      <c r="I875" t="str">
        <f>HYPERLINK("tel:+19493308535", "949-330-8535")</f>
        <v>949-330-8535</v>
      </c>
      <c r="J875" t="s">
        <v>3710</v>
      </c>
      <c r="K875" t="s">
        <v>3711</v>
      </c>
      <c r="M875">
        <v>9493308535</v>
      </c>
    </row>
    <row r="876" spans="1:13" x14ac:dyDescent="0.25">
      <c r="A876">
        <v>2134607818</v>
      </c>
      <c r="B876" t="s">
        <v>3712</v>
      </c>
      <c r="C876">
        <v>7995000</v>
      </c>
      <c r="D876" t="s">
        <v>3713</v>
      </c>
      <c r="E876" t="s">
        <v>3714</v>
      </c>
      <c r="F876">
        <v>4</v>
      </c>
      <c r="I876" t="str">
        <f>HYPERLINK("tel:+19493358616", "949-335-8616")</f>
        <v>949-335-8616</v>
      </c>
      <c r="J876" t="s">
        <v>3715</v>
      </c>
      <c r="K876" t="s">
        <v>3716</v>
      </c>
      <c r="M876">
        <v>9493358616</v>
      </c>
    </row>
    <row r="877" spans="1:13" x14ac:dyDescent="0.25">
      <c r="A877">
        <v>2915783261</v>
      </c>
      <c r="B877" t="s">
        <v>3717</v>
      </c>
      <c r="C877">
        <v>799999</v>
      </c>
      <c r="D877" t="s">
        <v>3718</v>
      </c>
      <c r="E877" t="s">
        <v>3719</v>
      </c>
      <c r="F877">
        <v>4</v>
      </c>
      <c r="I877" t="str">
        <f>HYPERLINK("tel:+19493670333", "949-367-0333")</f>
        <v>949-367-0333</v>
      </c>
      <c r="J877" t="s">
        <v>3720</v>
      </c>
      <c r="K877" t="s">
        <v>1248</v>
      </c>
      <c r="M877">
        <v>9493670333</v>
      </c>
    </row>
    <row r="878" spans="1:13" x14ac:dyDescent="0.25">
      <c r="A878">
        <v>2404981125</v>
      </c>
      <c r="B878" t="s">
        <v>3721</v>
      </c>
      <c r="C878">
        <v>17995000</v>
      </c>
      <c r="D878" t="s">
        <v>3722</v>
      </c>
      <c r="E878" t="s">
        <v>3723</v>
      </c>
      <c r="F878">
        <v>4</v>
      </c>
      <c r="I878" t="str">
        <f>HYPERLINK("tel:+19493758195", "949-375-8195")</f>
        <v>949-375-8195</v>
      </c>
      <c r="J878" t="s">
        <v>3724</v>
      </c>
      <c r="K878" t="s">
        <v>3725</v>
      </c>
      <c r="M878">
        <v>9493758195</v>
      </c>
    </row>
    <row r="879" spans="1:13" x14ac:dyDescent="0.25">
      <c r="A879">
        <v>1516181887</v>
      </c>
      <c r="B879" t="s">
        <v>3726</v>
      </c>
      <c r="C879">
        <v>2690000</v>
      </c>
      <c r="D879" t="s">
        <v>3727</v>
      </c>
      <c r="E879" t="s">
        <v>3728</v>
      </c>
      <c r="F879">
        <v>4</v>
      </c>
      <c r="I879" t="str">
        <f>HYPERLINK("tel:+19493786200", "949-378-6200")</f>
        <v>949-378-6200</v>
      </c>
      <c r="J879" t="s">
        <v>3729</v>
      </c>
      <c r="K879" t="s">
        <v>168</v>
      </c>
      <c r="M879">
        <v>9493786200</v>
      </c>
    </row>
    <row r="880" spans="1:13" x14ac:dyDescent="0.25">
      <c r="A880">
        <v>1960404242</v>
      </c>
      <c r="B880" t="s">
        <v>3730</v>
      </c>
      <c r="C880">
        <v>1199800</v>
      </c>
      <c r="D880" t="s">
        <v>3731</v>
      </c>
      <c r="E880" t="s">
        <v>3732</v>
      </c>
      <c r="F880">
        <v>4</v>
      </c>
      <c r="I880" t="str">
        <f>HYPERLINK("tel:+19493786402", "949-378-6402")</f>
        <v>949-378-6402</v>
      </c>
      <c r="J880" t="s">
        <v>3733</v>
      </c>
      <c r="K880" t="s">
        <v>3734</v>
      </c>
      <c r="M880">
        <v>9493786402</v>
      </c>
    </row>
    <row r="881" spans="1:13" x14ac:dyDescent="0.25">
      <c r="A881">
        <v>9600210073</v>
      </c>
      <c r="B881" t="s">
        <v>3735</v>
      </c>
      <c r="C881">
        <v>750000</v>
      </c>
      <c r="D881" t="s">
        <v>3736</v>
      </c>
      <c r="E881" t="s">
        <v>3737</v>
      </c>
      <c r="F881">
        <v>4</v>
      </c>
      <c r="I881" t="str">
        <f>HYPERLINK("tel:+19493871012", "949-387-1012")</f>
        <v>949-387-1012</v>
      </c>
      <c r="J881" t="s">
        <v>3738</v>
      </c>
      <c r="K881" t="s">
        <v>3739</v>
      </c>
      <c r="M881">
        <v>9493871012</v>
      </c>
    </row>
    <row r="882" spans="1:13" x14ac:dyDescent="0.25">
      <c r="A882">
        <v>2268233491</v>
      </c>
      <c r="B882" t="s">
        <v>3740</v>
      </c>
      <c r="C882">
        <v>1120000</v>
      </c>
      <c r="D882" t="s">
        <v>3741</v>
      </c>
      <c r="E882" t="s">
        <v>3742</v>
      </c>
      <c r="F882">
        <v>4</v>
      </c>
      <c r="I882" t="str">
        <f>HYPERLINK("tel:+19493915254", "949-391-5254")</f>
        <v>949-391-5254</v>
      </c>
      <c r="J882" t="s">
        <v>3743</v>
      </c>
      <c r="K882" t="s">
        <v>158</v>
      </c>
      <c r="M882">
        <v>9493915254</v>
      </c>
    </row>
    <row r="883" spans="1:13" x14ac:dyDescent="0.25">
      <c r="A883">
        <v>1209544105</v>
      </c>
      <c r="B883" t="s">
        <v>3744</v>
      </c>
      <c r="C883">
        <v>140000</v>
      </c>
      <c r="D883" t="s">
        <v>3745</v>
      </c>
      <c r="E883" t="s">
        <v>3746</v>
      </c>
      <c r="F883">
        <v>4</v>
      </c>
      <c r="I883" t="str">
        <f>HYPERLINK("tel:+19493957852", "949-395-7852")</f>
        <v>949-395-7852</v>
      </c>
      <c r="J883" t="s">
        <v>3747</v>
      </c>
      <c r="K883" t="s">
        <v>3748</v>
      </c>
      <c r="M883">
        <v>9493957852</v>
      </c>
    </row>
    <row r="884" spans="1:13" x14ac:dyDescent="0.25">
      <c r="A884">
        <v>9455269191</v>
      </c>
      <c r="B884" t="s">
        <v>3749</v>
      </c>
      <c r="C884">
        <v>1799900</v>
      </c>
      <c r="D884" t="s">
        <v>3750</v>
      </c>
      <c r="E884" t="s">
        <v>3751</v>
      </c>
      <c r="F884">
        <v>4</v>
      </c>
      <c r="I884" t="str">
        <f>HYPERLINK("tel:+19494007043", "949-400-7043")</f>
        <v>949-400-7043</v>
      </c>
      <c r="J884" t="s">
        <v>3752</v>
      </c>
      <c r="K884" t="s">
        <v>1248</v>
      </c>
      <c r="M884">
        <v>9494007043</v>
      </c>
    </row>
    <row r="885" spans="1:13" x14ac:dyDescent="0.25">
      <c r="A885">
        <v>2324031429</v>
      </c>
      <c r="B885" t="s">
        <v>3753</v>
      </c>
      <c r="C885">
        <v>1799000</v>
      </c>
      <c r="D885" t="s">
        <v>3754</v>
      </c>
      <c r="E885" t="s">
        <v>3755</v>
      </c>
      <c r="F885">
        <v>4</v>
      </c>
      <c r="I885" t="str">
        <f>HYPERLINK("tel:+19494079568", "949-407-9568")</f>
        <v>949-407-9568</v>
      </c>
      <c r="J885" t="s">
        <v>3756</v>
      </c>
      <c r="K885" t="s">
        <v>556</v>
      </c>
      <c r="M885">
        <v>9494079568</v>
      </c>
    </row>
    <row r="886" spans="1:13" x14ac:dyDescent="0.25">
      <c r="A886">
        <v>1458383633</v>
      </c>
      <c r="B886" t="s">
        <v>1194</v>
      </c>
      <c r="C886">
        <v>1378500</v>
      </c>
      <c r="D886" t="s">
        <v>1195</v>
      </c>
      <c r="E886" t="s">
        <v>3757</v>
      </c>
      <c r="F886">
        <v>4</v>
      </c>
      <c r="I886" t="str">
        <f>HYPERLINK("tel:+19494134065", "949-413-4065")</f>
        <v>949-413-4065</v>
      </c>
      <c r="J886" t="s">
        <v>3758</v>
      </c>
      <c r="K886" t="s">
        <v>744</v>
      </c>
      <c r="M886">
        <v>9494134065</v>
      </c>
    </row>
    <row r="887" spans="1:13" x14ac:dyDescent="0.25">
      <c r="A887">
        <v>2371363884</v>
      </c>
      <c r="B887" t="s">
        <v>3759</v>
      </c>
      <c r="C887">
        <v>1450000</v>
      </c>
      <c r="D887" t="s">
        <v>3760</v>
      </c>
      <c r="E887" t="s">
        <v>3761</v>
      </c>
      <c r="F887">
        <v>4</v>
      </c>
      <c r="I887" t="str">
        <f>HYPERLINK("tel:+19494136967", "949-413-6967")</f>
        <v>949-413-6967</v>
      </c>
      <c r="J887" t="s">
        <v>3762</v>
      </c>
      <c r="K887" t="s">
        <v>158</v>
      </c>
      <c r="M887">
        <v>9494136967</v>
      </c>
    </row>
    <row r="888" spans="1:13" x14ac:dyDescent="0.25">
      <c r="A888">
        <v>9641954138</v>
      </c>
      <c r="B888" t="s">
        <v>3763</v>
      </c>
      <c r="C888">
        <v>898000</v>
      </c>
      <c r="D888" t="s">
        <v>3764</v>
      </c>
      <c r="E888" t="s">
        <v>3765</v>
      </c>
      <c r="F888">
        <v>4</v>
      </c>
      <c r="I888" t="str">
        <f>HYPERLINK("tel:+19494335951", "949-433-5951")</f>
        <v>949-433-5951</v>
      </c>
      <c r="J888" t="s">
        <v>3766</v>
      </c>
      <c r="K888" t="s">
        <v>465</v>
      </c>
      <c r="M888">
        <v>9494335951</v>
      </c>
    </row>
    <row r="889" spans="1:13" x14ac:dyDescent="0.25">
      <c r="A889">
        <v>1080563563</v>
      </c>
      <c r="B889" t="s">
        <v>2424</v>
      </c>
      <c r="C889">
        <v>1700000</v>
      </c>
      <c r="D889" t="s">
        <v>2425</v>
      </c>
      <c r="E889" t="s">
        <v>3767</v>
      </c>
      <c r="F889">
        <v>4</v>
      </c>
      <c r="I889" t="str">
        <f>HYPERLINK("tel:+19494550606", "949-455-0606")</f>
        <v>949-455-0606</v>
      </c>
      <c r="J889" t="s">
        <v>3768</v>
      </c>
      <c r="K889" t="s">
        <v>3769</v>
      </c>
      <c r="M889">
        <v>9494550606</v>
      </c>
    </row>
    <row r="890" spans="1:13" x14ac:dyDescent="0.25">
      <c r="A890">
        <v>1787740033</v>
      </c>
      <c r="B890" t="s">
        <v>3770</v>
      </c>
      <c r="C890">
        <v>1799900</v>
      </c>
      <c r="D890" t="s">
        <v>3771</v>
      </c>
      <c r="E890" t="s">
        <v>3772</v>
      </c>
      <c r="F890">
        <v>4</v>
      </c>
      <c r="I890" t="str">
        <f>HYPERLINK("tel:+19494703600", "949-470-3600")</f>
        <v>949-470-3600</v>
      </c>
      <c r="J890" t="s">
        <v>3773</v>
      </c>
      <c r="K890" t="s">
        <v>3774</v>
      </c>
      <c r="M890">
        <v>9494703600</v>
      </c>
    </row>
    <row r="891" spans="1:13" x14ac:dyDescent="0.25">
      <c r="A891">
        <v>9130294417</v>
      </c>
      <c r="B891" t="s">
        <v>3775</v>
      </c>
      <c r="C891">
        <v>1075000</v>
      </c>
      <c r="D891" t="s">
        <v>3776</v>
      </c>
      <c r="E891" t="s">
        <v>3777</v>
      </c>
      <c r="F891">
        <v>4</v>
      </c>
      <c r="I891" t="str">
        <f>HYPERLINK("tel:+19494784851", "949-478-4851")</f>
        <v>949-478-4851</v>
      </c>
      <c r="J891" t="s">
        <v>3778</v>
      </c>
      <c r="K891" t="s">
        <v>168</v>
      </c>
      <c r="M891">
        <v>9494784851</v>
      </c>
    </row>
    <row r="892" spans="1:13" x14ac:dyDescent="0.25">
      <c r="A892">
        <v>9018561938</v>
      </c>
      <c r="B892" t="s">
        <v>3779</v>
      </c>
      <c r="C892">
        <v>799900</v>
      </c>
      <c r="D892" t="s">
        <v>3780</v>
      </c>
      <c r="E892" t="s">
        <v>3781</v>
      </c>
      <c r="F892">
        <v>4</v>
      </c>
      <c r="I892" t="str">
        <f>HYPERLINK("tel:+19494819667", "949-481-9667")</f>
        <v>949-481-9667</v>
      </c>
      <c r="J892" t="s">
        <v>3782</v>
      </c>
      <c r="K892" t="s">
        <v>1090</v>
      </c>
      <c r="M892">
        <v>9494819667</v>
      </c>
    </row>
    <row r="893" spans="1:13" x14ac:dyDescent="0.25">
      <c r="A893">
        <v>9420694206</v>
      </c>
      <c r="B893" t="s">
        <v>3783</v>
      </c>
      <c r="C893">
        <v>3500000</v>
      </c>
      <c r="D893" t="s">
        <v>3784</v>
      </c>
      <c r="E893" t="s">
        <v>3785</v>
      </c>
      <c r="F893">
        <v>4</v>
      </c>
      <c r="I893" t="str">
        <f>HYPERLINK("tel:+19495003910", "949-500-3910")</f>
        <v>949-500-3910</v>
      </c>
      <c r="J893" t="s">
        <v>3786</v>
      </c>
      <c r="K893" t="s">
        <v>24</v>
      </c>
      <c r="M893">
        <v>9495003910</v>
      </c>
    </row>
    <row r="894" spans="1:13" x14ac:dyDescent="0.25">
      <c r="A894">
        <v>1172534258</v>
      </c>
      <c r="B894" t="s">
        <v>3787</v>
      </c>
      <c r="C894">
        <v>999900</v>
      </c>
      <c r="D894" t="s">
        <v>3788</v>
      </c>
      <c r="E894" t="s">
        <v>3789</v>
      </c>
      <c r="F894">
        <v>4</v>
      </c>
      <c r="I894" t="str">
        <f>HYPERLINK("tel:+19495144219", "949-514-4219")</f>
        <v>949-514-4219</v>
      </c>
      <c r="J894" t="s">
        <v>3790</v>
      </c>
      <c r="K894" t="s">
        <v>3791</v>
      </c>
      <c r="M894">
        <v>9495144219</v>
      </c>
    </row>
    <row r="895" spans="1:13" x14ac:dyDescent="0.25">
      <c r="A895">
        <v>9039600039</v>
      </c>
      <c r="B895" t="s">
        <v>3792</v>
      </c>
      <c r="C895">
        <v>2695000</v>
      </c>
      <c r="D895" t="s">
        <v>3793</v>
      </c>
      <c r="E895" t="s">
        <v>3794</v>
      </c>
      <c r="F895">
        <v>4</v>
      </c>
      <c r="I895" t="str">
        <f>HYPERLINK("tel:+19495145113", "949-514-5113")</f>
        <v>949-514-5113</v>
      </c>
      <c r="J895" t="s">
        <v>3795</v>
      </c>
      <c r="K895" t="s">
        <v>617</v>
      </c>
      <c r="M895">
        <v>9495145113</v>
      </c>
    </row>
    <row r="896" spans="1:13" x14ac:dyDescent="0.25">
      <c r="A896">
        <v>9538154682</v>
      </c>
      <c r="B896" t="s">
        <v>3796</v>
      </c>
      <c r="C896">
        <v>2250000</v>
      </c>
      <c r="D896" t="s">
        <v>3797</v>
      </c>
      <c r="E896" t="s">
        <v>3798</v>
      </c>
      <c r="F896">
        <v>4</v>
      </c>
      <c r="I896" t="str">
        <f>HYPERLINK("tel:+19495364014", "949-536-4014")</f>
        <v>949-536-4014</v>
      </c>
      <c r="J896" t="s">
        <v>3799</v>
      </c>
      <c r="K896" t="s">
        <v>3800</v>
      </c>
      <c r="M896">
        <v>9495364014</v>
      </c>
    </row>
    <row r="897" spans="1:13" x14ac:dyDescent="0.25">
      <c r="A897">
        <v>2680064802</v>
      </c>
      <c r="B897" t="s">
        <v>3801</v>
      </c>
      <c r="C897">
        <v>1650000</v>
      </c>
      <c r="D897" t="s">
        <v>3802</v>
      </c>
      <c r="E897" t="s">
        <v>3803</v>
      </c>
      <c r="F897">
        <v>4</v>
      </c>
      <c r="I897" t="str">
        <f>HYPERLINK("tel:+19495372079", "949-537-2079")</f>
        <v>949-537-2079</v>
      </c>
      <c r="J897" t="s">
        <v>3804</v>
      </c>
      <c r="K897" t="s">
        <v>744</v>
      </c>
      <c r="M897">
        <v>9495372079</v>
      </c>
    </row>
    <row r="898" spans="1:13" x14ac:dyDescent="0.25">
      <c r="A898">
        <v>2897934829</v>
      </c>
      <c r="B898" t="s">
        <v>3805</v>
      </c>
      <c r="C898">
        <v>1450000</v>
      </c>
      <c r="D898" t="s">
        <v>3806</v>
      </c>
      <c r="E898" t="s">
        <v>3807</v>
      </c>
      <c r="F898">
        <v>4</v>
      </c>
      <c r="I898" t="str">
        <f>HYPERLINK("tel:+19495623962", "949-562-3962")</f>
        <v>949-562-3962</v>
      </c>
      <c r="J898" t="s">
        <v>3808</v>
      </c>
      <c r="K898" t="s">
        <v>3809</v>
      </c>
      <c r="M898">
        <v>9495623962</v>
      </c>
    </row>
    <row r="899" spans="1:13" x14ac:dyDescent="0.25">
      <c r="A899">
        <v>1909946431</v>
      </c>
      <c r="B899" t="s">
        <v>3810</v>
      </c>
      <c r="C899">
        <v>4195000</v>
      </c>
      <c r="D899" t="s">
        <v>3811</v>
      </c>
      <c r="E899" t="s">
        <v>3812</v>
      </c>
      <c r="F899">
        <v>4</v>
      </c>
      <c r="I899" t="str">
        <f>HYPERLINK("tel:+19496125592", "949-612-5592")</f>
        <v>949-612-5592</v>
      </c>
      <c r="J899" t="s">
        <v>3813</v>
      </c>
      <c r="K899" t="s">
        <v>4</v>
      </c>
      <c r="M899">
        <v>9496125592</v>
      </c>
    </row>
    <row r="900" spans="1:13" x14ac:dyDescent="0.25">
      <c r="A900">
        <v>2561653230</v>
      </c>
      <c r="B900" t="s">
        <v>3814</v>
      </c>
      <c r="C900">
        <v>1129000</v>
      </c>
      <c r="D900" t="s">
        <v>3815</v>
      </c>
      <c r="E900" t="s">
        <v>3816</v>
      </c>
      <c r="F900">
        <v>4</v>
      </c>
      <c r="I900" t="str">
        <f>HYPERLINK("tel:+19496754822", "949-675-4822")</f>
        <v>949-675-4822</v>
      </c>
      <c r="J900" t="s">
        <v>3817</v>
      </c>
      <c r="K900" t="s">
        <v>2356</v>
      </c>
      <c r="M900">
        <v>9496754822</v>
      </c>
    </row>
    <row r="901" spans="1:13" x14ac:dyDescent="0.25">
      <c r="A901">
        <v>1444477442</v>
      </c>
      <c r="B901" t="s">
        <v>1694</v>
      </c>
      <c r="C901">
        <v>64900000</v>
      </c>
      <c r="D901" t="s">
        <v>1695</v>
      </c>
      <c r="E901" t="s">
        <v>3818</v>
      </c>
      <c r="F901">
        <v>4</v>
      </c>
      <c r="I901" t="str">
        <f>HYPERLINK("tel:+19496893550", "949-689-3550")</f>
        <v>949-689-3550</v>
      </c>
      <c r="J901" t="s">
        <v>3819</v>
      </c>
      <c r="K901" t="s">
        <v>168</v>
      </c>
      <c r="M901">
        <v>9496893550</v>
      </c>
    </row>
    <row r="902" spans="1:13" x14ac:dyDescent="0.25">
      <c r="A902">
        <v>1295101943</v>
      </c>
      <c r="B902" t="s">
        <v>3820</v>
      </c>
      <c r="C902">
        <v>1488000</v>
      </c>
      <c r="D902" t="s">
        <v>3821</v>
      </c>
      <c r="E902" t="s">
        <v>3822</v>
      </c>
      <c r="F902">
        <v>4</v>
      </c>
      <c r="I902" t="str">
        <f>HYPERLINK("tel:+19496898921", "949-689-8921")</f>
        <v>949-689-8921</v>
      </c>
      <c r="J902" t="s">
        <v>3823</v>
      </c>
      <c r="K902" t="s">
        <v>3824</v>
      </c>
      <c r="M902">
        <v>9496898921</v>
      </c>
    </row>
    <row r="903" spans="1:13" x14ac:dyDescent="0.25">
      <c r="A903">
        <v>1041310388</v>
      </c>
      <c r="B903" t="s">
        <v>3825</v>
      </c>
      <c r="C903">
        <v>1989000</v>
      </c>
      <c r="D903" t="s">
        <v>3826</v>
      </c>
      <c r="E903" t="s">
        <v>3827</v>
      </c>
      <c r="F903">
        <v>4</v>
      </c>
      <c r="I903" t="str">
        <f>HYPERLINK("tel:+19496907149", "949-690-7149")</f>
        <v>949-690-7149</v>
      </c>
      <c r="J903" t="s">
        <v>3828</v>
      </c>
      <c r="K903" t="s">
        <v>1193</v>
      </c>
      <c r="M903">
        <v>9496907149</v>
      </c>
    </row>
    <row r="904" spans="1:13" x14ac:dyDescent="0.25">
      <c r="A904">
        <v>1872444297</v>
      </c>
      <c r="B904" t="s">
        <v>949</v>
      </c>
      <c r="C904">
        <v>59000000</v>
      </c>
      <c r="D904" t="s">
        <v>950</v>
      </c>
      <c r="E904" t="s">
        <v>3829</v>
      </c>
      <c r="F904">
        <v>4</v>
      </c>
      <c r="I904" t="str">
        <f>HYPERLINK("tel:+19496981905", "949-698-1905")</f>
        <v>949-698-1905</v>
      </c>
      <c r="J904" t="s">
        <v>3830</v>
      </c>
      <c r="K904" t="s">
        <v>617</v>
      </c>
      <c r="M904">
        <v>9496981905</v>
      </c>
    </row>
    <row r="905" spans="1:13" x14ac:dyDescent="0.25">
      <c r="A905">
        <v>9877385317</v>
      </c>
      <c r="B905" t="s">
        <v>3831</v>
      </c>
      <c r="C905">
        <v>825000</v>
      </c>
      <c r="D905" t="s">
        <v>3832</v>
      </c>
      <c r="E905" t="s">
        <v>3833</v>
      </c>
      <c r="F905">
        <v>4</v>
      </c>
      <c r="I905" t="str">
        <f>HYPERLINK("tel:+19497024400", "949-702-4400")</f>
        <v>949-702-4400</v>
      </c>
      <c r="J905" t="s">
        <v>3834</v>
      </c>
      <c r="K905" t="s">
        <v>158</v>
      </c>
      <c r="M905">
        <v>9497024400</v>
      </c>
    </row>
    <row r="906" spans="1:13" x14ac:dyDescent="0.25">
      <c r="A906">
        <v>1315271805</v>
      </c>
      <c r="B906" t="s">
        <v>3835</v>
      </c>
      <c r="C906">
        <v>2895000</v>
      </c>
      <c r="D906" t="s">
        <v>3836</v>
      </c>
      <c r="E906" t="s">
        <v>3837</v>
      </c>
      <c r="F906">
        <v>4</v>
      </c>
      <c r="I906" t="str">
        <f>HYPERLINK("tel:+19497177269", "949-717-7269")</f>
        <v>949-717-7269</v>
      </c>
      <c r="J906" t="s">
        <v>3838</v>
      </c>
      <c r="K906" t="s">
        <v>3839</v>
      </c>
      <c r="M906">
        <v>9497177269</v>
      </c>
    </row>
    <row r="907" spans="1:13" x14ac:dyDescent="0.25">
      <c r="A907">
        <v>2915783261</v>
      </c>
      <c r="B907" t="s">
        <v>3717</v>
      </c>
      <c r="C907">
        <v>799999</v>
      </c>
      <c r="D907" t="s">
        <v>3718</v>
      </c>
      <c r="E907" t="s">
        <v>3840</v>
      </c>
      <c r="F907">
        <v>4</v>
      </c>
      <c r="I907" t="str">
        <f>HYPERLINK("tel:+19497425467", "949-742-5467")</f>
        <v>949-742-5467</v>
      </c>
      <c r="J907" t="s">
        <v>3841</v>
      </c>
      <c r="K907" t="s">
        <v>1248</v>
      </c>
      <c r="M907">
        <v>9497425467</v>
      </c>
    </row>
    <row r="908" spans="1:13" x14ac:dyDescent="0.25">
      <c r="A908">
        <v>1634058435</v>
      </c>
      <c r="B908" t="s">
        <v>3842</v>
      </c>
      <c r="C908">
        <v>739000</v>
      </c>
      <c r="D908" t="s">
        <v>3843</v>
      </c>
      <c r="E908" t="s">
        <v>3844</v>
      </c>
      <c r="F908">
        <v>4</v>
      </c>
      <c r="I908" t="str">
        <f>HYPERLINK("tel:+19498425340", "949-842-5340")</f>
        <v>949-842-5340</v>
      </c>
      <c r="J908" t="s">
        <v>3845</v>
      </c>
      <c r="K908" t="s">
        <v>168</v>
      </c>
      <c r="M908">
        <v>9498425340</v>
      </c>
    </row>
    <row r="909" spans="1:13" x14ac:dyDescent="0.25">
      <c r="A909">
        <v>2273928913</v>
      </c>
      <c r="B909" t="s">
        <v>918</v>
      </c>
      <c r="C909">
        <v>18500000</v>
      </c>
      <c r="D909" t="s">
        <v>919</v>
      </c>
      <c r="E909" t="s">
        <v>3846</v>
      </c>
      <c r="F909">
        <v>4</v>
      </c>
      <c r="I909" t="str">
        <f>HYPERLINK("tel:+19498737649", "949-873-7649")</f>
        <v>949-873-7649</v>
      </c>
      <c r="J909" t="s">
        <v>3847</v>
      </c>
      <c r="K909" t="s">
        <v>168</v>
      </c>
      <c r="M909">
        <v>9498737649</v>
      </c>
    </row>
    <row r="910" spans="1:13" x14ac:dyDescent="0.25">
      <c r="A910">
        <v>2157555874</v>
      </c>
      <c r="B910" t="s">
        <v>3848</v>
      </c>
      <c r="C910">
        <v>5750000</v>
      </c>
      <c r="D910" t="s">
        <v>3849</v>
      </c>
      <c r="E910" t="s">
        <v>3850</v>
      </c>
      <c r="F910">
        <v>4</v>
      </c>
      <c r="I910" t="str">
        <f>HYPERLINK("tel:+19498741187", "949-874-1187")</f>
        <v>949-874-1187</v>
      </c>
      <c r="J910" t="s">
        <v>3851</v>
      </c>
      <c r="K910" t="s">
        <v>3852</v>
      </c>
      <c r="M910">
        <v>9498741187</v>
      </c>
    </row>
    <row r="911" spans="1:13" x14ac:dyDescent="0.25">
      <c r="A911">
        <v>1787740033</v>
      </c>
      <c r="B911" t="s">
        <v>3770</v>
      </c>
      <c r="C911">
        <v>1799900</v>
      </c>
      <c r="D911" t="s">
        <v>3771</v>
      </c>
      <c r="E911" t="s">
        <v>3853</v>
      </c>
      <c r="F911">
        <v>4</v>
      </c>
      <c r="I911" t="str">
        <f>HYPERLINK("tel:+19498741488", "949-874-1488")</f>
        <v>949-874-1488</v>
      </c>
      <c r="J911" t="s">
        <v>3854</v>
      </c>
      <c r="K911" t="s">
        <v>3774</v>
      </c>
      <c r="M911">
        <v>9498741488</v>
      </c>
    </row>
    <row r="912" spans="1:13" x14ac:dyDescent="0.25">
      <c r="A912">
        <v>1763590479</v>
      </c>
      <c r="B912" t="s">
        <v>3855</v>
      </c>
      <c r="C912">
        <v>26495000</v>
      </c>
      <c r="D912" t="s">
        <v>3856</v>
      </c>
      <c r="E912" t="s">
        <v>3857</v>
      </c>
      <c r="F912">
        <v>4</v>
      </c>
      <c r="I912" t="str">
        <f>HYPERLINK("tel:+19498744724", "949-874-4724")</f>
        <v>949-874-4724</v>
      </c>
      <c r="J912" t="s">
        <v>3858</v>
      </c>
      <c r="K912" t="s">
        <v>219</v>
      </c>
      <c r="M912">
        <v>9498744724</v>
      </c>
    </row>
    <row r="913" spans="1:13" x14ac:dyDescent="0.25">
      <c r="A913">
        <v>9259307224</v>
      </c>
      <c r="B913" t="s">
        <v>3859</v>
      </c>
      <c r="C913">
        <v>4888000</v>
      </c>
      <c r="D913" t="s">
        <v>3860</v>
      </c>
      <c r="E913" t="s">
        <v>3861</v>
      </c>
      <c r="F913">
        <v>4</v>
      </c>
      <c r="I913" t="str">
        <f>HYPERLINK("tel:+19498787770", "949-878-7770")</f>
        <v>949-878-7770</v>
      </c>
      <c r="J913" t="s">
        <v>3862</v>
      </c>
      <c r="K913" t="s">
        <v>1707</v>
      </c>
      <c r="M913">
        <v>9498787770</v>
      </c>
    </row>
    <row r="914" spans="1:13" x14ac:dyDescent="0.25">
      <c r="A914">
        <v>2228420564</v>
      </c>
      <c r="B914" t="s">
        <v>2365</v>
      </c>
      <c r="C914">
        <v>4398000</v>
      </c>
      <c r="D914" t="s">
        <v>2366</v>
      </c>
      <c r="E914" t="s">
        <v>3863</v>
      </c>
      <c r="F914">
        <v>4</v>
      </c>
      <c r="I914" t="str">
        <f>HYPERLINK("tel:+19498870643", "949-887-0643")</f>
        <v>949-887-0643</v>
      </c>
      <c r="J914" t="s">
        <v>3864</v>
      </c>
      <c r="K914" t="s">
        <v>744</v>
      </c>
      <c r="M914">
        <v>9498870643</v>
      </c>
    </row>
    <row r="915" spans="1:13" x14ac:dyDescent="0.25">
      <c r="A915">
        <v>2149611989</v>
      </c>
      <c r="B915" t="s">
        <v>3865</v>
      </c>
      <c r="C915">
        <v>3780000</v>
      </c>
      <c r="D915" t="s">
        <v>3866</v>
      </c>
      <c r="E915" t="s">
        <v>3867</v>
      </c>
      <c r="F915">
        <v>4</v>
      </c>
      <c r="I915" t="str">
        <f>HYPERLINK("tel:+19498983200", "949-898-3200")</f>
        <v>949-898-3200</v>
      </c>
      <c r="J915" t="s">
        <v>3868</v>
      </c>
      <c r="K915" t="s">
        <v>744</v>
      </c>
      <c r="M915">
        <v>9498983200</v>
      </c>
    </row>
    <row r="916" spans="1:13" x14ac:dyDescent="0.25">
      <c r="A916">
        <v>1043676852</v>
      </c>
      <c r="B916" t="s">
        <v>3869</v>
      </c>
      <c r="C916">
        <v>1899900</v>
      </c>
      <c r="D916" t="s">
        <v>3870</v>
      </c>
      <c r="E916" t="s">
        <v>3871</v>
      </c>
      <c r="F916">
        <v>4</v>
      </c>
      <c r="I916" t="str">
        <f>HYPERLINK("tel:+19499295727", "949-929-5727")</f>
        <v>949-929-5727</v>
      </c>
      <c r="J916" t="s">
        <v>3872</v>
      </c>
      <c r="K916" t="s">
        <v>3873</v>
      </c>
      <c r="M916">
        <v>9499295727</v>
      </c>
    </row>
    <row r="917" spans="1:13" x14ac:dyDescent="0.25">
      <c r="A917">
        <v>2228743699</v>
      </c>
      <c r="B917" t="s">
        <v>3874</v>
      </c>
      <c r="C917">
        <v>759000</v>
      </c>
      <c r="D917" t="s">
        <v>3875</v>
      </c>
      <c r="E917" t="s">
        <v>3876</v>
      </c>
      <c r="F917">
        <v>4</v>
      </c>
      <c r="I917" t="str">
        <f>HYPERLINK("tel:+19499296351", "949-929-6351")</f>
        <v>949-929-6351</v>
      </c>
      <c r="J917" t="s">
        <v>3877</v>
      </c>
      <c r="K917" t="s">
        <v>3878</v>
      </c>
      <c r="M917">
        <v>9499296351</v>
      </c>
    </row>
    <row r="918" spans="1:13" x14ac:dyDescent="0.25">
      <c r="A918">
        <v>1142799214</v>
      </c>
      <c r="B918" t="s">
        <v>3879</v>
      </c>
      <c r="C918">
        <v>1025000</v>
      </c>
      <c r="D918" t="s">
        <v>3880</v>
      </c>
      <c r="E918" t="s">
        <v>3881</v>
      </c>
      <c r="F918">
        <v>4</v>
      </c>
      <c r="I918" t="str">
        <f>HYPERLINK("tel:+19499434186", "949-943-4186")</f>
        <v>949-943-4186</v>
      </c>
      <c r="J918" t="s">
        <v>3882</v>
      </c>
      <c r="K918" t="s">
        <v>450</v>
      </c>
      <c r="M918">
        <v>9499434186</v>
      </c>
    </row>
    <row r="919" spans="1:13" x14ac:dyDescent="0.25">
      <c r="A919">
        <v>2806153584</v>
      </c>
      <c r="B919" t="s">
        <v>3883</v>
      </c>
      <c r="C919">
        <v>1399900</v>
      </c>
      <c r="D919" t="s">
        <v>3884</v>
      </c>
      <c r="E919" t="s">
        <v>3885</v>
      </c>
      <c r="F919">
        <v>4</v>
      </c>
      <c r="I919" t="str">
        <f>HYPERLINK("tel:+19499734492", "949-973-4492")</f>
        <v>949-973-4492</v>
      </c>
      <c r="J919" t="s">
        <v>3886</v>
      </c>
      <c r="K919" t="s">
        <v>3887</v>
      </c>
      <c r="M919">
        <v>9499734492</v>
      </c>
    </row>
    <row r="920" spans="1:13" x14ac:dyDescent="0.25">
      <c r="A920">
        <v>2053370448</v>
      </c>
      <c r="B920" t="s">
        <v>3888</v>
      </c>
      <c r="C920">
        <v>3995000</v>
      </c>
      <c r="D920" t="s">
        <v>3889</v>
      </c>
      <c r="E920" t="s">
        <v>3890</v>
      </c>
      <c r="F920">
        <v>4</v>
      </c>
      <c r="I920" t="str">
        <f>HYPERLINK("tel:+19499954339", "949-995-4339")</f>
        <v>949-995-4339</v>
      </c>
      <c r="J920" t="s">
        <v>3891</v>
      </c>
      <c r="K920" t="s">
        <v>3892</v>
      </c>
      <c r="M920">
        <v>9499954339</v>
      </c>
    </row>
    <row r="921" spans="1:13" x14ac:dyDescent="0.25">
      <c r="A921">
        <v>2135705741</v>
      </c>
      <c r="B921" t="s">
        <v>3893</v>
      </c>
      <c r="C921">
        <v>240000</v>
      </c>
      <c r="D921" t="s">
        <v>3894</v>
      </c>
      <c r="E921" t="s">
        <v>3895</v>
      </c>
      <c r="F921">
        <v>4</v>
      </c>
      <c r="I921" t="str">
        <f>HYPERLINK("tel:+19517321663", "951-732-1663")</f>
        <v>951-732-1663</v>
      </c>
      <c r="J921" t="s">
        <v>3896</v>
      </c>
      <c r="K921" t="s">
        <v>3209</v>
      </c>
      <c r="M921">
        <v>9517321663</v>
      </c>
    </row>
    <row r="922" spans="1:13" x14ac:dyDescent="0.25">
      <c r="A922">
        <v>9985889181</v>
      </c>
      <c r="B922" t="s">
        <v>3897</v>
      </c>
      <c r="C922">
        <v>4200000</v>
      </c>
      <c r="D922" t="s">
        <v>3898</v>
      </c>
      <c r="E922" t="s">
        <v>3899</v>
      </c>
      <c r="F922">
        <v>3</v>
      </c>
      <c r="I922" t="str">
        <f>HYPERLINK("tel:+12087206203", "208-720-6203")</f>
        <v>208-720-6203</v>
      </c>
      <c r="J922" t="s">
        <v>3900</v>
      </c>
      <c r="K922" t="s">
        <v>744</v>
      </c>
      <c r="M922">
        <v>2087206203</v>
      </c>
    </row>
    <row r="923" spans="1:13" x14ac:dyDescent="0.25">
      <c r="A923">
        <v>9836150467</v>
      </c>
      <c r="B923" t="s">
        <v>3901</v>
      </c>
      <c r="C923">
        <v>1179990</v>
      </c>
      <c r="D923" t="s">
        <v>3902</v>
      </c>
      <c r="E923" t="s">
        <v>3903</v>
      </c>
      <c r="F923">
        <v>3</v>
      </c>
      <c r="I923" t="str">
        <f>HYPERLINK("tel:+12092421857", "209-242-1857")</f>
        <v>209-242-1857</v>
      </c>
      <c r="J923" t="s">
        <v>3904</v>
      </c>
      <c r="K923" t="s">
        <v>3905</v>
      </c>
      <c r="M923">
        <v>2092421857</v>
      </c>
    </row>
    <row r="924" spans="1:13" x14ac:dyDescent="0.25">
      <c r="A924">
        <v>2721832586</v>
      </c>
      <c r="B924" t="s">
        <v>3906</v>
      </c>
      <c r="C924">
        <v>995000</v>
      </c>
      <c r="D924" t="s">
        <v>3907</v>
      </c>
      <c r="E924" t="s">
        <v>3908</v>
      </c>
      <c r="F924">
        <v>3</v>
      </c>
      <c r="I924" t="str">
        <f>HYPERLINK("tel:+12132393392", "213-239-3392")</f>
        <v>213-239-3392</v>
      </c>
      <c r="J924" t="s">
        <v>3909</v>
      </c>
      <c r="K924" t="s">
        <v>3910</v>
      </c>
      <c r="M924">
        <v>2132393392</v>
      </c>
    </row>
    <row r="925" spans="1:13" x14ac:dyDescent="0.25">
      <c r="A925">
        <v>2901325726</v>
      </c>
      <c r="B925" t="s">
        <v>3911</v>
      </c>
      <c r="C925">
        <v>845000</v>
      </c>
      <c r="D925" t="s">
        <v>3912</v>
      </c>
      <c r="E925" t="s">
        <v>3913</v>
      </c>
      <c r="F925">
        <v>3</v>
      </c>
      <c r="I925" t="str">
        <f>HYPERLINK("tel:+12132483238", "213-248-3238")</f>
        <v>213-248-3238</v>
      </c>
      <c r="J925" t="s">
        <v>3914</v>
      </c>
      <c r="K925" t="s">
        <v>3915</v>
      </c>
      <c r="M925">
        <v>2132483238</v>
      </c>
    </row>
    <row r="926" spans="1:13" x14ac:dyDescent="0.25">
      <c r="A926">
        <v>2638509086</v>
      </c>
      <c r="B926" t="s">
        <v>3916</v>
      </c>
      <c r="C926">
        <v>2590000</v>
      </c>
      <c r="D926" t="s">
        <v>3917</v>
      </c>
      <c r="E926" t="s">
        <v>3918</v>
      </c>
      <c r="F926">
        <v>3</v>
      </c>
      <c r="I926" t="str">
        <f>HYPERLINK("tel:+12132778895", "213-277-8895")</f>
        <v>213-277-8895</v>
      </c>
      <c r="J926" t="s">
        <v>3919</v>
      </c>
      <c r="K926" t="s">
        <v>24</v>
      </c>
      <c r="M926">
        <v>2132778895</v>
      </c>
    </row>
    <row r="927" spans="1:13" x14ac:dyDescent="0.25">
      <c r="A927">
        <v>1874684809</v>
      </c>
      <c r="B927" t="s">
        <v>3920</v>
      </c>
      <c r="C927">
        <v>12500000</v>
      </c>
      <c r="D927" t="s">
        <v>3921</v>
      </c>
      <c r="E927" t="s">
        <v>3922</v>
      </c>
      <c r="F927">
        <v>3</v>
      </c>
      <c r="I927" t="str">
        <f>HYPERLINK("tel:+12132809620", "213-280-9620")</f>
        <v>213-280-9620</v>
      </c>
      <c r="J927" t="s">
        <v>3923</v>
      </c>
      <c r="K927" t="s">
        <v>24</v>
      </c>
      <c r="M927">
        <v>2132809620</v>
      </c>
    </row>
    <row r="928" spans="1:13" x14ac:dyDescent="0.25">
      <c r="A928">
        <v>1843331096</v>
      </c>
      <c r="B928" t="s">
        <v>3924</v>
      </c>
      <c r="C928">
        <v>395000</v>
      </c>
      <c r="D928" t="s">
        <v>3925</v>
      </c>
      <c r="E928" t="s">
        <v>3926</v>
      </c>
      <c r="F928">
        <v>3</v>
      </c>
      <c r="I928" t="str">
        <f>HYPERLINK("tel:+12133242152", "213-324-2152")</f>
        <v>213-324-2152</v>
      </c>
      <c r="J928" t="s">
        <v>3927</v>
      </c>
      <c r="K928" t="s">
        <v>3928</v>
      </c>
      <c r="M928">
        <v>2133242152</v>
      </c>
    </row>
    <row r="929" spans="1:13" x14ac:dyDescent="0.25">
      <c r="A929">
        <v>2789981846</v>
      </c>
      <c r="B929" t="s">
        <v>3929</v>
      </c>
      <c r="C929">
        <v>1699800</v>
      </c>
      <c r="D929" t="s">
        <v>3930</v>
      </c>
      <c r="E929" t="s">
        <v>3931</v>
      </c>
      <c r="F929">
        <v>3</v>
      </c>
      <c r="I929" t="str">
        <f>HYPERLINK("tel:+12133329045", "213-332-9045")</f>
        <v>213-332-9045</v>
      </c>
      <c r="J929" t="s">
        <v>3932</v>
      </c>
      <c r="K929" t="s">
        <v>622</v>
      </c>
      <c r="M929">
        <v>2133329045</v>
      </c>
    </row>
    <row r="930" spans="1:13" x14ac:dyDescent="0.25">
      <c r="A930">
        <v>1868118483</v>
      </c>
      <c r="B930" t="s">
        <v>3933</v>
      </c>
      <c r="C930">
        <v>1689000</v>
      </c>
      <c r="D930" t="s">
        <v>3934</v>
      </c>
      <c r="E930" t="s">
        <v>3935</v>
      </c>
      <c r="F930">
        <v>3</v>
      </c>
      <c r="I930" t="str">
        <f>HYPERLINK("tel:+12133361336", "213-336-1336")</f>
        <v>213-336-1336</v>
      </c>
      <c r="J930" t="s">
        <v>3936</v>
      </c>
      <c r="K930" t="s">
        <v>3937</v>
      </c>
      <c r="M930">
        <v>2133361336</v>
      </c>
    </row>
    <row r="931" spans="1:13" x14ac:dyDescent="0.25">
      <c r="A931">
        <v>9161091343</v>
      </c>
      <c r="B931" t="s">
        <v>3938</v>
      </c>
      <c r="C931">
        <v>4299999</v>
      </c>
      <c r="D931" t="s">
        <v>3939</v>
      </c>
      <c r="E931" t="s">
        <v>3940</v>
      </c>
      <c r="F931">
        <v>3</v>
      </c>
      <c r="I931" t="str">
        <f>HYPERLINK("tel:+12133695352", "213-369-5352")</f>
        <v>213-369-5352</v>
      </c>
      <c r="J931" t="s">
        <v>3941</v>
      </c>
      <c r="K931" t="s">
        <v>3942</v>
      </c>
      <c r="M931">
        <v>2133695352</v>
      </c>
    </row>
    <row r="932" spans="1:13" x14ac:dyDescent="0.25">
      <c r="A932">
        <v>1520045898</v>
      </c>
      <c r="B932" t="s">
        <v>3943</v>
      </c>
      <c r="C932">
        <v>1129000</v>
      </c>
      <c r="D932" t="s">
        <v>3944</v>
      </c>
      <c r="E932" t="s">
        <v>3945</v>
      </c>
      <c r="F932">
        <v>3</v>
      </c>
      <c r="I932" t="str">
        <f>HYPERLINK("tel:+12133858808", "213-385-8808")</f>
        <v>213-385-8808</v>
      </c>
      <c r="J932" t="s">
        <v>3946</v>
      </c>
      <c r="K932" t="s">
        <v>1730</v>
      </c>
      <c r="M932">
        <v>2133858808</v>
      </c>
    </row>
    <row r="933" spans="1:13" x14ac:dyDescent="0.25">
      <c r="A933">
        <v>1298167654</v>
      </c>
      <c r="B933" t="s">
        <v>1489</v>
      </c>
      <c r="C933">
        <v>1925000</v>
      </c>
      <c r="D933" t="s">
        <v>1490</v>
      </c>
      <c r="E933" t="s">
        <v>3947</v>
      </c>
      <c r="F933">
        <v>3</v>
      </c>
      <c r="I933" t="str">
        <f>HYPERLINK("tel:+12133897660", "213-389-7660")</f>
        <v>213-389-7660</v>
      </c>
      <c r="J933" t="s">
        <v>3948</v>
      </c>
      <c r="K933" t="s">
        <v>3949</v>
      </c>
      <c r="M933">
        <v>2133897660</v>
      </c>
    </row>
    <row r="934" spans="1:13" x14ac:dyDescent="0.25">
      <c r="A934">
        <v>9249088237</v>
      </c>
      <c r="B934" t="s">
        <v>3950</v>
      </c>
      <c r="C934">
        <v>569000</v>
      </c>
      <c r="D934" t="s">
        <v>3951</v>
      </c>
      <c r="E934" t="s">
        <v>3952</v>
      </c>
      <c r="F934">
        <v>3</v>
      </c>
      <c r="I934" t="str">
        <f>HYPERLINK("tel:+12134474130", "213-447-4130")</f>
        <v>213-447-4130</v>
      </c>
      <c r="J934" t="s">
        <v>3953</v>
      </c>
      <c r="K934" t="s">
        <v>3954</v>
      </c>
      <c r="M934">
        <v>2134474130</v>
      </c>
    </row>
    <row r="935" spans="1:13" x14ac:dyDescent="0.25">
      <c r="A935">
        <v>1481517285</v>
      </c>
      <c r="B935" t="s">
        <v>3955</v>
      </c>
      <c r="C935">
        <v>1997000</v>
      </c>
      <c r="D935" t="s">
        <v>3956</v>
      </c>
      <c r="E935" t="s">
        <v>3957</v>
      </c>
      <c r="F935">
        <v>3</v>
      </c>
      <c r="I935" t="str">
        <f>HYPERLINK("tel:+12134480957", "213-448-0957")</f>
        <v>213-448-0957</v>
      </c>
      <c r="J935" t="s">
        <v>3958</v>
      </c>
      <c r="K935" t="s">
        <v>3959</v>
      </c>
      <c r="M935">
        <v>2134480957</v>
      </c>
    </row>
    <row r="936" spans="1:13" x14ac:dyDescent="0.25">
      <c r="A936">
        <v>1085809072</v>
      </c>
      <c r="B936" t="s">
        <v>3960</v>
      </c>
      <c r="C936">
        <v>350000</v>
      </c>
      <c r="D936" t="s">
        <v>3961</v>
      </c>
      <c r="E936" t="s">
        <v>3962</v>
      </c>
      <c r="F936">
        <v>3</v>
      </c>
      <c r="I936" t="str">
        <f>HYPERLINK("tel:+12134650936", "213-465-0936")</f>
        <v>213-465-0936</v>
      </c>
      <c r="J936" t="s">
        <v>3963</v>
      </c>
      <c r="K936" t="s">
        <v>583</v>
      </c>
      <c r="M936">
        <v>2134650936</v>
      </c>
    </row>
    <row r="937" spans="1:13" x14ac:dyDescent="0.25">
      <c r="A937">
        <v>2357342627</v>
      </c>
      <c r="B937" t="s">
        <v>3964</v>
      </c>
      <c r="C937">
        <v>799000</v>
      </c>
      <c r="D937" t="s">
        <v>3965</v>
      </c>
      <c r="E937" t="s">
        <v>3966</v>
      </c>
      <c r="F937">
        <v>3</v>
      </c>
      <c r="I937" t="str">
        <f>HYPERLINK("tel:+12135098398", "213-509-8398")</f>
        <v>213-509-8398</v>
      </c>
      <c r="J937" t="s">
        <v>3967</v>
      </c>
      <c r="K937" t="s">
        <v>431</v>
      </c>
      <c r="M937">
        <v>2135098398</v>
      </c>
    </row>
    <row r="938" spans="1:13" x14ac:dyDescent="0.25">
      <c r="A938">
        <v>1237474458</v>
      </c>
      <c r="B938" t="s">
        <v>3968</v>
      </c>
      <c r="C938">
        <v>525000</v>
      </c>
      <c r="D938" t="s">
        <v>3969</v>
      </c>
      <c r="E938" t="s">
        <v>3970</v>
      </c>
      <c r="F938">
        <v>3</v>
      </c>
      <c r="I938" t="str">
        <f>HYPERLINK("tel:+12135907380", "213-590-7380")</f>
        <v>213-590-7380</v>
      </c>
      <c r="J938" t="s">
        <v>3971</v>
      </c>
      <c r="M938">
        <v>2135907380</v>
      </c>
    </row>
    <row r="939" spans="1:13" x14ac:dyDescent="0.25">
      <c r="A939">
        <v>1926074544</v>
      </c>
      <c r="B939" t="s">
        <v>3972</v>
      </c>
      <c r="C939">
        <v>3999000</v>
      </c>
      <c r="D939" t="s">
        <v>3973</v>
      </c>
      <c r="E939" t="s">
        <v>3974</v>
      </c>
      <c r="F939">
        <v>3</v>
      </c>
      <c r="I939" t="str">
        <f>HYPERLINK("tel:+12136270348", "213-627-0348")</f>
        <v>213-627-0348</v>
      </c>
      <c r="J939" t="s">
        <v>3975</v>
      </c>
      <c r="K939" t="s">
        <v>136</v>
      </c>
      <c r="M939">
        <v>2136270348</v>
      </c>
    </row>
    <row r="940" spans="1:13" x14ac:dyDescent="0.25">
      <c r="A940">
        <v>9230130003</v>
      </c>
      <c r="B940" t="s">
        <v>3976</v>
      </c>
      <c r="C940">
        <v>1795000</v>
      </c>
      <c r="D940" t="s">
        <v>3977</v>
      </c>
      <c r="E940" t="s">
        <v>3978</v>
      </c>
      <c r="F940">
        <v>3</v>
      </c>
      <c r="I940" t="str">
        <f>HYPERLINK("tel:+12136636990", "213-663-6990")</f>
        <v>213-663-6990</v>
      </c>
      <c r="J940" t="s">
        <v>3979</v>
      </c>
      <c r="K940" t="s">
        <v>24</v>
      </c>
      <c r="M940">
        <v>2136636990</v>
      </c>
    </row>
    <row r="941" spans="1:13" x14ac:dyDescent="0.25">
      <c r="A941">
        <v>9932987555</v>
      </c>
      <c r="B941" t="s">
        <v>3980</v>
      </c>
      <c r="C941">
        <v>1150000</v>
      </c>
      <c r="D941" t="s">
        <v>3981</v>
      </c>
      <c r="E941" t="s">
        <v>3982</v>
      </c>
      <c r="F941">
        <v>3</v>
      </c>
      <c r="I941" t="str">
        <f>HYPERLINK("tel:+12137009086", "213-700-9086")</f>
        <v>213-700-9086</v>
      </c>
      <c r="J941" t="s">
        <v>3983</v>
      </c>
      <c r="K941" t="s">
        <v>3419</v>
      </c>
      <c r="M941">
        <v>2137009086</v>
      </c>
    </row>
    <row r="942" spans="1:13" x14ac:dyDescent="0.25">
      <c r="A942">
        <v>2171023126</v>
      </c>
      <c r="B942" t="s">
        <v>3984</v>
      </c>
      <c r="C942">
        <v>990000</v>
      </c>
      <c r="D942" t="s">
        <v>3985</v>
      </c>
      <c r="E942" t="s">
        <v>3986</v>
      </c>
      <c r="F942">
        <v>3</v>
      </c>
      <c r="I942" t="str">
        <f>HYPERLINK("tel:+12137069016", "213-706-9016")</f>
        <v>213-706-9016</v>
      </c>
      <c r="J942" t="s">
        <v>3987</v>
      </c>
      <c r="K942" t="s">
        <v>3988</v>
      </c>
      <c r="M942">
        <v>2137069016</v>
      </c>
    </row>
    <row r="943" spans="1:13" x14ac:dyDescent="0.25">
      <c r="A943">
        <v>2954716050</v>
      </c>
      <c r="B943" t="s">
        <v>3989</v>
      </c>
      <c r="C943">
        <v>499000</v>
      </c>
      <c r="D943" t="s">
        <v>3990</v>
      </c>
      <c r="E943" t="s">
        <v>3991</v>
      </c>
      <c r="F943">
        <v>3</v>
      </c>
      <c r="I943" t="str">
        <f>HYPERLINK("tel:+12138808220", "213-880-8220")</f>
        <v>213-880-8220</v>
      </c>
      <c r="J943" t="s">
        <v>3992</v>
      </c>
      <c r="K943" t="s">
        <v>1075</v>
      </c>
      <c r="M943">
        <v>2138808220</v>
      </c>
    </row>
    <row r="944" spans="1:13" x14ac:dyDescent="0.25">
      <c r="A944">
        <v>2956887779</v>
      </c>
      <c r="B944" t="s">
        <v>3993</v>
      </c>
      <c r="C944">
        <v>4989000</v>
      </c>
      <c r="D944" t="s">
        <v>3994</v>
      </c>
      <c r="E944" t="s">
        <v>3995</v>
      </c>
      <c r="F944">
        <v>3</v>
      </c>
      <c r="I944" t="str">
        <f>HYPERLINK("tel:+12139242208", "213-924-2208")</f>
        <v>213-924-2208</v>
      </c>
      <c r="J944" t="s">
        <v>3996</v>
      </c>
      <c r="K944" t="s">
        <v>2917</v>
      </c>
      <c r="M944">
        <v>2139242208</v>
      </c>
    </row>
    <row r="945" spans="1:13" x14ac:dyDescent="0.25">
      <c r="A945">
        <v>1914596633</v>
      </c>
      <c r="B945" t="s">
        <v>3997</v>
      </c>
      <c r="C945">
        <v>2750000</v>
      </c>
      <c r="D945" t="s">
        <v>3998</v>
      </c>
      <c r="E945" t="s">
        <v>3999</v>
      </c>
      <c r="F945">
        <v>3</v>
      </c>
      <c r="I945" t="str">
        <f>HYPERLINK("tel:+13018585402", "301-858-5402")</f>
        <v>301-858-5402</v>
      </c>
      <c r="J945" t="s">
        <v>4000</v>
      </c>
      <c r="K945" t="s">
        <v>136</v>
      </c>
      <c r="M945">
        <v>3018585402</v>
      </c>
    </row>
    <row r="946" spans="1:13" x14ac:dyDescent="0.25">
      <c r="A946">
        <v>9743436804</v>
      </c>
      <c r="B946" t="s">
        <v>4001</v>
      </c>
      <c r="C946">
        <v>7995000</v>
      </c>
      <c r="D946" t="s">
        <v>4002</v>
      </c>
      <c r="E946" t="s">
        <v>4003</v>
      </c>
      <c r="F946">
        <v>3</v>
      </c>
      <c r="I946" t="str">
        <f>HYPERLINK("tel:+13102093200", "310-209-3200")</f>
        <v>310-209-3200</v>
      </c>
      <c r="J946" t="s">
        <v>4004</v>
      </c>
      <c r="K946" t="s">
        <v>1460</v>
      </c>
      <c r="M946">
        <v>3102093200</v>
      </c>
    </row>
    <row r="947" spans="1:13" x14ac:dyDescent="0.25">
      <c r="A947">
        <v>2362975624</v>
      </c>
      <c r="B947" t="s">
        <v>4005</v>
      </c>
      <c r="C947">
        <v>985000</v>
      </c>
      <c r="D947" t="s">
        <v>4006</v>
      </c>
      <c r="E947" t="s">
        <v>4007</v>
      </c>
      <c r="F947">
        <v>3</v>
      </c>
      <c r="I947" t="str">
        <f>HYPERLINK("tel:+13102164663", "310-216-4663")</f>
        <v>310-216-4663</v>
      </c>
      <c r="J947" t="s">
        <v>4008</v>
      </c>
      <c r="K947" t="s">
        <v>24</v>
      </c>
      <c r="M947">
        <v>3102164663</v>
      </c>
    </row>
    <row r="948" spans="1:13" x14ac:dyDescent="0.25">
      <c r="A948">
        <v>2611936545</v>
      </c>
      <c r="B948" t="s">
        <v>4009</v>
      </c>
      <c r="C948">
        <v>2349995</v>
      </c>
      <c r="D948" t="s">
        <v>4010</v>
      </c>
      <c r="E948" t="s">
        <v>4011</v>
      </c>
      <c r="F948">
        <v>3</v>
      </c>
      <c r="I948" t="str">
        <f>HYPERLINK("tel:+13102169077", "310-216-9077")</f>
        <v>310-216-9077</v>
      </c>
      <c r="J948" t="s">
        <v>4012</v>
      </c>
      <c r="K948" t="s">
        <v>4013</v>
      </c>
      <c r="M948">
        <v>3102169077</v>
      </c>
    </row>
    <row r="949" spans="1:13" x14ac:dyDescent="0.25">
      <c r="A949">
        <v>1013078548</v>
      </c>
      <c r="B949" t="s">
        <v>4014</v>
      </c>
      <c r="C949">
        <v>2695000</v>
      </c>
      <c r="D949" t="s">
        <v>4015</v>
      </c>
      <c r="E949" t="s">
        <v>4016</v>
      </c>
      <c r="F949">
        <v>3</v>
      </c>
      <c r="I949" t="str">
        <f>HYPERLINK("tel:+13102303704", "310-230-3704")</f>
        <v>310-230-3704</v>
      </c>
      <c r="J949" t="s">
        <v>4017</v>
      </c>
      <c r="K949" t="s">
        <v>431</v>
      </c>
      <c r="M949">
        <v>3102303704</v>
      </c>
    </row>
    <row r="950" spans="1:13" x14ac:dyDescent="0.25">
      <c r="A950">
        <v>2825444502</v>
      </c>
      <c r="B950" t="s">
        <v>4018</v>
      </c>
      <c r="C950">
        <v>8995000</v>
      </c>
      <c r="D950" t="s">
        <v>4019</v>
      </c>
      <c r="E950" t="s">
        <v>4020</v>
      </c>
      <c r="F950">
        <v>3</v>
      </c>
      <c r="I950" t="str">
        <f>HYPERLINK("tel:+13102303731", "310-230-3731")</f>
        <v>310-230-3731</v>
      </c>
      <c r="J950" t="s">
        <v>4021</v>
      </c>
      <c r="K950" t="s">
        <v>431</v>
      </c>
      <c r="M950">
        <v>3102303731</v>
      </c>
    </row>
    <row r="951" spans="1:13" x14ac:dyDescent="0.25">
      <c r="A951">
        <v>2840164549</v>
      </c>
      <c r="B951" t="s">
        <v>4022</v>
      </c>
      <c r="C951">
        <v>2595000</v>
      </c>
      <c r="D951" t="s">
        <v>4023</v>
      </c>
      <c r="E951" t="s">
        <v>4024</v>
      </c>
      <c r="F951">
        <v>3</v>
      </c>
      <c r="I951" t="str">
        <f>HYPERLINK("tel:+13102303754", "310-230-3754")</f>
        <v>310-230-3754</v>
      </c>
      <c r="J951" t="s">
        <v>4025</v>
      </c>
      <c r="K951" t="s">
        <v>431</v>
      </c>
      <c r="M951">
        <v>3102303754</v>
      </c>
    </row>
    <row r="952" spans="1:13" x14ac:dyDescent="0.25">
      <c r="A952">
        <v>1760928333</v>
      </c>
      <c r="B952" t="s">
        <v>4026</v>
      </c>
      <c r="C952">
        <v>2799000</v>
      </c>
      <c r="D952" t="s">
        <v>4027</v>
      </c>
      <c r="E952" t="s">
        <v>4028</v>
      </c>
      <c r="F952">
        <v>3</v>
      </c>
      <c r="I952" t="str">
        <f>HYPERLINK("tel:+13102315208", "310-231-5208")</f>
        <v>310-231-5208</v>
      </c>
      <c r="J952" t="s">
        <v>4029</v>
      </c>
      <c r="K952" t="s">
        <v>4030</v>
      </c>
      <c r="M952">
        <v>3102315208</v>
      </c>
    </row>
    <row r="953" spans="1:13" x14ac:dyDescent="0.25">
      <c r="A953">
        <v>2676714199</v>
      </c>
      <c r="B953" t="s">
        <v>4031</v>
      </c>
      <c r="C953">
        <v>899000</v>
      </c>
      <c r="D953" t="s">
        <v>4032</v>
      </c>
      <c r="E953" t="s">
        <v>4033</v>
      </c>
      <c r="F953">
        <v>3</v>
      </c>
      <c r="I953" t="str">
        <f>HYPERLINK("tel:+13102423453", "310-242-3453")</f>
        <v>310-242-3453</v>
      </c>
      <c r="J953" t="s">
        <v>4034</v>
      </c>
      <c r="K953" t="s">
        <v>3942</v>
      </c>
      <c r="M953">
        <v>3102423453</v>
      </c>
    </row>
    <row r="954" spans="1:13" x14ac:dyDescent="0.25">
      <c r="A954">
        <v>1947909237</v>
      </c>
      <c r="B954" t="s">
        <v>4035</v>
      </c>
      <c r="C954">
        <v>575000</v>
      </c>
      <c r="D954" t="s">
        <v>4036</v>
      </c>
      <c r="E954" t="s">
        <v>4037</v>
      </c>
      <c r="F954">
        <v>3</v>
      </c>
      <c r="I954" t="str">
        <f>HYPERLINK("tel:+13102425990", "310-242-5990")</f>
        <v>310-242-5990</v>
      </c>
      <c r="J954" t="s">
        <v>4038</v>
      </c>
      <c r="K954" t="s">
        <v>4039</v>
      </c>
      <c r="M954">
        <v>3102425990</v>
      </c>
    </row>
    <row r="955" spans="1:13" x14ac:dyDescent="0.25">
      <c r="A955">
        <v>1249788666</v>
      </c>
      <c r="B955" t="s">
        <v>4040</v>
      </c>
      <c r="C955">
        <v>498000</v>
      </c>
      <c r="D955" t="s">
        <v>4041</v>
      </c>
      <c r="E955" t="s">
        <v>4042</v>
      </c>
      <c r="F955">
        <v>3</v>
      </c>
      <c r="I955" t="str">
        <f>HYPERLINK("tel:+13102455626", "310-245-5626")</f>
        <v>310-245-5626</v>
      </c>
      <c r="J955" t="s">
        <v>4043</v>
      </c>
      <c r="K955" t="s">
        <v>4044</v>
      </c>
      <c r="M955">
        <v>3102455626</v>
      </c>
    </row>
    <row r="956" spans="1:13" x14ac:dyDescent="0.25">
      <c r="A956">
        <v>2669151139</v>
      </c>
      <c r="B956" t="s">
        <v>4045</v>
      </c>
      <c r="C956">
        <v>9975000</v>
      </c>
      <c r="D956" t="s">
        <v>4046</v>
      </c>
      <c r="E956" t="s">
        <v>4047</v>
      </c>
      <c r="F956">
        <v>3</v>
      </c>
      <c r="I956" t="str">
        <f>HYPERLINK("tel:+13102515523", "310-251-5523")</f>
        <v>310-251-5523</v>
      </c>
      <c r="J956" t="s">
        <v>4048</v>
      </c>
      <c r="K956" t="s">
        <v>24</v>
      </c>
      <c r="M956">
        <v>3102515523</v>
      </c>
    </row>
    <row r="957" spans="1:13" x14ac:dyDescent="0.25">
      <c r="A957">
        <v>1684251469</v>
      </c>
      <c r="B957" t="s">
        <v>4049</v>
      </c>
      <c r="C957">
        <v>299000</v>
      </c>
      <c r="D957" t="s">
        <v>4050</v>
      </c>
      <c r="E957" t="s">
        <v>4051</v>
      </c>
      <c r="F957">
        <v>3</v>
      </c>
      <c r="I957" t="str">
        <f>HYPERLINK("tel:+13102661649", "310-266-1649")</f>
        <v>310-266-1649</v>
      </c>
      <c r="J957" t="s">
        <v>4052</v>
      </c>
      <c r="K957" t="s">
        <v>158</v>
      </c>
      <c r="M957">
        <v>3102661649</v>
      </c>
    </row>
    <row r="958" spans="1:13" x14ac:dyDescent="0.25">
      <c r="A958">
        <v>2262164827</v>
      </c>
      <c r="B958" t="s">
        <v>4053</v>
      </c>
      <c r="C958">
        <v>3250000</v>
      </c>
      <c r="D958" t="s">
        <v>4054</v>
      </c>
      <c r="E958" t="s">
        <v>4055</v>
      </c>
      <c r="F958">
        <v>3</v>
      </c>
      <c r="I958" t="str">
        <f>HYPERLINK("tel:+13102664236", "310-266-4236")</f>
        <v>310-266-4236</v>
      </c>
      <c r="J958" t="s">
        <v>4056</v>
      </c>
      <c r="K958" t="s">
        <v>168</v>
      </c>
      <c r="M958">
        <v>3102664236</v>
      </c>
    </row>
    <row r="959" spans="1:13" x14ac:dyDescent="0.25">
      <c r="A959">
        <v>2369197568</v>
      </c>
      <c r="B959" t="s">
        <v>4057</v>
      </c>
      <c r="C959">
        <v>1749000</v>
      </c>
      <c r="D959" t="s">
        <v>4058</v>
      </c>
      <c r="E959" t="s">
        <v>4059</v>
      </c>
      <c r="F959">
        <v>3</v>
      </c>
      <c r="I959" t="str">
        <f>HYPERLINK("tel:+13102668382", "310-266-8382")</f>
        <v>310-266-8382</v>
      </c>
      <c r="J959" t="s">
        <v>4060</v>
      </c>
      <c r="K959" t="s">
        <v>168</v>
      </c>
      <c r="M959">
        <v>3102668382</v>
      </c>
    </row>
    <row r="960" spans="1:13" x14ac:dyDescent="0.25">
      <c r="A960">
        <v>1777090380</v>
      </c>
      <c r="B960" t="s">
        <v>4061</v>
      </c>
      <c r="C960">
        <v>2499000</v>
      </c>
      <c r="D960" t="s">
        <v>4062</v>
      </c>
      <c r="E960" t="s">
        <v>4063</v>
      </c>
      <c r="F960">
        <v>3</v>
      </c>
      <c r="I960" t="str">
        <f>HYPERLINK("tel:+13102709290", "310-270-9290")</f>
        <v>310-270-9290</v>
      </c>
      <c r="J960" t="s">
        <v>4064</v>
      </c>
      <c r="K960" t="s">
        <v>24</v>
      </c>
      <c r="M960">
        <v>3102709290</v>
      </c>
    </row>
    <row r="961" spans="1:13" x14ac:dyDescent="0.25">
      <c r="A961">
        <v>2491280795</v>
      </c>
      <c r="B961" t="s">
        <v>4065</v>
      </c>
      <c r="C961">
        <v>13500000</v>
      </c>
      <c r="D961" t="s">
        <v>4066</v>
      </c>
      <c r="E961" t="s">
        <v>4067</v>
      </c>
      <c r="F961">
        <v>3</v>
      </c>
      <c r="I961" t="str">
        <f>HYPERLINK("tel:+13102808080", "310-280-8080")</f>
        <v>310-280-8080</v>
      </c>
      <c r="J961" t="s">
        <v>4068</v>
      </c>
      <c r="K961" t="s">
        <v>4</v>
      </c>
      <c r="M961">
        <v>3102808080</v>
      </c>
    </row>
    <row r="962" spans="1:13" x14ac:dyDescent="0.25">
      <c r="A962">
        <v>2673564875</v>
      </c>
      <c r="B962" t="s">
        <v>4069</v>
      </c>
      <c r="C962">
        <v>42500000</v>
      </c>
      <c r="D962" t="s">
        <v>4070</v>
      </c>
      <c r="E962" t="s">
        <v>4071</v>
      </c>
      <c r="F962">
        <v>3</v>
      </c>
      <c r="I962" t="str">
        <f>HYPERLINK("tel:+13103000710", "310-300-0710")</f>
        <v>310-300-0710</v>
      </c>
      <c r="J962" t="s">
        <v>4072</v>
      </c>
      <c r="K962" t="s">
        <v>249</v>
      </c>
      <c r="M962">
        <v>3103000710</v>
      </c>
    </row>
    <row r="963" spans="1:13" x14ac:dyDescent="0.25">
      <c r="A963">
        <v>1890241154</v>
      </c>
      <c r="B963" t="s">
        <v>1989</v>
      </c>
      <c r="C963">
        <v>4295000</v>
      </c>
      <c r="D963" t="s">
        <v>1990</v>
      </c>
      <c r="E963" t="s">
        <v>4073</v>
      </c>
      <c r="F963">
        <v>3</v>
      </c>
      <c r="I963" t="str">
        <f>HYPERLINK("tel:+13103012330", "310-301-2330")</f>
        <v>310-301-2330</v>
      </c>
      <c r="J963" t="s">
        <v>4074</v>
      </c>
      <c r="K963" t="s">
        <v>24</v>
      </c>
      <c r="M963">
        <v>3103012330</v>
      </c>
    </row>
    <row r="964" spans="1:13" x14ac:dyDescent="0.25">
      <c r="A964">
        <v>1099550056</v>
      </c>
      <c r="B964" t="s">
        <v>4075</v>
      </c>
      <c r="C964">
        <v>515000</v>
      </c>
      <c r="D964" t="s">
        <v>4076</v>
      </c>
      <c r="E964" t="s">
        <v>4077</v>
      </c>
      <c r="F964">
        <v>3</v>
      </c>
      <c r="I964" t="str">
        <f>HYPERLINK("tel:+13103046099", "310-304-6099")</f>
        <v>310-304-6099</v>
      </c>
      <c r="J964" t="s">
        <v>4078</v>
      </c>
      <c r="K964" t="s">
        <v>4079</v>
      </c>
      <c r="M964">
        <v>3103046099</v>
      </c>
    </row>
    <row r="965" spans="1:13" x14ac:dyDescent="0.25">
      <c r="A965">
        <v>1356950995</v>
      </c>
      <c r="B965" t="s">
        <v>4080</v>
      </c>
      <c r="C965">
        <v>1799999</v>
      </c>
      <c r="D965" t="s">
        <v>4081</v>
      </c>
      <c r="E965" t="s">
        <v>4082</v>
      </c>
      <c r="F965">
        <v>3</v>
      </c>
      <c r="I965" t="str">
        <f>HYPERLINK("tel:+13103072224", "310-307-2224")</f>
        <v>310-307-2224</v>
      </c>
      <c r="J965" t="s">
        <v>4083</v>
      </c>
      <c r="K965" t="s">
        <v>4084</v>
      </c>
      <c r="M965">
        <v>3103072224</v>
      </c>
    </row>
    <row r="966" spans="1:13" x14ac:dyDescent="0.25">
      <c r="A966">
        <v>2449005472</v>
      </c>
      <c r="B966" t="s">
        <v>4085</v>
      </c>
      <c r="C966">
        <v>1695000</v>
      </c>
      <c r="D966" t="s">
        <v>4086</v>
      </c>
      <c r="E966" t="s">
        <v>4087</v>
      </c>
      <c r="F966">
        <v>3</v>
      </c>
      <c r="I966" t="str">
        <f>HYPERLINK("tel:+13103109280", "310-310-9280")</f>
        <v>310-310-9280</v>
      </c>
      <c r="J966" t="s">
        <v>4088</v>
      </c>
      <c r="K966" t="s">
        <v>351</v>
      </c>
      <c r="M966">
        <v>3103109280</v>
      </c>
    </row>
    <row r="967" spans="1:13" x14ac:dyDescent="0.25">
      <c r="A967">
        <v>9756088904</v>
      </c>
      <c r="B967" t="s">
        <v>4089</v>
      </c>
      <c r="C967">
        <v>7295000</v>
      </c>
      <c r="D967" t="s">
        <v>4090</v>
      </c>
      <c r="E967" t="s">
        <v>4091</v>
      </c>
      <c r="F967">
        <v>3</v>
      </c>
      <c r="I967" t="str">
        <f>HYPERLINK("tel:+13103122800", "310-312-2800")</f>
        <v>310-312-2800</v>
      </c>
      <c r="J967" t="s">
        <v>4092</v>
      </c>
      <c r="K967" t="s">
        <v>4093</v>
      </c>
      <c r="M967">
        <v>3103122800</v>
      </c>
    </row>
    <row r="968" spans="1:13" x14ac:dyDescent="0.25">
      <c r="A968">
        <v>1924258998</v>
      </c>
      <c r="B968" t="s">
        <v>4094</v>
      </c>
      <c r="C968">
        <v>1825000</v>
      </c>
      <c r="D968" t="s">
        <v>4095</v>
      </c>
      <c r="E968" t="s">
        <v>4096</v>
      </c>
      <c r="F968">
        <v>3</v>
      </c>
      <c r="I968" t="str">
        <f>HYPERLINK("tel:+13103440898", "310-344-0898")</f>
        <v>310-344-0898</v>
      </c>
      <c r="J968" t="s">
        <v>4097</v>
      </c>
      <c r="K968" t="s">
        <v>431</v>
      </c>
      <c r="M968">
        <v>3103440898</v>
      </c>
    </row>
    <row r="969" spans="1:13" x14ac:dyDescent="0.25">
      <c r="A969">
        <v>2992306168</v>
      </c>
      <c r="B969" t="s">
        <v>4098</v>
      </c>
      <c r="C969">
        <v>1189000</v>
      </c>
      <c r="D969" t="s">
        <v>4099</v>
      </c>
      <c r="E969" t="s">
        <v>4100</v>
      </c>
      <c r="F969">
        <v>3</v>
      </c>
      <c r="I969" t="str">
        <f>HYPERLINK("tel:+13103466601", "310-346-6601")</f>
        <v>310-346-6601</v>
      </c>
      <c r="J969" t="s">
        <v>4101</v>
      </c>
      <c r="K969" t="s">
        <v>2460</v>
      </c>
      <c r="M969">
        <v>3103466601</v>
      </c>
    </row>
    <row r="970" spans="1:13" x14ac:dyDescent="0.25">
      <c r="A970">
        <v>2810613604</v>
      </c>
      <c r="B970" t="s">
        <v>4102</v>
      </c>
      <c r="C970">
        <v>4500000</v>
      </c>
      <c r="D970" t="s">
        <v>4103</v>
      </c>
      <c r="E970" t="s">
        <v>4104</v>
      </c>
      <c r="F970">
        <v>3</v>
      </c>
      <c r="I970" t="str">
        <f>HYPERLINK("tel:+13103706111", "310-370-6111")</f>
        <v>310-370-6111</v>
      </c>
      <c r="J970" t="s">
        <v>4105</v>
      </c>
      <c r="K970" t="s">
        <v>4106</v>
      </c>
      <c r="M970">
        <v>3103706111</v>
      </c>
    </row>
    <row r="971" spans="1:13" x14ac:dyDescent="0.25">
      <c r="A971">
        <v>1853160318</v>
      </c>
      <c r="B971" t="s">
        <v>4107</v>
      </c>
      <c r="C971">
        <v>1795000</v>
      </c>
      <c r="D971" t="s">
        <v>4108</v>
      </c>
      <c r="E971" t="s">
        <v>4109</v>
      </c>
      <c r="F971">
        <v>3</v>
      </c>
      <c r="I971" t="str">
        <f>HYPERLINK("tel:+13103833282", "310-383-3282")</f>
        <v>310-383-3282</v>
      </c>
      <c r="J971" t="s">
        <v>4110</v>
      </c>
      <c r="K971" t="s">
        <v>63</v>
      </c>
      <c r="M971">
        <v>3103833282</v>
      </c>
    </row>
    <row r="972" spans="1:13" x14ac:dyDescent="0.25">
      <c r="A972">
        <v>1612912626</v>
      </c>
      <c r="B972" t="s">
        <v>4111</v>
      </c>
      <c r="C972">
        <v>697200</v>
      </c>
      <c r="D972" t="s">
        <v>4112</v>
      </c>
      <c r="E972" t="s">
        <v>4113</v>
      </c>
      <c r="F972">
        <v>3</v>
      </c>
      <c r="I972" t="str">
        <f>HYPERLINK("tel:+13103868669", "310-386-8669")</f>
        <v>310-386-8669</v>
      </c>
      <c r="J972" t="s">
        <v>4114</v>
      </c>
      <c r="K972" t="s">
        <v>532</v>
      </c>
      <c r="M972">
        <v>3103868669</v>
      </c>
    </row>
    <row r="973" spans="1:13" x14ac:dyDescent="0.25">
      <c r="A973">
        <v>1953333862</v>
      </c>
      <c r="B973" t="s">
        <v>4115</v>
      </c>
      <c r="C973">
        <v>4800000</v>
      </c>
      <c r="D973" t="s">
        <v>4116</v>
      </c>
      <c r="E973" t="s">
        <v>4117</v>
      </c>
      <c r="F973">
        <v>3</v>
      </c>
      <c r="I973" t="str">
        <f>HYPERLINK("tel:+13103876803", "310-387-6803")</f>
        <v>310-387-6803</v>
      </c>
      <c r="J973" t="s">
        <v>4118</v>
      </c>
      <c r="K973" t="s">
        <v>4117</v>
      </c>
      <c r="M973">
        <v>3103876803</v>
      </c>
    </row>
    <row r="974" spans="1:13" x14ac:dyDescent="0.25">
      <c r="A974">
        <v>1606087025</v>
      </c>
      <c r="B974" t="s">
        <v>4119</v>
      </c>
      <c r="C974">
        <v>549000</v>
      </c>
      <c r="D974" t="s">
        <v>4120</v>
      </c>
      <c r="E974" t="s">
        <v>4121</v>
      </c>
      <c r="F974">
        <v>3</v>
      </c>
      <c r="I974" t="str">
        <f>HYPERLINK("tel:+13103887593", "310-388-7593")</f>
        <v>310-388-7593</v>
      </c>
      <c r="J974" t="s">
        <v>4122</v>
      </c>
      <c r="K974" t="s">
        <v>3942</v>
      </c>
      <c r="M974">
        <v>3103887593</v>
      </c>
    </row>
    <row r="975" spans="1:13" x14ac:dyDescent="0.25">
      <c r="A975">
        <v>9989771346</v>
      </c>
      <c r="B975" t="s">
        <v>4123</v>
      </c>
      <c r="C975">
        <v>1525000</v>
      </c>
      <c r="D975" t="s">
        <v>4124</v>
      </c>
      <c r="E975" t="s">
        <v>4125</v>
      </c>
      <c r="F975">
        <v>3</v>
      </c>
      <c r="I975" t="str">
        <f>HYPERLINK("tel:+13104202541", "310-420-2541")</f>
        <v>310-420-2541</v>
      </c>
      <c r="J975" t="s">
        <v>4126</v>
      </c>
      <c r="K975" t="s">
        <v>173</v>
      </c>
      <c r="M975">
        <v>3104202541</v>
      </c>
    </row>
    <row r="976" spans="1:13" x14ac:dyDescent="0.25">
      <c r="A976">
        <v>1584808266</v>
      </c>
      <c r="B976" t="s">
        <v>4127</v>
      </c>
      <c r="C976">
        <v>2399000</v>
      </c>
      <c r="D976" t="s">
        <v>4128</v>
      </c>
      <c r="E976" t="s">
        <v>4129</v>
      </c>
      <c r="F976">
        <v>3</v>
      </c>
      <c r="I976" t="str">
        <f>HYPERLINK("tel:+13104227188", "310-422-7188")</f>
        <v>310-422-7188</v>
      </c>
      <c r="J976" t="s">
        <v>4130</v>
      </c>
      <c r="K976" t="s">
        <v>4131</v>
      </c>
      <c r="M976">
        <v>3104227188</v>
      </c>
    </row>
    <row r="977" spans="1:13" x14ac:dyDescent="0.25">
      <c r="A977">
        <v>1670848327</v>
      </c>
      <c r="B977" t="s">
        <v>4132</v>
      </c>
      <c r="C977">
        <v>2349900</v>
      </c>
      <c r="D977" t="s">
        <v>4133</v>
      </c>
      <c r="E977" t="s">
        <v>4134</v>
      </c>
      <c r="F977">
        <v>3</v>
      </c>
      <c r="I977" t="str">
        <f>HYPERLINK("tel:+13104245270", "310-424-5270")</f>
        <v>310-424-5270</v>
      </c>
      <c r="J977" t="s">
        <v>4135</v>
      </c>
      <c r="K977" t="s">
        <v>14</v>
      </c>
      <c r="M977">
        <v>3104245270</v>
      </c>
    </row>
    <row r="978" spans="1:13" x14ac:dyDescent="0.25">
      <c r="A978">
        <v>1171166974</v>
      </c>
      <c r="B978" t="s">
        <v>4136</v>
      </c>
      <c r="C978">
        <v>2395000</v>
      </c>
      <c r="D978" t="s">
        <v>4137</v>
      </c>
      <c r="E978" t="s">
        <v>4138</v>
      </c>
      <c r="F978">
        <v>3</v>
      </c>
      <c r="I978" t="str">
        <f>HYPERLINK("tel:+13104282248", "310-428-2248")</f>
        <v>310-428-2248</v>
      </c>
      <c r="J978" t="s">
        <v>4139</v>
      </c>
      <c r="K978" t="s">
        <v>63</v>
      </c>
      <c r="M978">
        <v>3104282248</v>
      </c>
    </row>
    <row r="979" spans="1:13" x14ac:dyDescent="0.25">
      <c r="A979">
        <v>1125292598</v>
      </c>
      <c r="B979" t="s">
        <v>4140</v>
      </c>
      <c r="C979">
        <v>2568000</v>
      </c>
      <c r="D979" t="s">
        <v>4141</v>
      </c>
      <c r="E979" t="s">
        <v>4142</v>
      </c>
      <c r="F979">
        <v>3</v>
      </c>
      <c r="I979" t="str">
        <f>HYPERLINK("tel:+13104287750", "310-428-7750")</f>
        <v>310-428-7750</v>
      </c>
      <c r="J979" t="s">
        <v>4143</v>
      </c>
      <c r="K979" t="s">
        <v>4039</v>
      </c>
      <c r="M979">
        <v>3104287750</v>
      </c>
    </row>
    <row r="980" spans="1:13" x14ac:dyDescent="0.25">
      <c r="A980">
        <v>2853676342</v>
      </c>
      <c r="B980" t="s">
        <v>4144</v>
      </c>
      <c r="C980">
        <v>3375000</v>
      </c>
      <c r="D980" t="s">
        <v>4145</v>
      </c>
      <c r="E980" t="s">
        <v>4146</v>
      </c>
      <c r="F980">
        <v>3</v>
      </c>
      <c r="I980" t="str">
        <f>HYPERLINK("tel:+13104302285", "310-430-2285")</f>
        <v>310-430-2285</v>
      </c>
      <c r="J980" t="s">
        <v>4147</v>
      </c>
      <c r="K980" t="s">
        <v>450</v>
      </c>
      <c r="M980">
        <v>3104302285</v>
      </c>
    </row>
    <row r="981" spans="1:13" x14ac:dyDescent="0.25">
      <c r="A981">
        <v>2388635869</v>
      </c>
      <c r="B981" t="s">
        <v>4148</v>
      </c>
      <c r="C981">
        <v>2999000</v>
      </c>
      <c r="D981" t="s">
        <v>4149</v>
      </c>
      <c r="E981" t="s">
        <v>4150</v>
      </c>
      <c r="F981">
        <v>3</v>
      </c>
      <c r="I981" t="str">
        <f>HYPERLINK("tel:+13104304842", "310-430-4842")</f>
        <v>310-430-4842</v>
      </c>
      <c r="J981" t="s">
        <v>4151</v>
      </c>
      <c r="K981" t="s">
        <v>24</v>
      </c>
      <c r="M981">
        <v>3104304842</v>
      </c>
    </row>
    <row r="982" spans="1:13" x14ac:dyDescent="0.25">
      <c r="A982">
        <v>9924046639</v>
      </c>
      <c r="B982" t="s">
        <v>4152</v>
      </c>
      <c r="C982">
        <v>12000000</v>
      </c>
      <c r="D982" t="s">
        <v>4153</v>
      </c>
      <c r="E982" t="s">
        <v>4154</v>
      </c>
      <c r="F982">
        <v>3</v>
      </c>
      <c r="I982" t="str">
        <f>HYPERLINK("tel:+13104333124", "310-433-3124")</f>
        <v>310-433-3124</v>
      </c>
      <c r="J982" t="s">
        <v>4155</v>
      </c>
      <c r="K982" t="s">
        <v>4</v>
      </c>
      <c r="M982">
        <v>3104333124</v>
      </c>
    </row>
    <row r="983" spans="1:13" x14ac:dyDescent="0.25">
      <c r="A983">
        <v>1615691583</v>
      </c>
      <c r="B983" t="s">
        <v>4156</v>
      </c>
      <c r="C983">
        <v>4995000</v>
      </c>
      <c r="D983" t="s">
        <v>4157</v>
      </c>
      <c r="E983" t="s">
        <v>4158</v>
      </c>
      <c r="F983">
        <v>3</v>
      </c>
      <c r="I983" t="str">
        <f>HYPERLINK("tel:+13104485943", "310-448-5943")</f>
        <v>310-448-5943</v>
      </c>
      <c r="J983" t="s">
        <v>4159</v>
      </c>
      <c r="K983" t="s">
        <v>9</v>
      </c>
      <c r="M983">
        <v>3104485943</v>
      </c>
    </row>
    <row r="984" spans="1:13" x14ac:dyDescent="0.25">
      <c r="A984">
        <v>1258597825</v>
      </c>
      <c r="B984" t="s">
        <v>4160</v>
      </c>
      <c r="C984">
        <v>759000</v>
      </c>
      <c r="D984" t="s">
        <v>4161</v>
      </c>
      <c r="E984" t="s">
        <v>4162</v>
      </c>
      <c r="F984">
        <v>3</v>
      </c>
      <c r="I984" t="str">
        <f>HYPERLINK("tel:+13104672772", "310-467-2772")</f>
        <v>310-467-2772</v>
      </c>
      <c r="J984" t="s">
        <v>4163</v>
      </c>
      <c r="K984" t="s">
        <v>168</v>
      </c>
      <c r="M984">
        <v>3104672772</v>
      </c>
    </row>
    <row r="985" spans="1:13" x14ac:dyDescent="0.25">
      <c r="A985">
        <v>2382562070</v>
      </c>
      <c r="B985" t="s">
        <v>4164</v>
      </c>
      <c r="C985">
        <v>5599888</v>
      </c>
      <c r="D985" t="s">
        <v>4165</v>
      </c>
      <c r="E985" t="s">
        <v>4166</v>
      </c>
      <c r="F985">
        <v>3</v>
      </c>
      <c r="I985" t="str">
        <f>HYPERLINK("tel:+13104675999", "310-467-5999")</f>
        <v>310-467-5999</v>
      </c>
      <c r="J985" t="s">
        <v>4167</v>
      </c>
      <c r="K985" t="s">
        <v>24</v>
      </c>
      <c r="M985">
        <v>3104675999</v>
      </c>
    </row>
    <row r="986" spans="1:13" x14ac:dyDescent="0.25">
      <c r="A986">
        <v>2182655633</v>
      </c>
      <c r="B986" t="s">
        <v>4168</v>
      </c>
      <c r="C986">
        <v>1650000</v>
      </c>
      <c r="D986" t="s">
        <v>4169</v>
      </c>
      <c r="E986" t="s">
        <v>4170</v>
      </c>
      <c r="F986">
        <v>3</v>
      </c>
      <c r="I986" t="str">
        <f>HYPERLINK("tel:+13104702030", "310-470-2030")</f>
        <v>310-470-2030</v>
      </c>
      <c r="J986" t="s">
        <v>4171</v>
      </c>
      <c r="K986" t="s">
        <v>4170</v>
      </c>
      <c r="M986">
        <v>3104702030</v>
      </c>
    </row>
    <row r="987" spans="1:13" x14ac:dyDescent="0.25">
      <c r="A987">
        <v>2233034112</v>
      </c>
      <c r="B987" t="s">
        <v>4172</v>
      </c>
      <c r="C987">
        <v>1897000</v>
      </c>
      <c r="D987" t="s">
        <v>4173</v>
      </c>
      <c r="E987" t="s">
        <v>4174</v>
      </c>
      <c r="F987">
        <v>3</v>
      </c>
      <c r="I987" t="str">
        <f>HYPERLINK("tel:+13104734555", "310-473-4555")</f>
        <v>310-473-4555</v>
      </c>
      <c r="J987" t="s">
        <v>4175</v>
      </c>
      <c r="K987" t="s">
        <v>4176</v>
      </c>
      <c r="M987">
        <v>3104734555</v>
      </c>
    </row>
    <row r="988" spans="1:13" x14ac:dyDescent="0.25">
      <c r="A988">
        <v>1660611565</v>
      </c>
      <c r="B988" t="s">
        <v>4177</v>
      </c>
      <c r="C988">
        <v>4325000</v>
      </c>
      <c r="D988" t="s">
        <v>4178</v>
      </c>
      <c r="E988" t="s">
        <v>4179</v>
      </c>
      <c r="F988">
        <v>3</v>
      </c>
      <c r="I988" t="str">
        <f>HYPERLINK("tel:+13104801911", "310-480-1911")</f>
        <v>310-480-1911</v>
      </c>
      <c r="J988" t="s">
        <v>4180</v>
      </c>
      <c r="K988" t="s">
        <v>4181</v>
      </c>
      <c r="M988">
        <v>3104801911</v>
      </c>
    </row>
    <row r="989" spans="1:13" x14ac:dyDescent="0.25">
      <c r="A989">
        <v>2292116375</v>
      </c>
      <c r="B989" t="s">
        <v>4182</v>
      </c>
      <c r="C989">
        <v>685000</v>
      </c>
      <c r="D989" t="s">
        <v>4183</v>
      </c>
      <c r="E989" t="s">
        <v>4184</v>
      </c>
      <c r="F989">
        <v>3</v>
      </c>
      <c r="I989" t="str">
        <f>HYPERLINK("tel:+13104807359", "310-480-7359")</f>
        <v>310-480-7359</v>
      </c>
      <c r="J989" t="s">
        <v>4185</v>
      </c>
      <c r="K989" t="s">
        <v>68</v>
      </c>
      <c r="M989">
        <v>3104807359</v>
      </c>
    </row>
    <row r="990" spans="1:13" x14ac:dyDescent="0.25">
      <c r="A990">
        <v>1887446973</v>
      </c>
      <c r="B990" t="s">
        <v>4186</v>
      </c>
      <c r="C990">
        <v>3495000</v>
      </c>
      <c r="D990" t="s">
        <v>4187</v>
      </c>
      <c r="E990" t="s">
        <v>4188</v>
      </c>
      <c r="F990">
        <v>3</v>
      </c>
      <c r="I990" t="str">
        <f>HYPERLINK("tel:+13104814346", "310-481-4346")</f>
        <v>310-481-4346</v>
      </c>
      <c r="J990" t="s">
        <v>4189</v>
      </c>
      <c r="K990" t="s">
        <v>24</v>
      </c>
      <c r="M990">
        <v>3104814346</v>
      </c>
    </row>
    <row r="991" spans="1:13" x14ac:dyDescent="0.25">
      <c r="A991">
        <v>2951774396</v>
      </c>
      <c r="B991" t="s">
        <v>4190</v>
      </c>
      <c r="C991">
        <v>870000</v>
      </c>
      <c r="D991" t="s">
        <v>4191</v>
      </c>
      <c r="E991" t="s">
        <v>4192</v>
      </c>
      <c r="F991">
        <v>3</v>
      </c>
      <c r="I991" t="str">
        <f>HYPERLINK("tel:+13104844300", "310-484-4300")</f>
        <v>310-484-4300</v>
      </c>
      <c r="J991" t="s">
        <v>4193</v>
      </c>
      <c r="K991" t="s">
        <v>107</v>
      </c>
      <c r="M991">
        <v>3104844300</v>
      </c>
    </row>
    <row r="992" spans="1:13" x14ac:dyDescent="0.25">
      <c r="A992">
        <v>2805730818</v>
      </c>
      <c r="B992" t="s">
        <v>4194</v>
      </c>
      <c r="C992">
        <v>2750000</v>
      </c>
      <c r="D992" t="s">
        <v>4195</v>
      </c>
      <c r="E992" t="s">
        <v>4196</v>
      </c>
      <c r="F992">
        <v>3</v>
      </c>
      <c r="I992" t="str">
        <f>HYPERLINK("tel:+13104867015", "310-486-7015")</f>
        <v>310-486-7015</v>
      </c>
      <c r="J992" t="s">
        <v>4197</v>
      </c>
      <c r="K992" t="s">
        <v>24</v>
      </c>
      <c r="M992">
        <v>3104867015</v>
      </c>
    </row>
    <row r="993" spans="1:13" x14ac:dyDescent="0.25">
      <c r="A993">
        <v>1037525006</v>
      </c>
      <c r="B993" t="s">
        <v>4198</v>
      </c>
      <c r="C993">
        <v>2999000</v>
      </c>
      <c r="D993" t="s">
        <v>4199</v>
      </c>
      <c r="E993" t="s">
        <v>4200</v>
      </c>
      <c r="F993">
        <v>3</v>
      </c>
      <c r="I993" t="str">
        <f>HYPERLINK("tel:+13104886914", "310-488-6914")</f>
        <v>310-488-6914</v>
      </c>
      <c r="J993" t="s">
        <v>4201</v>
      </c>
      <c r="K993" t="s">
        <v>63</v>
      </c>
      <c r="M993">
        <v>3104886914</v>
      </c>
    </row>
    <row r="994" spans="1:13" x14ac:dyDescent="0.25">
      <c r="A994">
        <v>2317060589</v>
      </c>
      <c r="B994" t="s">
        <v>4202</v>
      </c>
      <c r="C994">
        <v>579000</v>
      </c>
      <c r="D994" t="s">
        <v>4203</v>
      </c>
      <c r="E994" t="s">
        <v>4204</v>
      </c>
      <c r="F994">
        <v>3</v>
      </c>
      <c r="I994" t="str">
        <f>HYPERLINK("tel:+13104939059", "310-493-9059")</f>
        <v>310-493-9059</v>
      </c>
      <c r="J994" t="s">
        <v>4205</v>
      </c>
      <c r="K994" t="s">
        <v>4206</v>
      </c>
      <c r="M994">
        <v>3104939059</v>
      </c>
    </row>
    <row r="995" spans="1:13" x14ac:dyDescent="0.25">
      <c r="A995">
        <v>2774150821</v>
      </c>
      <c r="B995" t="s">
        <v>4207</v>
      </c>
      <c r="C995">
        <v>3499000</v>
      </c>
      <c r="D995" t="s">
        <v>4208</v>
      </c>
      <c r="E995" t="s">
        <v>4209</v>
      </c>
      <c r="F995">
        <v>3</v>
      </c>
      <c r="I995" t="str">
        <f>HYPERLINK("tel:+13104939895", "310-493-9895")</f>
        <v>310-493-9895</v>
      </c>
      <c r="J995" t="s">
        <v>4210</v>
      </c>
      <c r="K995" t="s">
        <v>1281</v>
      </c>
      <c r="M995">
        <v>3104939895</v>
      </c>
    </row>
    <row r="996" spans="1:13" x14ac:dyDescent="0.25">
      <c r="A996">
        <v>1579232193</v>
      </c>
      <c r="B996" t="s">
        <v>4211</v>
      </c>
      <c r="C996">
        <v>1100000</v>
      </c>
      <c r="D996" t="s">
        <v>4212</v>
      </c>
      <c r="E996" t="s">
        <v>4213</v>
      </c>
      <c r="F996">
        <v>3</v>
      </c>
      <c r="I996" t="str">
        <f>HYPERLINK("tel:+13104974125", "310-497-4125")</f>
        <v>310-497-4125</v>
      </c>
      <c r="J996" t="s">
        <v>4214</v>
      </c>
      <c r="K996" t="s">
        <v>4215</v>
      </c>
      <c r="M996">
        <v>3104974125</v>
      </c>
    </row>
    <row r="997" spans="1:13" x14ac:dyDescent="0.25">
      <c r="A997">
        <v>2825167896</v>
      </c>
      <c r="B997" t="s">
        <v>4216</v>
      </c>
      <c r="C997">
        <v>2995000</v>
      </c>
      <c r="D997" t="s">
        <v>4217</v>
      </c>
      <c r="E997" t="s">
        <v>4218</v>
      </c>
      <c r="F997">
        <v>3</v>
      </c>
      <c r="I997" t="str">
        <f>HYPERLINK("tel:+13104998730", "310-499-8730")</f>
        <v>310-499-8730</v>
      </c>
      <c r="J997" t="s">
        <v>4219</v>
      </c>
      <c r="K997" t="s">
        <v>351</v>
      </c>
      <c r="M997">
        <v>3104998730</v>
      </c>
    </row>
    <row r="998" spans="1:13" x14ac:dyDescent="0.25">
      <c r="A998">
        <v>2492537933</v>
      </c>
      <c r="B998" t="s">
        <v>4220</v>
      </c>
      <c r="C998">
        <v>1800000</v>
      </c>
      <c r="D998" t="s">
        <v>4221</v>
      </c>
      <c r="E998" t="s">
        <v>4222</v>
      </c>
      <c r="F998">
        <v>3</v>
      </c>
      <c r="I998" t="str">
        <f>HYPERLINK("tel:+13105022312", "310-502-2312")</f>
        <v>310-502-2312</v>
      </c>
      <c r="J998" t="s">
        <v>4223</v>
      </c>
      <c r="K998" t="s">
        <v>24</v>
      </c>
      <c r="M998">
        <v>3105022312</v>
      </c>
    </row>
    <row r="999" spans="1:13" x14ac:dyDescent="0.25">
      <c r="A999">
        <v>2089139639</v>
      </c>
      <c r="B999" t="s">
        <v>4224</v>
      </c>
      <c r="C999">
        <v>2998000</v>
      </c>
      <c r="D999" t="s">
        <v>4225</v>
      </c>
      <c r="E999" t="s">
        <v>4226</v>
      </c>
      <c r="F999">
        <v>3</v>
      </c>
      <c r="I999" t="str">
        <f>HYPERLINK("tel:+13105135000", "310-513-5000")</f>
        <v>310-513-5000</v>
      </c>
      <c r="J999" t="s">
        <v>4227</v>
      </c>
      <c r="K999" t="s">
        <v>4228</v>
      </c>
      <c r="M999">
        <v>3105135000</v>
      </c>
    </row>
    <row r="1000" spans="1:13" x14ac:dyDescent="0.25">
      <c r="A1000">
        <v>2652925229</v>
      </c>
      <c r="B1000" t="s">
        <v>4229</v>
      </c>
      <c r="C1000">
        <v>570000</v>
      </c>
      <c r="D1000" t="s">
        <v>4230</v>
      </c>
      <c r="E1000" t="s">
        <v>4231</v>
      </c>
      <c r="F1000">
        <v>3</v>
      </c>
      <c r="I1000" t="str">
        <f>HYPERLINK("tel:+13105446100", "310-544-6100")</f>
        <v>310-544-6100</v>
      </c>
      <c r="J1000" t="s">
        <v>4232</v>
      </c>
      <c r="K1000" t="s">
        <v>4233</v>
      </c>
      <c r="M1000">
        <v>3105446100</v>
      </c>
    </row>
    <row r="1001" spans="1:13" x14ac:dyDescent="0.25">
      <c r="A1001">
        <v>1147777260</v>
      </c>
      <c r="B1001" t="s">
        <v>4234</v>
      </c>
      <c r="C1001">
        <v>3695000</v>
      </c>
      <c r="D1001" t="s">
        <v>4235</v>
      </c>
      <c r="E1001" t="s">
        <v>4236</v>
      </c>
      <c r="F1001">
        <v>3</v>
      </c>
      <c r="I1001" t="str">
        <f>HYPERLINK("tel:+13105509550", "310-550-9550")</f>
        <v>310-550-9550</v>
      </c>
      <c r="J1001" t="s">
        <v>4237</v>
      </c>
      <c r="K1001" t="s">
        <v>4238</v>
      </c>
      <c r="M1001">
        <v>3105509550</v>
      </c>
    </row>
    <row r="1002" spans="1:13" x14ac:dyDescent="0.25">
      <c r="A1002">
        <v>2995346231</v>
      </c>
      <c r="B1002" t="s">
        <v>4239</v>
      </c>
      <c r="C1002">
        <v>7250000</v>
      </c>
      <c r="D1002" t="s">
        <v>4240</v>
      </c>
      <c r="E1002" t="s">
        <v>4241</v>
      </c>
      <c r="F1002">
        <v>3</v>
      </c>
      <c r="I1002" t="str">
        <f>HYPERLINK("tel:+13105697950", "310-569-7950")</f>
        <v>310-569-7950</v>
      </c>
      <c r="J1002" t="s">
        <v>4242</v>
      </c>
      <c r="K1002" t="s">
        <v>63</v>
      </c>
      <c r="M1002">
        <v>3105697950</v>
      </c>
    </row>
    <row r="1003" spans="1:13" x14ac:dyDescent="0.25">
      <c r="A1003">
        <v>2555805812</v>
      </c>
      <c r="B1003" t="s">
        <v>4243</v>
      </c>
      <c r="C1003">
        <v>1698500</v>
      </c>
      <c r="D1003" t="s">
        <v>4244</v>
      </c>
      <c r="E1003" t="s">
        <v>4245</v>
      </c>
      <c r="F1003">
        <v>3</v>
      </c>
      <c r="I1003" t="str">
        <f>HYPERLINK("tel:+13105742972", "310-574-2972")</f>
        <v>310-574-2972</v>
      </c>
      <c r="J1003" t="s">
        <v>4246</v>
      </c>
      <c r="K1003" t="s">
        <v>4247</v>
      </c>
      <c r="M1003">
        <v>3105742972</v>
      </c>
    </row>
    <row r="1004" spans="1:13" x14ac:dyDescent="0.25">
      <c r="A1004">
        <v>1887248506</v>
      </c>
      <c r="B1004" t="s">
        <v>4248</v>
      </c>
      <c r="C1004">
        <v>5295000</v>
      </c>
      <c r="D1004" t="s">
        <v>4249</v>
      </c>
      <c r="E1004" t="s">
        <v>4250</v>
      </c>
      <c r="F1004">
        <v>3</v>
      </c>
      <c r="I1004" t="str">
        <f>HYPERLINK("tel:+13105925417", "310-592-5417")</f>
        <v>310-592-5417</v>
      </c>
      <c r="J1004" t="s">
        <v>4251</v>
      </c>
      <c r="K1004" t="s">
        <v>24</v>
      </c>
      <c r="M1004">
        <v>3105925417</v>
      </c>
    </row>
    <row r="1005" spans="1:13" x14ac:dyDescent="0.25">
      <c r="A1005">
        <v>2253287892</v>
      </c>
      <c r="B1005" t="s">
        <v>4252</v>
      </c>
      <c r="C1005">
        <v>430000</v>
      </c>
      <c r="D1005" t="s">
        <v>4253</v>
      </c>
      <c r="E1005" t="s">
        <v>4254</v>
      </c>
      <c r="F1005">
        <v>3</v>
      </c>
      <c r="I1005" t="str">
        <f>HYPERLINK("tel:+13105927361", "310-592-7361")</f>
        <v>310-592-7361</v>
      </c>
      <c r="J1005" t="s">
        <v>4255</v>
      </c>
      <c r="K1005" t="s">
        <v>34</v>
      </c>
      <c r="M1005">
        <v>3105927361</v>
      </c>
    </row>
    <row r="1006" spans="1:13" x14ac:dyDescent="0.25">
      <c r="A1006">
        <v>1869367855</v>
      </c>
      <c r="B1006" t="s">
        <v>4256</v>
      </c>
      <c r="C1006">
        <v>1899000</v>
      </c>
      <c r="D1006" t="s">
        <v>4257</v>
      </c>
      <c r="E1006" t="s">
        <v>4258</v>
      </c>
      <c r="F1006">
        <v>3</v>
      </c>
      <c r="I1006" t="str">
        <f>HYPERLINK("tel:+13105970179", "310-597-0179")</f>
        <v>310-597-0179</v>
      </c>
      <c r="J1006" t="s">
        <v>4259</v>
      </c>
      <c r="K1006" t="s">
        <v>678</v>
      </c>
      <c r="M1006">
        <v>3105970179</v>
      </c>
    </row>
    <row r="1007" spans="1:13" x14ac:dyDescent="0.25">
      <c r="A1007">
        <v>2454485581</v>
      </c>
      <c r="B1007" t="s">
        <v>4260</v>
      </c>
      <c r="C1007">
        <v>2600000</v>
      </c>
      <c r="D1007" t="s">
        <v>4261</v>
      </c>
      <c r="E1007" t="s">
        <v>4262</v>
      </c>
      <c r="F1007">
        <v>3</v>
      </c>
      <c r="I1007" t="str">
        <f>HYPERLINK("tel:+13106014134", "310-601-4134")</f>
        <v>310-601-4134</v>
      </c>
      <c r="J1007" t="s">
        <v>4263</v>
      </c>
      <c r="K1007" t="s">
        <v>24</v>
      </c>
      <c r="M1007">
        <v>3106014134</v>
      </c>
    </row>
    <row r="1008" spans="1:13" x14ac:dyDescent="0.25">
      <c r="A1008">
        <v>9375289626</v>
      </c>
      <c r="B1008" t="s">
        <v>4264</v>
      </c>
      <c r="C1008">
        <v>2390000</v>
      </c>
      <c r="D1008" t="s">
        <v>4265</v>
      </c>
      <c r="E1008" t="s">
        <v>4266</v>
      </c>
      <c r="F1008">
        <v>3</v>
      </c>
      <c r="I1008" t="str">
        <f>HYPERLINK("tel:+13106131251", "310-613-1251")</f>
        <v>310-613-1251</v>
      </c>
      <c r="J1008" t="s">
        <v>4267</v>
      </c>
      <c r="K1008" t="s">
        <v>173</v>
      </c>
      <c r="M1008">
        <v>3106131251</v>
      </c>
    </row>
    <row r="1009" spans="1:13" x14ac:dyDescent="0.25">
      <c r="A1009">
        <v>2219054554</v>
      </c>
      <c r="B1009" t="s">
        <v>4268</v>
      </c>
      <c r="C1009">
        <v>49995000</v>
      </c>
      <c r="D1009" t="s">
        <v>4269</v>
      </c>
      <c r="E1009" t="s">
        <v>4270</v>
      </c>
      <c r="F1009">
        <v>3</v>
      </c>
      <c r="I1009" t="str">
        <f>HYPERLINK("tel:+13106133546", "310-613-3546")</f>
        <v>310-613-3546</v>
      </c>
      <c r="J1009" t="s">
        <v>4271</v>
      </c>
      <c r="K1009" t="s">
        <v>136</v>
      </c>
      <c r="M1009">
        <v>3106133546</v>
      </c>
    </row>
    <row r="1010" spans="1:13" x14ac:dyDescent="0.25">
      <c r="A1010">
        <v>2016974309</v>
      </c>
      <c r="B1010" t="s">
        <v>4272</v>
      </c>
      <c r="C1010">
        <v>2988888</v>
      </c>
      <c r="D1010" t="s">
        <v>4273</v>
      </c>
      <c r="E1010" t="s">
        <v>4274</v>
      </c>
      <c r="F1010">
        <v>3</v>
      </c>
      <c r="I1010" t="str">
        <f>HYPERLINK("tel:+13106172240", "310-617-2240")</f>
        <v>310-617-2240</v>
      </c>
      <c r="J1010" t="s">
        <v>4275</v>
      </c>
      <c r="K1010" t="s">
        <v>173</v>
      </c>
      <c r="M1010">
        <v>3106172240</v>
      </c>
    </row>
    <row r="1011" spans="1:13" x14ac:dyDescent="0.25">
      <c r="A1011">
        <v>2001272660</v>
      </c>
      <c r="B1011" t="s">
        <v>4276</v>
      </c>
      <c r="C1011">
        <v>22900000</v>
      </c>
      <c r="D1011" t="s">
        <v>4277</v>
      </c>
      <c r="E1011" t="s">
        <v>4278</v>
      </c>
      <c r="F1011">
        <v>3</v>
      </c>
      <c r="I1011" t="str">
        <f>HYPERLINK("tel:+13106178258", "310-617-8258")</f>
        <v>310-617-8258</v>
      </c>
      <c r="J1011" t="s">
        <v>4279</v>
      </c>
      <c r="K1011" t="s">
        <v>4280</v>
      </c>
      <c r="M1011">
        <v>3106178258</v>
      </c>
    </row>
    <row r="1012" spans="1:13" x14ac:dyDescent="0.25">
      <c r="A1012">
        <v>1378953646</v>
      </c>
      <c r="B1012" t="s">
        <v>4281</v>
      </c>
      <c r="C1012">
        <v>789000</v>
      </c>
      <c r="D1012" t="s">
        <v>4282</v>
      </c>
      <c r="E1012" t="s">
        <v>4283</v>
      </c>
      <c r="F1012">
        <v>3</v>
      </c>
      <c r="I1012" t="str">
        <f>HYPERLINK("tel:+13106199389", "310-619-9389")</f>
        <v>310-619-9389</v>
      </c>
      <c r="J1012" t="s">
        <v>4284</v>
      </c>
      <c r="K1012" t="s">
        <v>4285</v>
      </c>
      <c r="M1012">
        <v>3106199389</v>
      </c>
    </row>
    <row r="1013" spans="1:13" x14ac:dyDescent="0.25">
      <c r="A1013">
        <v>1200962058</v>
      </c>
      <c r="B1013" t="s">
        <v>4286</v>
      </c>
      <c r="C1013">
        <v>2299000</v>
      </c>
      <c r="D1013" t="s">
        <v>4287</v>
      </c>
      <c r="E1013" t="s">
        <v>4288</v>
      </c>
      <c r="F1013">
        <v>3</v>
      </c>
      <c r="I1013" t="str">
        <f>HYPERLINK("tel:+13106211563", "310-621-1563")</f>
        <v>310-621-1563</v>
      </c>
      <c r="J1013" t="s">
        <v>4289</v>
      </c>
      <c r="K1013" t="s">
        <v>4290</v>
      </c>
      <c r="M1013">
        <v>3106211563</v>
      </c>
    </row>
    <row r="1014" spans="1:13" x14ac:dyDescent="0.25">
      <c r="A1014">
        <v>2122130667</v>
      </c>
      <c r="B1014" t="s">
        <v>4291</v>
      </c>
      <c r="C1014">
        <v>1995000</v>
      </c>
      <c r="D1014" t="s">
        <v>4292</v>
      </c>
      <c r="E1014" t="s">
        <v>4293</v>
      </c>
      <c r="F1014">
        <v>3</v>
      </c>
      <c r="I1014" t="str">
        <f>HYPERLINK("tel:+13106227422", "310-622-7422")</f>
        <v>310-622-7422</v>
      </c>
      <c r="J1014" t="s">
        <v>4294</v>
      </c>
      <c r="K1014" t="s">
        <v>24</v>
      </c>
      <c r="M1014">
        <v>3106227422</v>
      </c>
    </row>
    <row r="1015" spans="1:13" x14ac:dyDescent="0.25">
      <c r="A1015">
        <v>1421151991</v>
      </c>
      <c r="B1015" t="s">
        <v>4295</v>
      </c>
      <c r="C1015">
        <v>3795000</v>
      </c>
      <c r="D1015" t="s">
        <v>4296</v>
      </c>
      <c r="E1015" t="s">
        <v>4297</v>
      </c>
      <c r="F1015">
        <v>3</v>
      </c>
      <c r="I1015" t="str">
        <f>HYPERLINK("tel:+13106227445", "310-622-7445")</f>
        <v>310-622-7445</v>
      </c>
      <c r="J1015" t="s">
        <v>4298</v>
      </c>
      <c r="K1015" t="s">
        <v>24</v>
      </c>
      <c r="M1015">
        <v>3106227445</v>
      </c>
    </row>
    <row r="1016" spans="1:13" x14ac:dyDescent="0.25">
      <c r="A1016">
        <v>1687480310</v>
      </c>
      <c r="B1016" t="s">
        <v>4299</v>
      </c>
      <c r="C1016">
        <v>4995000</v>
      </c>
      <c r="D1016" t="s">
        <v>4300</v>
      </c>
      <c r="E1016" t="s">
        <v>4301</v>
      </c>
      <c r="F1016">
        <v>3</v>
      </c>
      <c r="I1016" t="str">
        <f>HYPERLINK("tel:+13106236545", "310-623-6545")</f>
        <v>310-623-6545</v>
      </c>
      <c r="J1016" t="s">
        <v>4302</v>
      </c>
      <c r="K1016" t="s">
        <v>136</v>
      </c>
      <c r="M1016">
        <v>3106236545</v>
      </c>
    </row>
    <row r="1017" spans="1:13" x14ac:dyDescent="0.25">
      <c r="A1017">
        <v>1027304233</v>
      </c>
      <c r="B1017" t="s">
        <v>4303</v>
      </c>
      <c r="C1017">
        <v>599000</v>
      </c>
      <c r="D1017" t="s">
        <v>4304</v>
      </c>
      <c r="E1017" t="s">
        <v>4305</v>
      </c>
      <c r="F1017">
        <v>3</v>
      </c>
      <c r="I1017" t="str">
        <f>HYPERLINK("tel:+13106507115", "310-650-7115")</f>
        <v>310-650-7115</v>
      </c>
      <c r="J1017" t="s">
        <v>4306</v>
      </c>
      <c r="K1017" t="s">
        <v>1465</v>
      </c>
      <c r="M1017">
        <v>3106507115</v>
      </c>
    </row>
    <row r="1018" spans="1:13" x14ac:dyDescent="0.25">
      <c r="A1018">
        <v>2309892933</v>
      </c>
      <c r="B1018" t="s">
        <v>4307</v>
      </c>
      <c r="C1018">
        <v>2999000</v>
      </c>
      <c r="D1018" t="s">
        <v>4308</v>
      </c>
      <c r="E1018" t="s">
        <v>4309</v>
      </c>
      <c r="F1018">
        <v>3</v>
      </c>
      <c r="I1018" t="str">
        <f>HYPERLINK("tel:+13106638200", "310-663-8200")</f>
        <v>310-663-8200</v>
      </c>
      <c r="J1018" t="s">
        <v>4310</v>
      </c>
      <c r="K1018" t="s">
        <v>4</v>
      </c>
      <c r="M1018">
        <v>3106638200</v>
      </c>
    </row>
    <row r="1019" spans="1:13" x14ac:dyDescent="0.25">
      <c r="A1019">
        <v>2567101764</v>
      </c>
      <c r="B1019" t="s">
        <v>4311</v>
      </c>
      <c r="C1019">
        <v>429000</v>
      </c>
      <c r="D1019" t="s">
        <v>4312</v>
      </c>
      <c r="E1019" t="s">
        <v>4313</v>
      </c>
      <c r="F1019">
        <v>3</v>
      </c>
      <c r="I1019" t="str">
        <f>HYPERLINK("tel:+13106869361", "310-686-9361")</f>
        <v>310-686-9361</v>
      </c>
      <c r="J1019" t="s">
        <v>4314</v>
      </c>
      <c r="K1019" t="s">
        <v>24</v>
      </c>
      <c r="M1019">
        <v>3106869361</v>
      </c>
    </row>
    <row r="1020" spans="1:13" x14ac:dyDescent="0.25">
      <c r="A1020">
        <v>2332997817</v>
      </c>
      <c r="B1020" t="s">
        <v>4315</v>
      </c>
      <c r="C1020">
        <v>1649000</v>
      </c>
      <c r="D1020" t="s">
        <v>4316</v>
      </c>
      <c r="E1020" t="s">
        <v>4317</v>
      </c>
      <c r="F1020">
        <v>3</v>
      </c>
      <c r="I1020" t="str">
        <f>HYPERLINK("tel:+13106892999", "310-689-2999")</f>
        <v>310-689-2999</v>
      </c>
      <c r="J1020" t="s">
        <v>4318</v>
      </c>
      <c r="K1020" t="s">
        <v>112</v>
      </c>
      <c r="M1020">
        <v>3106892999</v>
      </c>
    </row>
    <row r="1021" spans="1:13" x14ac:dyDescent="0.25">
      <c r="A1021">
        <v>9908077612</v>
      </c>
      <c r="B1021" t="s">
        <v>4319</v>
      </c>
      <c r="C1021">
        <v>7495000</v>
      </c>
      <c r="D1021" t="s">
        <v>4320</v>
      </c>
      <c r="E1021" t="s">
        <v>4321</v>
      </c>
      <c r="F1021">
        <v>3</v>
      </c>
      <c r="I1021" t="str">
        <f>HYPERLINK("tel:+13107040007", "310-704-0007")</f>
        <v>310-704-0007</v>
      </c>
      <c r="J1021" t="s">
        <v>4322</v>
      </c>
      <c r="K1021" t="s">
        <v>24</v>
      </c>
      <c r="M1021">
        <v>3107040007</v>
      </c>
    </row>
    <row r="1022" spans="1:13" x14ac:dyDescent="0.25">
      <c r="A1022">
        <v>1323291626</v>
      </c>
      <c r="B1022" t="s">
        <v>4323</v>
      </c>
      <c r="C1022">
        <v>4295000</v>
      </c>
      <c r="D1022" t="s">
        <v>4324</v>
      </c>
      <c r="E1022" t="s">
        <v>4325</v>
      </c>
      <c r="F1022">
        <v>3</v>
      </c>
      <c r="I1022" t="str">
        <f>HYPERLINK("tel:+13107044248", "310-704-4248")</f>
        <v>310-704-4248</v>
      </c>
      <c r="J1022" t="s">
        <v>4326</v>
      </c>
      <c r="K1022" t="s">
        <v>635</v>
      </c>
      <c r="M1022">
        <v>3107044248</v>
      </c>
    </row>
    <row r="1023" spans="1:13" x14ac:dyDescent="0.25">
      <c r="A1023">
        <v>9727256575</v>
      </c>
      <c r="B1023" t="s">
        <v>4327</v>
      </c>
      <c r="C1023">
        <v>2550000</v>
      </c>
      <c r="D1023" t="s">
        <v>4328</v>
      </c>
      <c r="E1023" t="s">
        <v>4329</v>
      </c>
      <c r="F1023">
        <v>3</v>
      </c>
      <c r="I1023" t="str">
        <f>HYPERLINK("tel:+13107098743", "310-709-8743")</f>
        <v>310-709-8743</v>
      </c>
      <c r="J1023" t="s">
        <v>4330</v>
      </c>
      <c r="K1023" t="s">
        <v>1730</v>
      </c>
      <c r="M1023">
        <v>3107098743</v>
      </c>
    </row>
    <row r="1024" spans="1:13" x14ac:dyDescent="0.25">
      <c r="A1024">
        <v>1596164229</v>
      </c>
      <c r="B1024" t="s">
        <v>4331</v>
      </c>
      <c r="C1024">
        <v>3595000</v>
      </c>
      <c r="D1024" t="s">
        <v>4332</v>
      </c>
      <c r="E1024" t="s">
        <v>4333</v>
      </c>
      <c r="F1024">
        <v>3</v>
      </c>
      <c r="I1024" t="str">
        <f>HYPERLINK("tel:+13107170565", "310-717-0565")</f>
        <v>310-717-0565</v>
      </c>
      <c r="J1024" t="s">
        <v>4334</v>
      </c>
      <c r="K1024" t="s">
        <v>4335</v>
      </c>
      <c r="M1024">
        <v>3107170565</v>
      </c>
    </row>
    <row r="1025" spans="1:13" x14ac:dyDescent="0.25">
      <c r="A1025">
        <v>1218965357</v>
      </c>
      <c r="B1025" t="s">
        <v>4336</v>
      </c>
      <c r="C1025">
        <v>4495000</v>
      </c>
      <c r="D1025" t="s">
        <v>4337</v>
      </c>
      <c r="E1025" t="s">
        <v>4338</v>
      </c>
      <c r="F1025">
        <v>3</v>
      </c>
      <c r="I1025" t="str">
        <f>HYPERLINK("tel:+13107171717", "310-717-1717")</f>
        <v>310-717-1717</v>
      </c>
      <c r="J1025" t="s">
        <v>4339</v>
      </c>
      <c r="K1025" t="s">
        <v>24</v>
      </c>
      <c r="M1025">
        <v>3107171717</v>
      </c>
    </row>
    <row r="1026" spans="1:13" x14ac:dyDescent="0.25">
      <c r="A1026">
        <v>2661794524</v>
      </c>
      <c r="B1026" t="s">
        <v>4340</v>
      </c>
      <c r="C1026">
        <v>459000</v>
      </c>
      <c r="D1026" t="s">
        <v>4341</v>
      </c>
      <c r="E1026" t="s">
        <v>4342</v>
      </c>
      <c r="F1026">
        <v>3</v>
      </c>
      <c r="I1026" t="str">
        <f>HYPERLINK("tel:+13107207169", "310-720-7169")</f>
        <v>310-720-7169</v>
      </c>
      <c r="J1026" t="s">
        <v>4343</v>
      </c>
      <c r="K1026" t="s">
        <v>68</v>
      </c>
      <c r="M1026">
        <v>3107207169</v>
      </c>
    </row>
    <row r="1027" spans="1:13" x14ac:dyDescent="0.25">
      <c r="A1027">
        <v>1067352281</v>
      </c>
      <c r="B1027" t="s">
        <v>4344</v>
      </c>
      <c r="C1027">
        <v>700000</v>
      </c>
      <c r="D1027" t="s">
        <v>4345</v>
      </c>
      <c r="E1027" t="s">
        <v>4346</v>
      </c>
      <c r="F1027">
        <v>3</v>
      </c>
      <c r="I1027" t="str">
        <f>HYPERLINK("tel:+13107212896", "310-721-2896")</f>
        <v>310-721-2896</v>
      </c>
      <c r="J1027" t="s">
        <v>4347</v>
      </c>
      <c r="K1027" t="s">
        <v>68</v>
      </c>
      <c r="M1027">
        <v>3107212896</v>
      </c>
    </row>
    <row r="1028" spans="1:13" x14ac:dyDescent="0.25">
      <c r="A1028">
        <v>2408587670</v>
      </c>
      <c r="B1028" t="s">
        <v>4348</v>
      </c>
      <c r="C1028">
        <v>2995000</v>
      </c>
      <c r="D1028" t="s">
        <v>4349</v>
      </c>
      <c r="E1028" t="s">
        <v>4350</v>
      </c>
      <c r="F1028">
        <v>3</v>
      </c>
      <c r="I1028" t="str">
        <f>HYPERLINK("tel:+13107217315", "310-721-7315")</f>
        <v>310-721-7315</v>
      </c>
      <c r="J1028" t="s">
        <v>4351</v>
      </c>
      <c r="K1028" t="s">
        <v>4352</v>
      </c>
      <c r="M1028">
        <v>3107217315</v>
      </c>
    </row>
    <row r="1029" spans="1:13" x14ac:dyDescent="0.25">
      <c r="A1029">
        <v>1955618916</v>
      </c>
      <c r="B1029" t="s">
        <v>4353</v>
      </c>
      <c r="C1029">
        <v>8500000</v>
      </c>
      <c r="D1029" t="s">
        <v>4354</v>
      </c>
      <c r="E1029" t="s">
        <v>4355</v>
      </c>
      <c r="F1029">
        <v>3</v>
      </c>
      <c r="I1029" t="str">
        <f>HYPERLINK("tel:+13107245708", "310-724-5708")</f>
        <v>310-724-5708</v>
      </c>
      <c r="J1029" t="s">
        <v>4356</v>
      </c>
      <c r="K1029" t="s">
        <v>1771</v>
      </c>
      <c r="M1029">
        <v>3107245708</v>
      </c>
    </row>
    <row r="1030" spans="1:13" x14ac:dyDescent="0.25">
      <c r="A1030">
        <v>1891810940</v>
      </c>
      <c r="B1030" t="s">
        <v>4357</v>
      </c>
      <c r="C1030">
        <v>1199000</v>
      </c>
      <c r="D1030" t="s">
        <v>4358</v>
      </c>
      <c r="E1030" t="s">
        <v>4359</v>
      </c>
      <c r="F1030">
        <v>3</v>
      </c>
      <c r="I1030" t="str">
        <f>HYPERLINK("tel:+13107291954", "310-729-1954")</f>
        <v>310-729-1954</v>
      </c>
      <c r="J1030" t="s">
        <v>4360</v>
      </c>
      <c r="K1030" t="s">
        <v>4361</v>
      </c>
      <c r="M1030">
        <v>3107291954</v>
      </c>
    </row>
    <row r="1031" spans="1:13" x14ac:dyDescent="0.25">
      <c r="A1031">
        <v>2677211955</v>
      </c>
      <c r="B1031" t="s">
        <v>4362</v>
      </c>
      <c r="C1031">
        <v>1730000</v>
      </c>
      <c r="D1031" t="s">
        <v>4363</v>
      </c>
      <c r="E1031" t="s">
        <v>4364</v>
      </c>
      <c r="F1031">
        <v>3</v>
      </c>
      <c r="I1031" t="str">
        <f>HYPERLINK("tel:+13107299726", "310-729-9726")</f>
        <v>310-729-9726</v>
      </c>
      <c r="J1031" t="s">
        <v>4365</v>
      </c>
      <c r="K1031" t="s">
        <v>24</v>
      </c>
      <c r="M1031">
        <v>3107299726</v>
      </c>
    </row>
    <row r="1032" spans="1:13" x14ac:dyDescent="0.25">
      <c r="A1032">
        <v>2181420782</v>
      </c>
      <c r="B1032" t="s">
        <v>4366</v>
      </c>
      <c r="C1032">
        <v>2395000</v>
      </c>
      <c r="D1032" t="s">
        <v>4367</v>
      </c>
      <c r="E1032" t="s">
        <v>4368</v>
      </c>
      <c r="F1032">
        <v>3</v>
      </c>
      <c r="I1032" t="str">
        <f>HYPERLINK("tel:+13107342119", "310-734-2119")</f>
        <v>310-734-2119</v>
      </c>
      <c r="J1032" t="s">
        <v>4369</v>
      </c>
      <c r="K1032" t="s">
        <v>622</v>
      </c>
      <c r="M1032">
        <v>3107342119</v>
      </c>
    </row>
    <row r="1033" spans="1:13" x14ac:dyDescent="0.25">
      <c r="A1033">
        <v>2652925229</v>
      </c>
      <c r="B1033" t="s">
        <v>4229</v>
      </c>
      <c r="C1033">
        <v>570000</v>
      </c>
      <c r="D1033" t="s">
        <v>4230</v>
      </c>
      <c r="E1033" t="s">
        <v>4370</v>
      </c>
      <c r="F1033">
        <v>3</v>
      </c>
      <c r="I1033" t="str">
        <f>HYPERLINK("tel:+13107399743", "310-739-9743")</f>
        <v>310-739-9743</v>
      </c>
      <c r="J1033" t="s">
        <v>4371</v>
      </c>
      <c r="K1033" t="s">
        <v>4233</v>
      </c>
      <c r="M1033">
        <v>3107399743</v>
      </c>
    </row>
    <row r="1034" spans="1:13" x14ac:dyDescent="0.25">
      <c r="A1034">
        <v>2767868621</v>
      </c>
      <c r="B1034" t="s">
        <v>4372</v>
      </c>
      <c r="C1034">
        <v>3750000</v>
      </c>
      <c r="D1034" t="s">
        <v>4373</v>
      </c>
      <c r="E1034" t="s">
        <v>4374</v>
      </c>
      <c r="F1034">
        <v>3</v>
      </c>
      <c r="I1034" t="str">
        <f>HYPERLINK("tel:+13107411881", "310-741-1881")</f>
        <v>310-741-1881</v>
      </c>
      <c r="J1034" t="s">
        <v>4375</v>
      </c>
      <c r="K1034" t="s">
        <v>24</v>
      </c>
      <c r="M1034">
        <v>3107411881</v>
      </c>
    </row>
    <row r="1035" spans="1:13" x14ac:dyDescent="0.25">
      <c r="A1035">
        <v>1762485279</v>
      </c>
      <c r="B1035" t="s">
        <v>4376</v>
      </c>
      <c r="C1035">
        <v>1550000</v>
      </c>
      <c r="D1035" t="s">
        <v>4377</v>
      </c>
      <c r="E1035" t="s">
        <v>4378</v>
      </c>
      <c r="F1035">
        <v>3</v>
      </c>
      <c r="I1035" t="str">
        <f>HYPERLINK("tel:+13107433908", "310-743-3908")</f>
        <v>310-743-3908</v>
      </c>
      <c r="J1035" t="s">
        <v>4379</v>
      </c>
      <c r="K1035" t="s">
        <v>4380</v>
      </c>
      <c r="M1035">
        <v>3107433908</v>
      </c>
    </row>
    <row r="1036" spans="1:13" x14ac:dyDescent="0.25">
      <c r="A1036">
        <v>1323291626</v>
      </c>
      <c r="B1036" t="s">
        <v>4323</v>
      </c>
      <c r="C1036">
        <v>4295000</v>
      </c>
      <c r="D1036" t="s">
        <v>4324</v>
      </c>
      <c r="E1036" t="s">
        <v>4381</v>
      </c>
      <c r="F1036">
        <v>3</v>
      </c>
      <c r="I1036" t="str">
        <f>HYPERLINK("tel:+13107772888", "310-777-2888")</f>
        <v>310-777-2888</v>
      </c>
      <c r="J1036" t="s">
        <v>4382</v>
      </c>
      <c r="K1036" t="s">
        <v>635</v>
      </c>
      <c r="M1036">
        <v>3107772888</v>
      </c>
    </row>
    <row r="1037" spans="1:13" x14ac:dyDescent="0.25">
      <c r="A1037">
        <v>2669151139</v>
      </c>
      <c r="B1037" t="s">
        <v>4045</v>
      </c>
      <c r="C1037">
        <v>9975000</v>
      </c>
      <c r="D1037" t="s">
        <v>4046</v>
      </c>
      <c r="E1037" t="s">
        <v>4383</v>
      </c>
      <c r="F1037">
        <v>3</v>
      </c>
      <c r="I1037" t="str">
        <f>HYPERLINK("tel:+13107795217", "310-779-5217")</f>
        <v>310-779-5217</v>
      </c>
      <c r="J1037" t="s">
        <v>4384</v>
      </c>
      <c r="K1037" t="s">
        <v>24</v>
      </c>
      <c r="M1037">
        <v>3107795217</v>
      </c>
    </row>
    <row r="1038" spans="1:13" x14ac:dyDescent="0.25">
      <c r="A1038">
        <v>2725971797</v>
      </c>
      <c r="B1038" t="s">
        <v>4385</v>
      </c>
      <c r="C1038">
        <v>710000</v>
      </c>
      <c r="D1038" t="s">
        <v>4386</v>
      </c>
      <c r="E1038" t="s">
        <v>4387</v>
      </c>
      <c r="F1038">
        <v>3</v>
      </c>
      <c r="I1038" t="str">
        <f>HYPERLINK("tel:+13107797497", "310-779-7497")</f>
        <v>310-779-7497</v>
      </c>
      <c r="J1038" t="s">
        <v>4388</v>
      </c>
      <c r="K1038" t="s">
        <v>4389</v>
      </c>
      <c r="M1038">
        <v>3107797497</v>
      </c>
    </row>
    <row r="1039" spans="1:13" x14ac:dyDescent="0.25">
      <c r="A1039">
        <v>9871949839</v>
      </c>
      <c r="B1039" t="s">
        <v>4390</v>
      </c>
      <c r="C1039">
        <v>95000000</v>
      </c>
      <c r="D1039" t="s">
        <v>4391</v>
      </c>
      <c r="E1039" t="s">
        <v>4392</v>
      </c>
      <c r="F1039">
        <v>3</v>
      </c>
      <c r="I1039" t="str">
        <f>HYPERLINK("tel:+13107800770", "310-780-0770")</f>
        <v>310-780-0770</v>
      </c>
      <c r="J1039" t="s">
        <v>4393</v>
      </c>
      <c r="K1039" t="s">
        <v>63</v>
      </c>
      <c r="M1039">
        <v>3107800770</v>
      </c>
    </row>
    <row r="1040" spans="1:13" x14ac:dyDescent="0.25">
      <c r="A1040">
        <v>1414802259</v>
      </c>
      <c r="B1040" t="s">
        <v>4394</v>
      </c>
      <c r="C1040">
        <v>3995000</v>
      </c>
      <c r="D1040" t="s">
        <v>4395</v>
      </c>
      <c r="E1040" t="s">
        <v>4396</v>
      </c>
      <c r="F1040">
        <v>3</v>
      </c>
      <c r="I1040" t="str">
        <f>HYPERLINK("tel:+13107950943", "310-795-0943")</f>
        <v>310-795-0943</v>
      </c>
      <c r="J1040" t="s">
        <v>4397</v>
      </c>
      <c r="K1040" t="s">
        <v>351</v>
      </c>
      <c r="M1040">
        <v>3107950943</v>
      </c>
    </row>
    <row r="1041" spans="1:13" x14ac:dyDescent="0.25">
      <c r="A1041">
        <v>1612912626</v>
      </c>
      <c r="B1041" t="s">
        <v>4111</v>
      </c>
      <c r="C1041">
        <v>697200</v>
      </c>
      <c r="D1041" t="s">
        <v>4112</v>
      </c>
      <c r="E1041" t="s">
        <v>4398</v>
      </c>
      <c r="F1041">
        <v>3</v>
      </c>
      <c r="I1041" t="str">
        <f>HYPERLINK("tel:+13108022444", "310-802-2444")</f>
        <v>310-802-2444</v>
      </c>
      <c r="J1041" t="s">
        <v>4399</v>
      </c>
      <c r="K1041" t="s">
        <v>532</v>
      </c>
      <c r="M1041">
        <v>3108022444</v>
      </c>
    </row>
    <row r="1042" spans="1:13" x14ac:dyDescent="0.25">
      <c r="A1042">
        <v>1358096793</v>
      </c>
      <c r="B1042" t="s">
        <v>4400</v>
      </c>
      <c r="C1042">
        <v>1435000</v>
      </c>
      <c r="D1042" t="s">
        <v>4401</v>
      </c>
      <c r="E1042" t="s">
        <v>4402</v>
      </c>
      <c r="F1042">
        <v>3</v>
      </c>
      <c r="I1042" t="str">
        <f>HYPERLINK("tel:+13108045966", "310-804-5966")</f>
        <v>310-804-5966</v>
      </c>
      <c r="J1042" t="s">
        <v>4403</v>
      </c>
      <c r="K1042" t="s">
        <v>4</v>
      </c>
      <c r="M1042">
        <v>3108045966</v>
      </c>
    </row>
    <row r="1043" spans="1:13" x14ac:dyDescent="0.25">
      <c r="A1043">
        <v>2384685679</v>
      </c>
      <c r="B1043" t="s">
        <v>4404</v>
      </c>
      <c r="C1043">
        <v>1859000</v>
      </c>
      <c r="D1043" t="s">
        <v>4405</v>
      </c>
      <c r="E1043" t="s">
        <v>4406</v>
      </c>
      <c r="F1043">
        <v>3</v>
      </c>
      <c r="I1043" t="str">
        <f>HYPERLINK("tel:+13108060993", "310-806-0993")</f>
        <v>310-806-0993</v>
      </c>
      <c r="J1043" t="s">
        <v>4407</v>
      </c>
      <c r="K1043" t="s">
        <v>935</v>
      </c>
      <c r="M1043">
        <v>3108060993</v>
      </c>
    </row>
    <row r="1044" spans="1:13" x14ac:dyDescent="0.25">
      <c r="A1044">
        <v>1178471098</v>
      </c>
      <c r="B1044" t="s">
        <v>4408</v>
      </c>
      <c r="C1044">
        <v>2995000</v>
      </c>
      <c r="D1044" t="s">
        <v>4409</v>
      </c>
      <c r="E1044" t="s">
        <v>4410</v>
      </c>
      <c r="F1044">
        <v>3</v>
      </c>
      <c r="I1044" t="str">
        <f>HYPERLINK("tel:+13108209340", "310-820-9340")</f>
        <v>310-820-9340</v>
      </c>
      <c r="J1044" t="s">
        <v>4411</v>
      </c>
      <c r="K1044" t="s">
        <v>431</v>
      </c>
      <c r="M1044">
        <v>3108209340</v>
      </c>
    </row>
    <row r="1045" spans="1:13" x14ac:dyDescent="0.25">
      <c r="A1045">
        <v>1028826298</v>
      </c>
      <c r="B1045" t="s">
        <v>4412</v>
      </c>
      <c r="C1045">
        <v>2498000</v>
      </c>
      <c r="D1045" t="s">
        <v>4413</v>
      </c>
      <c r="E1045" t="s">
        <v>4414</v>
      </c>
      <c r="F1045">
        <v>3</v>
      </c>
      <c r="I1045" t="str">
        <f>HYPERLINK("tel:+13108243550", "310-824-3550")</f>
        <v>310-824-3550</v>
      </c>
      <c r="J1045" t="s">
        <v>4415</v>
      </c>
      <c r="K1045" t="s">
        <v>24</v>
      </c>
      <c r="M1045">
        <v>3108243550</v>
      </c>
    </row>
    <row r="1046" spans="1:13" x14ac:dyDescent="0.25">
      <c r="A1046">
        <v>2922373218</v>
      </c>
      <c r="B1046" t="s">
        <v>4416</v>
      </c>
      <c r="C1046">
        <v>1995000</v>
      </c>
      <c r="D1046" t="s">
        <v>4417</v>
      </c>
      <c r="E1046" t="s">
        <v>4418</v>
      </c>
      <c r="F1046">
        <v>3</v>
      </c>
      <c r="I1046" t="str">
        <f>HYPERLINK("tel:+13108290629", "310-829-0629")</f>
        <v>310-829-0629</v>
      </c>
      <c r="J1046" t="s">
        <v>4419</v>
      </c>
      <c r="K1046" t="s">
        <v>4</v>
      </c>
      <c r="M1046">
        <v>3108290629</v>
      </c>
    </row>
    <row r="1047" spans="1:13" x14ac:dyDescent="0.25">
      <c r="A1047">
        <v>1016028855</v>
      </c>
      <c r="B1047" t="s">
        <v>4420</v>
      </c>
      <c r="C1047">
        <v>2489000</v>
      </c>
      <c r="D1047" t="s">
        <v>4421</v>
      </c>
      <c r="E1047" t="s">
        <v>4422</v>
      </c>
      <c r="F1047">
        <v>3</v>
      </c>
      <c r="I1047" t="str">
        <f>HYPERLINK("tel:+13108446434", "310-844-6434")</f>
        <v>310-844-6434</v>
      </c>
      <c r="J1047" t="s">
        <v>4423</v>
      </c>
      <c r="K1047" t="s">
        <v>635</v>
      </c>
      <c r="M1047">
        <v>3108446434</v>
      </c>
    </row>
    <row r="1048" spans="1:13" x14ac:dyDescent="0.25">
      <c r="A1048">
        <v>2634453398</v>
      </c>
      <c r="B1048" t="s">
        <v>4424</v>
      </c>
      <c r="C1048">
        <v>499000</v>
      </c>
      <c r="D1048" t="s">
        <v>4425</v>
      </c>
      <c r="E1048" t="s">
        <v>4426</v>
      </c>
      <c r="F1048">
        <v>3</v>
      </c>
      <c r="I1048" t="str">
        <f>HYPERLINK("tel:+13108489984", "310-848-9984")</f>
        <v>310-848-9984</v>
      </c>
      <c r="J1048" t="s">
        <v>4427</v>
      </c>
      <c r="K1048" t="s">
        <v>63</v>
      </c>
      <c r="M1048">
        <v>3108489984</v>
      </c>
    </row>
    <row r="1049" spans="1:13" x14ac:dyDescent="0.25">
      <c r="A1049">
        <v>2925398057</v>
      </c>
      <c r="B1049" t="s">
        <v>3110</v>
      </c>
      <c r="C1049">
        <v>4250000</v>
      </c>
      <c r="D1049" t="s">
        <v>3111</v>
      </c>
      <c r="E1049" t="s">
        <v>4428</v>
      </c>
      <c r="F1049">
        <v>3</v>
      </c>
      <c r="I1049" t="str">
        <f>HYPERLINK("tel:+13108495634", "310-849-5634")</f>
        <v>310-849-5634</v>
      </c>
      <c r="J1049" t="s">
        <v>4429</v>
      </c>
      <c r="K1049" t="s">
        <v>4430</v>
      </c>
      <c r="M1049">
        <v>3108495634</v>
      </c>
    </row>
    <row r="1050" spans="1:13" x14ac:dyDescent="0.25">
      <c r="A1050">
        <v>1610274723</v>
      </c>
      <c r="B1050" t="s">
        <v>4431</v>
      </c>
      <c r="C1050">
        <v>699000</v>
      </c>
      <c r="D1050" t="s">
        <v>4432</v>
      </c>
      <c r="E1050" t="s">
        <v>4433</v>
      </c>
      <c r="F1050">
        <v>3</v>
      </c>
      <c r="I1050" t="str">
        <f>HYPERLINK("tel:+13108516700", "310-851-6700")</f>
        <v>310-851-6700</v>
      </c>
      <c r="J1050" t="s">
        <v>4434</v>
      </c>
      <c r="K1050" t="s">
        <v>4435</v>
      </c>
      <c r="M1050">
        <v>3108516700</v>
      </c>
    </row>
    <row r="1051" spans="1:13" x14ac:dyDescent="0.25">
      <c r="A1051">
        <v>2658664888</v>
      </c>
      <c r="B1051" t="s">
        <v>4436</v>
      </c>
      <c r="C1051">
        <v>2225000</v>
      </c>
      <c r="D1051" t="s">
        <v>4437</v>
      </c>
      <c r="E1051" t="s">
        <v>4438</v>
      </c>
      <c r="F1051">
        <v>3</v>
      </c>
      <c r="I1051" t="str">
        <f>HYPERLINK("tel:+13108532643", "310-853-2643")</f>
        <v>310-853-2643</v>
      </c>
      <c r="J1051" t="s">
        <v>4439</v>
      </c>
      <c r="K1051" t="s">
        <v>24</v>
      </c>
      <c r="M1051">
        <v>3108532643</v>
      </c>
    </row>
    <row r="1052" spans="1:13" x14ac:dyDescent="0.25">
      <c r="A1052">
        <v>2009459121</v>
      </c>
      <c r="B1052" t="s">
        <v>4440</v>
      </c>
      <c r="C1052">
        <v>22500000</v>
      </c>
      <c r="D1052" t="s">
        <v>4441</v>
      </c>
      <c r="E1052" t="s">
        <v>4442</v>
      </c>
      <c r="F1052">
        <v>3</v>
      </c>
      <c r="I1052" t="str">
        <f>HYPERLINK("tel:+13108608881", "310-860-8881")</f>
        <v>310-860-8881</v>
      </c>
      <c r="J1052" t="s">
        <v>4443</v>
      </c>
      <c r="K1052" t="s">
        <v>136</v>
      </c>
      <c r="M1052">
        <v>3108608881</v>
      </c>
    </row>
    <row r="1053" spans="1:13" x14ac:dyDescent="0.25">
      <c r="A1053">
        <v>1010763688</v>
      </c>
      <c r="B1053" t="s">
        <v>3551</v>
      </c>
      <c r="C1053">
        <v>599999</v>
      </c>
      <c r="D1053" t="s">
        <v>3552</v>
      </c>
      <c r="E1053" t="s">
        <v>4444</v>
      </c>
      <c r="F1053">
        <v>3</v>
      </c>
      <c r="I1053" t="str">
        <f>HYPERLINK("tel:+13108614520", "310-861-4520")</f>
        <v>310-861-4520</v>
      </c>
      <c r="J1053" t="s">
        <v>4445</v>
      </c>
      <c r="K1053" t="s">
        <v>3555</v>
      </c>
      <c r="M1053">
        <v>3108614520</v>
      </c>
    </row>
    <row r="1054" spans="1:13" x14ac:dyDescent="0.25">
      <c r="A1054">
        <v>1319522691</v>
      </c>
      <c r="B1054" t="s">
        <v>1850</v>
      </c>
      <c r="C1054">
        <v>2950000</v>
      </c>
      <c r="D1054" t="s">
        <v>1851</v>
      </c>
      <c r="E1054" t="s">
        <v>4446</v>
      </c>
      <c r="F1054">
        <v>3</v>
      </c>
      <c r="I1054" t="str">
        <f>HYPERLINK("tel:+13108667385", "310-866-7385")</f>
        <v>310-866-7385</v>
      </c>
      <c r="J1054" t="s">
        <v>4447</v>
      </c>
      <c r="K1054" t="s">
        <v>1854</v>
      </c>
      <c r="M1054">
        <v>3108667385</v>
      </c>
    </row>
    <row r="1055" spans="1:13" x14ac:dyDescent="0.25">
      <c r="A1055">
        <v>1518714991</v>
      </c>
      <c r="B1055" t="s">
        <v>4448</v>
      </c>
      <c r="C1055">
        <v>799000</v>
      </c>
      <c r="D1055" t="s">
        <v>4449</v>
      </c>
      <c r="E1055" t="s">
        <v>4450</v>
      </c>
      <c r="F1055">
        <v>3</v>
      </c>
      <c r="I1055" t="str">
        <f>HYPERLINK("tel:+13108670171", "310-867-0171")</f>
        <v>310-867-0171</v>
      </c>
      <c r="J1055" t="s">
        <v>4451</v>
      </c>
      <c r="K1055" t="s">
        <v>4452</v>
      </c>
      <c r="M1055">
        <v>3108670171</v>
      </c>
    </row>
    <row r="1056" spans="1:13" x14ac:dyDescent="0.25">
      <c r="A1056">
        <v>1879709413</v>
      </c>
      <c r="B1056" t="s">
        <v>4453</v>
      </c>
      <c r="C1056">
        <v>3850000</v>
      </c>
      <c r="D1056" t="s">
        <v>4454</v>
      </c>
      <c r="E1056" t="s">
        <v>4455</v>
      </c>
      <c r="F1056">
        <v>3</v>
      </c>
      <c r="I1056" t="str">
        <f>HYPERLINK("tel:+13108670563", "310-867-0563")</f>
        <v>310-867-0563</v>
      </c>
      <c r="J1056" t="s">
        <v>4456</v>
      </c>
      <c r="K1056" t="s">
        <v>117</v>
      </c>
      <c r="M1056">
        <v>3108670563</v>
      </c>
    </row>
    <row r="1057" spans="1:13" x14ac:dyDescent="0.25">
      <c r="A1057">
        <v>1145265491</v>
      </c>
      <c r="B1057" t="s">
        <v>4457</v>
      </c>
      <c r="C1057">
        <v>759900</v>
      </c>
      <c r="D1057" t="s">
        <v>4458</v>
      </c>
      <c r="E1057" t="s">
        <v>4459</v>
      </c>
      <c r="F1057">
        <v>3</v>
      </c>
      <c r="I1057" t="str">
        <f>HYPERLINK("tel:+13108670698", "310-867-0698")</f>
        <v>310-867-0698</v>
      </c>
      <c r="J1057" t="s">
        <v>4460</v>
      </c>
      <c r="K1057" t="s">
        <v>9</v>
      </c>
      <c r="M1057">
        <v>3108670698</v>
      </c>
    </row>
    <row r="1058" spans="1:13" x14ac:dyDescent="0.25">
      <c r="A1058">
        <v>1469476014</v>
      </c>
      <c r="B1058" t="s">
        <v>4461</v>
      </c>
      <c r="C1058">
        <v>2250000</v>
      </c>
      <c r="D1058" t="s">
        <v>4462</v>
      </c>
      <c r="E1058" t="s">
        <v>4463</v>
      </c>
      <c r="F1058">
        <v>3</v>
      </c>
      <c r="I1058" t="str">
        <f>HYPERLINK("tel:+13108778600", "310-877-8600")</f>
        <v>310-877-8600</v>
      </c>
      <c r="J1058" t="s">
        <v>4464</v>
      </c>
      <c r="K1058" t="s">
        <v>4465</v>
      </c>
      <c r="M1058">
        <v>3108778600</v>
      </c>
    </row>
    <row r="1059" spans="1:13" x14ac:dyDescent="0.25">
      <c r="A1059">
        <v>9089342868</v>
      </c>
      <c r="B1059" t="s">
        <v>4466</v>
      </c>
      <c r="C1059">
        <v>1525000</v>
      </c>
      <c r="D1059" t="s">
        <v>4467</v>
      </c>
      <c r="E1059" t="s">
        <v>4468</v>
      </c>
      <c r="F1059">
        <v>3</v>
      </c>
      <c r="I1059" t="str">
        <f>HYPERLINK("tel:+13108804979", "310-880-4979")</f>
        <v>310-880-4979</v>
      </c>
      <c r="J1059" t="s">
        <v>4469</v>
      </c>
      <c r="K1059" t="s">
        <v>4470</v>
      </c>
      <c r="M1059">
        <v>3108804979</v>
      </c>
    </row>
    <row r="1060" spans="1:13" x14ac:dyDescent="0.25">
      <c r="A1060">
        <v>1289974650</v>
      </c>
      <c r="B1060" t="s">
        <v>4471</v>
      </c>
      <c r="C1060">
        <v>1999000</v>
      </c>
      <c r="D1060" t="s">
        <v>4472</v>
      </c>
      <c r="E1060" t="s">
        <v>4473</v>
      </c>
      <c r="F1060">
        <v>3</v>
      </c>
      <c r="I1060" t="str">
        <f>HYPERLINK("tel:+13108825565", "310-882-5565")</f>
        <v>310-882-5565</v>
      </c>
      <c r="J1060" t="s">
        <v>4474</v>
      </c>
      <c r="K1060" t="s">
        <v>117</v>
      </c>
      <c r="M1060">
        <v>3108825565</v>
      </c>
    </row>
    <row r="1061" spans="1:13" x14ac:dyDescent="0.25">
      <c r="A1061">
        <v>1479843771</v>
      </c>
      <c r="B1061" t="s">
        <v>4475</v>
      </c>
      <c r="C1061">
        <v>415000</v>
      </c>
      <c r="D1061" t="s">
        <v>4476</v>
      </c>
      <c r="E1061" t="s">
        <v>4477</v>
      </c>
      <c r="F1061">
        <v>3</v>
      </c>
      <c r="I1061" t="str">
        <f>HYPERLINK("tel:+13108834882", "310-883-4882")</f>
        <v>310-883-4882</v>
      </c>
      <c r="J1061" t="s">
        <v>4478</v>
      </c>
      <c r="K1061" t="s">
        <v>4479</v>
      </c>
      <c r="M1061">
        <v>3108834882</v>
      </c>
    </row>
    <row r="1062" spans="1:13" x14ac:dyDescent="0.25">
      <c r="A1062">
        <v>2819208494</v>
      </c>
      <c r="B1062" t="s">
        <v>4480</v>
      </c>
      <c r="C1062">
        <v>683000</v>
      </c>
      <c r="D1062" t="s">
        <v>4481</v>
      </c>
      <c r="E1062" t="s">
        <v>4482</v>
      </c>
      <c r="F1062">
        <v>3</v>
      </c>
      <c r="I1062" t="str">
        <f>HYPERLINK("tel:+13108876446", "310-887-6446")</f>
        <v>310-887-6446</v>
      </c>
      <c r="J1062" t="s">
        <v>4483</v>
      </c>
      <c r="K1062" t="s">
        <v>574</v>
      </c>
      <c r="M1062">
        <v>3108876446</v>
      </c>
    </row>
    <row r="1063" spans="1:13" x14ac:dyDescent="0.25">
      <c r="A1063">
        <v>2527440132</v>
      </c>
      <c r="B1063" t="s">
        <v>4484</v>
      </c>
      <c r="C1063">
        <v>9750000</v>
      </c>
      <c r="D1063" t="s">
        <v>4485</v>
      </c>
      <c r="E1063" t="s">
        <v>4486</v>
      </c>
      <c r="F1063">
        <v>3</v>
      </c>
      <c r="I1063" t="str">
        <f>HYPERLINK("tel:+13108883397", "310-888-3397")</f>
        <v>310-888-3397</v>
      </c>
      <c r="J1063" t="s">
        <v>4487</v>
      </c>
      <c r="K1063" t="s">
        <v>1854</v>
      </c>
      <c r="M1063">
        <v>3108883397</v>
      </c>
    </row>
    <row r="1064" spans="1:13" x14ac:dyDescent="0.25">
      <c r="A1064">
        <v>1685542481</v>
      </c>
      <c r="B1064" t="s">
        <v>4488</v>
      </c>
      <c r="C1064">
        <v>3090000</v>
      </c>
      <c r="D1064" t="s">
        <v>4489</v>
      </c>
      <c r="E1064" t="s">
        <v>4490</v>
      </c>
      <c r="F1064">
        <v>3</v>
      </c>
      <c r="I1064" t="str">
        <f>HYPERLINK("tel:+13108903988", "310-890-3988")</f>
        <v>310-890-3988</v>
      </c>
      <c r="J1064" t="s">
        <v>4491</v>
      </c>
      <c r="K1064" t="s">
        <v>917</v>
      </c>
      <c r="M1064">
        <v>3108903988</v>
      </c>
    </row>
    <row r="1065" spans="1:13" x14ac:dyDescent="0.25">
      <c r="A1065">
        <v>2614446203</v>
      </c>
      <c r="B1065" t="s">
        <v>4492</v>
      </c>
      <c r="C1065">
        <v>2895000</v>
      </c>
      <c r="D1065" t="s">
        <v>4493</v>
      </c>
      <c r="E1065" t="s">
        <v>4494</v>
      </c>
      <c r="F1065">
        <v>3</v>
      </c>
      <c r="I1065" t="str">
        <f>HYPERLINK("tel:+13108908490", "310-890-8490")</f>
        <v>310-890-8490</v>
      </c>
      <c r="J1065" t="s">
        <v>4495</v>
      </c>
      <c r="M1065">
        <v>3108908490</v>
      </c>
    </row>
    <row r="1066" spans="1:13" x14ac:dyDescent="0.25">
      <c r="A1066">
        <v>1328038922</v>
      </c>
      <c r="B1066" t="s">
        <v>4496</v>
      </c>
      <c r="C1066">
        <v>2725000</v>
      </c>
      <c r="D1066" t="s">
        <v>4497</v>
      </c>
      <c r="E1066" t="s">
        <v>4498</v>
      </c>
      <c r="F1066">
        <v>3</v>
      </c>
      <c r="I1066" t="str">
        <f>HYPERLINK("tel:+13108923180", "310-892-3180")</f>
        <v>310-892-3180</v>
      </c>
      <c r="J1066" t="s">
        <v>4499</v>
      </c>
      <c r="K1066" t="s">
        <v>4500</v>
      </c>
      <c r="M1066">
        <v>3108923180</v>
      </c>
    </row>
    <row r="1067" spans="1:13" x14ac:dyDescent="0.25">
      <c r="A1067">
        <v>1748857317</v>
      </c>
      <c r="B1067" t="s">
        <v>4501</v>
      </c>
      <c r="C1067">
        <v>23995000</v>
      </c>
      <c r="D1067" t="s">
        <v>4502</v>
      </c>
      <c r="E1067" t="s">
        <v>4503</v>
      </c>
      <c r="F1067">
        <v>3</v>
      </c>
      <c r="I1067" t="str">
        <f>HYPERLINK("tel:+13108943435", "310-894-3435")</f>
        <v>310-894-3435</v>
      </c>
      <c r="J1067" t="s">
        <v>4504</v>
      </c>
      <c r="K1067" t="s">
        <v>136</v>
      </c>
      <c r="M1067">
        <v>3108943435</v>
      </c>
    </row>
    <row r="1068" spans="1:13" x14ac:dyDescent="0.25">
      <c r="A1068">
        <v>2362975624</v>
      </c>
      <c r="B1068" t="s">
        <v>4005</v>
      </c>
      <c r="C1068">
        <v>985000</v>
      </c>
      <c r="D1068" t="s">
        <v>4006</v>
      </c>
      <c r="E1068" t="s">
        <v>4505</v>
      </c>
      <c r="F1068">
        <v>3</v>
      </c>
      <c r="I1068" t="str">
        <f>HYPERLINK("tel:+13108973466", "310-897-3466")</f>
        <v>310-897-3466</v>
      </c>
      <c r="J1068" t="s">
        <v>4506</v>
      </c>
      <c r="K1068" t="s">
        <v>24</v>
      </c>
      <c r="M1068">
        <v>3108973466</v>
      </c>
    </row>
    <row r="1069" spans="1:13" x14ac:dyDescent="0.25">
      <c r="A1069">
        <v>1412297218</v>
      </c>
      <c r="B1069" t="s">
        <v>2555</v>
      </c>
      <c r="C1069">
        <v>1700000</v>
      </c>
      <c r="D1069" t="s">
        <v>2556</v>
      </c>
      <c r="E1069" t="s">
        <v>4507</v>
      </c>
      <c r="F1069">
        <v>3</v>
      </c>
      <c r="I1069" t="str">
        <f>HYPERLINK("tel:+13109011000", "310-901-1000")</f>
        <v>310-901-1000</v>
      </c>
      <c r="J1069" t="s">
        <v>4508</v>
      </c>
      <c r="K1069" t="s">
        <v>2559</v>
      </c>
      <c r="M1069">
        <v>3109011000</v>
      </c>
    </row>
    <row r="1070" spans="1:13" x14ac:dyDescent="0.25">
      <c r="A1070">
        <v>1775176519</v>
      </c>
      <c r="B1070" t="s">
        <v>4509</v>
      </c>
      <c r="C1070">
        <v>689000</v>
      </c>
      <c r="D1070" t="s">
        <v>4510</v>
      </c>
      <c r="E1070" t="s">
        <v>4511</v>
      </c>
      <c r="F1070">
        <v>3</v>
      </c>
      <c r="I1070" t="str">
        <f>HYPERLINK("tel:+13109013318", "310-901-3318")</f>
        <v>310-901-3318</v>
      </c>
      <c r="J1070" t="s">
        <v>4512</v>
      </c>
      <c r="K1070" t="s">
        <v>2704</v>
      </c>
      <c r="M1070">
        <v>3109013318</v>
      </c>
    </row>
    <row r="1071" spans="1:13" x14ac:dyDescent="0.25">
      <c r="A1071">
        <v>2899337240</v>
      </c>
      <c r="B1071" t="s">
        <v>4513</v>
      </c>
      <c r="C1071">
        <v>599000</v>
      </c>
      <c r="D1071" t="s">
        <v>4514</v>
      </c>
      <c r="E1071" t="s">
        <v>4515</v>
      </c>
      <c r="F1071">
        <v>3</v>
      </c>
      <c r="I1071" t="str">
        <f>HYPERLINK("tel:+13109038850", "310-903-8850")</f>
        <v>310-903-8850</v>
      </c>
      <c r="J1071" t="s">
        <v>4516</v>
      </c>
      <c r="K1071" t="s">
        <v>3511</v>
      </c>
      <c r="M1071">
        <v>3109038850</v>
      </c>
    </row>
    <row r="1072" spans="1:13" x14ac:dyDescent="0.25">
      <c r="A1072">
        <v>2179121666</v>
      </c>
      <c r="B1072" t="s">
        <v>4517</v>
      </c>
      <c r="C1072">
        <v>4850000</v>
      </c>
      <c r="D1072" t="s">
        <v>4518</v>
      </c>
      <c r="E1072" t="s">
        <v>4519</v>
      </c>
      <c r="F1072">
        <v>3</v>
      </c>
      <c r="I1072" t="str">
        <f>HYPERLINK("tel:+13109054834", "310-905-4834")</f>
        <v>310-905-4834</v>
      </c>
      <c r="J1072" t="s">
        <v>4520</v>
      </c>
      <c r="K1072" t="s">
        <v>4521</v>
      </c>
      <c r="M1072">
        <v>3109054834</v>
      </c>
    </row>
    <row r="1073" spans="1:13" x14ac:dyDescent="0.25">
      <c r="A1073">
        <v>9341229177</v>
      </c>
      <c r="B1073" t="s">
        <v>4522</v>
      </c>
      <c r="C1073">
        <v>3900000</v>
      </c>
      <c r="D1073" t="s">
        <v>4523</v>
      </c>
      <c r="E1073" t="s">
        <v>4524</v>
      </c>
      <c r="F1073">
        <v>3</v>
      </c>
      <c r="I1073" t="str">
        <f>HYPERLINK("tel:+13109074900", "310-907-4900")</f>
        <v>310-907-4900</v>
      </c>
      <c r="J1073" t="s">
        <v>4525</v>
      </c>
      <c r="K1073" t="s">
        <v>409</v>
      </c>
      <c r="M1073">
        <v>3109074900</v>
      </c>
    </row>
    <row r="1074" spans="1:13" x14ac:dyDescent="0.25">
      <c r="A1074">
        <v>2805730818</v>
      </c>
      <c r="B1074" t="s">
        <v>4194</v>
      </c>
      <c r="C1074">
        <v>2750000</v>
      </c>
      <c r="D1074" t="s">
        <v>4195</v>
      </c>
      <c r="E1074" t="s">
        <v>4526</v>
      </c>
      <c r="F1074">
        <v>3</v>
      </c>
      <c r="I1074" t="str">
        <f>HYPERLINK("tel:+13109162470", "310-916-2470")</f>
        <v>310-916-2470</v>
      </c>
      <c r="J1074" t="s">
        <v>4527</v>
      </c>
      <c r="K1074" t="s">
        <v>24</v>
      </c>
      <c r="M1074">
        <v>3109162470</v>
      </c>
    </row>
    <row r="1075" spans="1:13" x14ac:dyDescent="0.25">
      <c r="A1075">
        <v>9464437704</v>
      </c>
      <c r="B1075" t="s">
        <v>4528</v>
      </c>
      <c r="C1075">
        <v>25500000</v>
      </c>
      <c r="D1075" t="s">
        <v>4529</v>
      </c>
      <c r="E1075" t="s">
        <v>4530</v>
      </c>
      <c r="F1075">
        <v>3</v>
      </c>
      <c r="I1075" t="str">
        <f>HYPERLINK("tel:+13109203019", "310-920-3019")</f>
        <v>310-920-3019</v>
      </c>
      <c r="J1075" t="s">
        <v>4531</v>
      </c>
      <c r="K1075" t="s">
        <v>168</v>
      </c>
      <c r="M1075">
        <v>3109203019</v>
      </c>
    </row>
    <row r="1076" spans="1:13" x14ac:dyDescent="0.25">
      <c r="A1076">
        <v>1155994905</v>
      </c>
      <c r="B1076" t="s">
        <v>4532</v>
      </c>
      <c r="C1076">
        <v>5995000</v>
      </c>
      <c r="D1076" t="s">
        <v>4533</v>
      </c>
      <c r="E1076" t="s">
        <v>4534</v>
      </c>
      <c r="F1076">
        <v>3</v>
      </c>
      <c r="I1076" t="str">
        <f>HYPERLINK("tel:+13109231550", "310-923-1550")</f>
        <v>310-923-1550</v>
      </c>
      <c r="J1076" t="s">
        <v>4535</v>
      </c>
      <c r="K1076" t="s">
        <v>1465</v>
      </c>
      <c r="M1076">
        <v>3109231550</v>
      </c>
    </row>
    <row r="1077" spans="1:13" x14ac:dyDescent="0.25">
      <c r="A1077">
        <v>1333963748</v>
      </c>
      <c r="B1077" t="s">
        <v>4536</v>
      </c>
      <c r="C1077">
        <v>14500000</v>
      </c>
      <c r="D1077" t="s">
        <v>4537</v>
      </c>
      <c r="E1077" t="s">
        <v>4538</v>
      </c>
      <c r="F1077">
        <v>3</v>
      </c>
      <c r="I1077" t="str">
        <f>HYPERLINK("tel:+13109259826", "310-925-9826")</f>
        <v>310-925-9826</v>
      </c>
      <c r="J1077" t="s">
        <v>4539</v>
      </c>
      <c r="K1077" t="s">
        <v>409</v>
      </c>
      <c r="M1077">
        <v>3109259826</v>
      </c>
    </row>
    <row r="1078" spans="1:13" x14ac:dyDescent="0.25">
      <c r="A1078">
        <v>2503915874</v>
      </c>
      <c r="B1078" t="s">
        <v>4540</v>
      </c>
      <c r="C1078">
        <v>5750000</v>
      </c>
      <c r="D1078" t="s">
        <v>4541</v>
      </c>
      <c r="E1078" t="s">
        <v>4542</v>
      </c>
      <c r="F1078">
        <v>3</v>
      </c>
      <c r="I1078" t="str">
        <f>HYPERLINK("tel:+13109260029", "310-926-0029")</f>
        <v>310-926-0029</v>
      </c>
      <c r="J1078" t="s">
        <v>4543</v>
      </c>
      <c r="K1078" t="s">
        <v>4</v>
      </c>
      <c r="M1078">
        <v>3109260029</v>
      </c>
    </row>
    <row r="1079" spans="1:13" x14ac:dyDescent="0.25">
      <c r="A1079">
        <v>1879492115</v>
      </c>
      <c r="B1079" t="s">
        <v>4544</v>
      </c>
      <c r="C1079">
        <v>1849000</v>
      </c>
      <c r="D1079" t="s">
        <v>4545</v>
      </c>
      <c r="E1079" t="s">
        <v>4546</v>
      </c>
      <c r="F1079">
        <v>3</v>
      </c>
      <c r="I1079" t="str">
        <f>HYPERLINK("tel:+13109263119", "310-926-3119")</f>
        <v>310-926-3119</v>
      </c>
      <c r="J1079" t="s">
        <v>4547</v>
      </c>
      <c r="K1079" t="s">
        <v>1771</v>
      </c>
      <c r="M1079">
        <v>3109263119</v>
      </c>
    </row>
    <row r="1080" spans="1:13" x14ac:dyDescent="0.25">
      <c r="A1080">
        <v>2297667319</v>
      </c>
      <c r="B1080" t="s">
        <v>4548</v>
      </c>
      <c r="C1080">
        <v>1940000</v>
      </c>
      <c r="D1080" t="s">
        <v>4549</v>
      </c>
      <c r="E1080" t="s">
        <v>4550</v>
      </c>
      <c r="F1080">
        <v>3</v>
      </c>
      <c r="I1080" t="str">
        <f>HYPERLINK("tel:+13109265711", "310-926-5711")</f>
        <v>310-926-5711</v>
      </c>
      <c r="J1080" t="s">
        <v>4551</v>
      </c>
      <c r="K1080" t="s">
        <v>63</v>
      </c>
      <c r="M1080">
        <v>3109265711</v>
      </c>
    </row>
    <row r="1081" spans="1:13" x14ac:dyDescent="0.25">
      <c r="A1081">
        <v>2303672669</v>
      </c>
      <c r="B1081" t="s">
        <v>4552</v>
      </c>
      <c r="C1081">
        <v>875000</v>
      </c>
      <c r="D1081" t="s">
        <v>4553</v>
      </c>
      <c r="E1081" t="s">
        <v>4554</v>
      </c>
      <c r="F1081">
        <v>3</v>
      </c>
      <c r="I1081" t="str">
        <f>HYPERLINK("tel:+13109296495", "310-929-6495")</f>
        <v>310-929-6495</v>
      </c>
      <c r="J1081" t="s">
        <v>4555</v>
      </c>
      <c r="K1081" t="s">
        <v>4556</v>
      </c>
      <c r="M1081">
        <v>3109296495</v>
      </c>
    </row>
    <row r="1082" spans="1:13" x14ac:dyDescent="0.25">
      <c r="A1082">
        <v>1176412025</v>
      </c>
      <c r="B1082" t="s">
        <v>4557</v>
      </c>
      <c r="C1082">
        <v>2195000</v>
      </c>
      <c r="D1082" t="s">
        <v>4558</v>
      </c>
      <c r="E1082" t="s">
        <v>4559</v>
      </c>
      <c r="F1082">
        <v>3</v>
      </c>
      <c r="I1082" t="str">
        <f>HYPERLINK("tel:+13109305919", "310-930-5919")</f>
        <v>310-930-5919</v>
      </c>
      <c r="J1082" t="s">
        <v>4560</v>
      </c>
      <c r="K1082" t="s">
        <v>1771</v>
      </c>
      <c r="M1082">
        <v>3109305919</v>
      </c>
    </row>
    <row r="1083" spans="1:13" x14ac:dyDescent="0.25">
      <c r="A1083">
        <v>1088432208</v>
      </c>
      <c r="B1083" t="s">
        <v>2841</v>
      </c>
      <c r="C1083">
        <v>578000</v>
      </c>
      <c r="D1083" t="s">
        <v>2842</v>
      </c>
      <c r="E1083" t="s">
        <v>4561</v>
      </c>
      <c r="F1083">
        <v>3</v>
      </c>
      <c r="I1083" t="str">
        <f>HYPERLINK("tel:+13109400382", "310-940-0382")</f>
        <v>310-940-0382</v>
      </c>
      <c r="J1083" t="s">
        <v>4562</v>
      </c>
      <c r="K1083" t="s">
        <v>68</v>
      </c>
      <c r="M1083">
        <v>3109400382</v>
      </c>
    </row>
    <row r="1084" spans="1:13" x14ac:dyDescent="0.25">
      <c r="A1084">
        <v>2490244350</v>
      </c>
      <c r="B1084" t="s">
        <v>4563</v>
      </c>
      <c r="C1084">
        <v>1895000</v>
      </c>
      <c r="D1084" t="s">
        <v>4564</v>
      </c>
      <c r="E1084" t="s">
        <v>4565</v>
      </c>
      <c r="F1084">
        <v>3</v>
      </c>
      <c r="I1084" t="str">
        <f>HYPERLINK("tel:+13109481915", "310-948-1915")</f>
        <v>310-948-1915</v>
      </c>
      <c r="J1084" t="s">
        <v>4566</v>
      </c>
      <c r="K1084" t="s">
        <v>63</v>
      </c>
      <c r="M1084">
        <v>3109481915</v>
      </c>
    </row>
    <row r="1085" spans="1:13" x14ac:dyDescent="0.25">
      <c r="A1085">
        <v>9882757928</v>
      </c>
      <c r="B1085" t="s">
        <v>4567</v>
      </c>
      <c r="C1085">
        <v>1800000</v>
      </c>
      <c r="D1085" t="s">
        <v>4568</v>
      </c>
      <c r="E1085" t="s">
        <v>4569</v>
      </c>
      <c r="F1085">
        <v>3</v>
      </c>
      <c r="I1085" t="str">
        <f>HYPERLINK("tel:+13109489013", "310-948-9013")</f>
        <v>310-948-9013</v>
      </c>
      <c r="J1085" t="s">
        <v>4570</v>
      </c>
      <c r="K1085" t="s">
        <v>1762</v>
      </c>
      <c r="M1085">
        <v>3109489013</v>
      </c>
    </row>
    <row r="1086" spans="1:13" x14ac:dyDescent="0.25">
      <c r="A1086">
        <v>2192071321</v>
      </c>
      <c r="B1086" t="s">
        <v>4571</v>
      </c>
      <c r="C1086">
        <v>1950000</v>
      </c>
      <c r="D1086" t="s">
        <v>4572</v>
      </c>
      <c r="E1086" t="s">
        <v>4573</v>
      </c>
      <c r="F1086">
        <v>3</v>
      </c>
      <c r="I1086" t="str">
        <f>HYPERLINK("tel:+13109518233", "310-951-8233")</f>
        <v>310-951-8233</v>
      </c>
      <c r="J1086" t="s">
        <v>4574</v>
      </c>
      <c r="K1086" t="s">
        <v>532</v>
      </c>
      <c r="M1086">
        <v>3109518233</v>
      </c>
    </row>
    <row r="1087" spans="1:13" x14ac:dyDescent="0.25">
      <c r="A1087">
        <v>1955618916</v>
      </c>
      <c r="B1087" t="s">
        <v>4353</v>
      </c>
      <c r="C1087">
        <v>8500000</v>
      </c>
      <c r="D1087" t="s">
        <v>4354</v>
      </c>
      <c r="E1087" t="s">
        <v>4575</v>
      </c>
      <c r="F1087">
        <v>3</v>
      </c>
      <c r="I1087" t="str">
        <f>HYPERLINK("tel:+13109540808", "310-954-0808")</f>
        <v>310-954-0808</v>
      </c>
      <c r="J1087" t="s">
        <v>4576</v>
      </c>
      <c r="K1087" t="s">
        <v>4577</v>
      </c>
      <c r="M1087">
        <v>3109540808</v>
      </c>
    </row>
    <row r="1088" spans="1:13" x14ac:dyDescent="0.25">
      <c r="A1088">
        <v>1087355869</v>
      </c>
      <c r="B1088" t="s">
        <v>800</v>
      </c>
      <c r="C1088">
        <v>2995000</v>
      </c>
      <c r="D1088" t="s">
        <v>801</v>
      </c>
      <c r="E1088" t="s">
        <v>4578</v>
      </c>
      <c r="F1088">
        <v>3</v>
      </c>
      <c r="I1088" t="str">
        <f>HYPERLINK("tel:+13109639563", "310-963-9563")</f>
        <v>310-963-9563</v>
      </c>
      <c r="J1088" t="s">
        <v>4579</v>
      </c>
      <c r="K1088" t="s">
        <v>24</v>
      </c>
      <c r="M1088">
        <v>3109639563</v>
      </c>
    </row>
    <row r="1089" spans="1:13" x14ac:dyDescent="0.25">
      <c r="A1089">
        <v>2276230168</v>
      </c>
      <c r="B1089" t="s">
        <v>4580</v>
      </c>
      <c r="C1089">
        <v>58000000</v>
      </c>
      <c r="D1089" t="s">
        <v>4581</v>
      </c>
      <c r="E1089" t="s">
        <v>4582</v>
      </c>
      <c r="F1089">
        <v>3</v>
      </c>
      <c r="I1089" t="str">
        <f>HYPERLINK("tel:+13109688828", "310-968-8828")</f>
        <v>310-968-8828</v>
      </c>
      <c r="J1089" t="s">
        <v>4583</v>
      </c>
      <c r="K1089" t="s">
        <v>1854</v>
      </c>
      <c r="M1089">
        <v>3109688828</v>
      </c>
    </row>
    <row r="1090" spans="1:13" x14ac:dyDescent="0.25">
      <c r="A1090">
        <v>1452119989</v>
      </c>
      <c r="B1090" t="s">
        <v>4584</v>
      </c>
      <c r="C1090">
        <v>39995000</v>
      </c>
      <c r="D1090" t="s">
        <v>4585</v>
      </c>
      <c r="E1090" t="s">
        <v>4586</v>
      </c>
      <c r="F1090">
        <v>3</v>
      </c>
      <c r="I1090" t="str">
        <f>HYPERLINK("tel:+13109689212", "310-968-9212")</f>
        <v>310-968-9212</v>
      </c>
      <c r="J1090" t="s">
        <v>4587</v>
      </c>
      <c r="K1090" t="s">
        <v>153</v>
      </c>
      <c r="M1090">
        <v>3109689212</v>
      </c>
    </row>
    <row r="1091" spans="1:13" x14ac:dyDescent="0.25">
      <c r="A1091">
        <v>1674573698</v>
      </c>
      <c r="B1091" t="s">
        <v>4588</v>
      </c>
      <c r="C1091">
        <v>1675000</v>
      </c>
      <c r="D1091" t="s">
        <v>4589</v>
      </c>
      <c r="E1091" t="s">
        <v>4590</v>
      </c>
      <c r="F1091">
        <v>3</v>
      </c>
      <c r="I1091" t="str">
        <f>HYPERLINK("tel:+13109689389", "310-968-9389")</f>
        <v>310-968-9389</v>
      </c>
      <c r="J1091" t="s">
        <v>4591</v>
      </c>
      <c r="K1091" t="s">
        <v>4592</v>
      </c>
      <c r="M1091">
        <v>3109689389</v>
      </c>
    </row>
    <row r="1092" spans="1:13" x14ac:dyDescent="0.25">
      <c r="A1092">
        <v>1827969764</v>
      </c>
      <c r="B1092" t="s">
        <v>4593</v>
      </c>
      <c r="C1092">
        <v>1200000</v>
      </c>
      <c r="D1092" t="s">
        <v>4594</v>
      </c>
      <c r="E1092" t="s">
        <v>4595</v>
      </c>
      <c r="F1092">
        <v>3</v>
      </c>
      <c r="I1092" t="str">
        <f>HYPERLINK("tel:+13109759916", "310-975-9916")</f>
        <v>310-975-9916</v>
      </c>
      <c r="J1092" t="s">
        <v>4596</v>
      </c>
      <c r="K1092" t="s">
        <v>24</v>
      </c>
      <c r="M1092">
        <v>3109759916</v>
      </c>
    </row>
    <row r="1093" spans="1:13" x14ac:dyDescent="0.25">
      <c r="A1093">
        <v>1238472415</v>
      </c>
      <c r="B1093" t="s">
        <v>4597</v>
      </c>
      <c r="C1093">
        <v>1075000</v>
      </c>
      <c r="D1093" t="s">
        <v>4598</v>
      </c>
      <c r="E1093" t="s">
        <v>4599</v>
      </c>
      <c r="F1093">
        <v>3</v>
      </c>
      <c r="I1093" t="str">
        <f>HYPERLINK("tel:+13109787950", "310-978-7950")</f>
        <v>310-978-7950</v>
      </c>
      <c r="J1093" t="s">
        <v>4600</v>
      </c>
      <c r="K1093" t="s">
        <v>4601</v>
      </c>
      <c r="M1093">
        <v>3109787950</v>
      </c>
    </row>
    <row r="1094" spans="1:13" x14ac:dyDescent="0.25">
      <c r="A1094">
        <v>2231861198</v>
      </c>
      <c r="B1094" t="s">
        <v>4602</v>
      </c>
      <c r="C1094">
        <v>710000</v>
      </c>
      <c r="D1094" t="s">
        <v>4603</v>
      </c>
      <c r="E1094" t="s">
        <v>4604</v>
      </c>
      <c r="F1094">
        <v>3</v>
      </c>
      <c r="I1094" t="str">
        <f>HYPERLINK("tel:+13109804277", "310-980-4277")</f>
        <v>310-980-4277</v>
      </c>
      <c r="J1094" t="s">
        <v>4605</v>
      </c>
      <c r="K1094" t="s">
        <v>4606</v>
      </c>
      <c r="M1094">
        <v>3109804277</v>
      </c>
    </row>
    <row r="1095" spans="1:13" x14ac:dyDescent="0.25">
      <c r="A1095">
        <v>2531102344</v>
      </c>
      <c r="B1095" t="s">
        <v>4607</v>
      </c>
      <c r="C1095">
        <v>3395000</v>
      </c>
      <c r="D1095" t="s">
        <v>4608</v>
      </c>
      <c r="E1095" t="s">
        <v>4609</v>
      </c>
      <c r="F1095">
        <v>3</v>
      </c>
      <c r="I1095" t="str">
        <f>HYPERLINK("tel:+13109871701", "310-987-1701")</f>
        <v>310-987-1701</v>
      </c>
      <c r="J1095" t="s">
        <v>4610</v>
      </c>
      <c r="K1095" t="s">
        <v>9</v>
      </c>
      <c r="M1095">
        <v>3109871701</v>
      </c>
    </row>
    <row r="1096" spans="1:13" x14ac:dyDescent="0.25">
      <c r="A1096">
        <v>1394641384</v>
      </c>
      <c r="B1096" t="s">
        <v>4611</v>
      </c>
      <c r="C1096">
        <v>2980000</v>
      </c>
      <c r="D1096" t="s">
        <v>4612</v>
      </c>
      <c r="E1096" t="s">
        <v>4613</v>
      </c>
      <c r="F1096">
        <v>3</v>
      </c>
      <c r="I1096" t="str">
        <f>HYPERLINK("tel:+13109899166", "310-989-9166")</f>
        <v>310-989-9166</v>
      </c>
      <c r="J1096" t="s">
        <v>4614</v>
      </c>
      <c r="K1096" t="s">
        <v>328</v>
      </c>
      <c r="M1096">
        <v>3109899166</v>
      </c>
    </row>
    <row r="1097" spans="1:13" x14ac:dyDescent="0.25">
      <c r="A1097">
        <v>2462021466</v>
      </c>
      <c r="B1097" t="s">
        <v>4615</v>
      </c>
      <c r="C1097">
        <v>925000</v>
      </c>
      <c r="D1097" t="s">
        <v>4616</v>
      </c>
      <c r="E1097" t="s">
        <v>4617</v>
      </c>
      <c r="F1097">
        <v>3</v>
      </c>
      <c r="I1097" t="str">
        <f>HYPERLINK("tel:+13109900087", "310-990-0087")</f>
        <v>310-990-0087</v>
      </c>
      <c r="J1097" t="s">
        <v>4618</v>
      </c>
      <c r="K1097" t="s">
        <v>24</v>
      </c>
      <c r="M1097">
        <v>3109900087</v>
      </c>
    </row>
    <row r="1098" spans="1:13" x14ac:dyDescent="0.25">
      <c r="A1098">
        <v>2182655633</v>
      </c>
      <c r="B1098" t="s">
        <v>4168</v>
      </c>
      <c r="C1098">
        <v>1650000</v>
      </c>
      <c r="D1098" t="s">
        <v>4169</v>
      </c>
      <c r="E1098" t="s">
        <v>4619</v>
      </c>
      <c r="F1098">
        <v>3</v>
      </c>
      <c r="I1098" t="str">
        <f>HYPERLINK("tel:+13109906267", "310-990-6267")</f>
        <v>310-990-6267</v>
      </c>
      <c r="J1098" t="s">
        <v>4620</v>
      </c>
      <c r="K1098" t="s">
        <v>4170</v>
      </c>
      <c r="M1098">
        <v>3109906267</v>
      </c>
    </row>
    <row r="1099" spans="1:13" x14ac:dyDescent="0.25">
      <c r="A1099">
        <v>2118694680</v>
      </c>
      <c r="B1099" t="s">
        <v>4621</v>
      </c>
      <c r="C1099">
        <v>749000</v>
      </c>
      <c r="D1099" t="s">
        <v>4622</v>
      </c>
      <c r="E1099" t="s">
        <v>4623</v>
      </c>
      <c r="F1099">
        <v>3</v>
      </c>
      <c r="I1099" t="str">
        <f>HYPERLINK("tel:+13109918557", "310-991-8557")</f>
        <v>310-991-8557</v>
      </c>
      <c r="J1099" t="s">
        <v>4624</v>
      </c>
      <c r="K1099" t="s">
        <v>9</v>
      </c>
      <c r="M1099">
        <v>3109918557</v>
      </c>
    </row>
    <row r="1100" spans="1:13" x14ac:dyDescent="0.25">
      <c r="A1100">
        <v>1033378582</v>
      </c>
      <c r="B1100" t="s">
        <v>4625</v>
      </c>
      <c r="C1100">
        <v>1675000</v>
      </c>
      <c r="D1100" t="s">
        <v>4626</v>
      </c>
      <c r="E1100" t="s">
        <v>4627</v>
      </c>
      <c r="F1100">
        <v>3</v>
      </c>
      <c r="I1100" t="str">
        <f>HYPERLINK("tel:+13109934350", "310-993-4350")</f>
        <v>310-993-4350</v>
      </c>
      <c r="J1100" t="s">
        <v>4628</v>
      </c>
      <c r="K1100" t="s">
        <v>82</v>
      </c>
      <c r="M1100">
        <v>3109934350</v>
      </c>
    </row>
    <row r="1101" spans="1:13" x14ac:dyDescent="0.25">
      <c r="A1101">
        <v>2972398634</v>
      </c>
      <c r="B1101" t="s">
        <v>4629</v>
      </c>
      <c r="C1101">
        <v>539000</v>
      </c>
      <c r="D1101" t="s">
        <v>4630</v>
      </c>
      <c r="E1101" t="s">
        <v>4631</v>
      </c>
      <c r="F1101">
        <v>3</v>
      </c>
      <c r="I1101" t="str">
        <f>HYPERLINK("tel:+13109956556", "310-995-6556")</f>
        <v>310-995-6556</v>
      </c>
      <c r="J1101" t="s">
        <v>4632</v>
      </c>
      <c r="K1101" t="s">
        <v>3915</v>
      </c>
      <c r="M1101">
        <v>3109956556</v>
      </c>
    </row>
    <row r="1102" spans="1:13" x14ac:dyDescent="0.25">
      <c r="A1102">
        <v>2908591117</v>
      </c>
      <c r="B1102" t="s">
        <v>4633</v>
      </c>
      <c r="C1102">
        <v>2995000</v>
      </c>
      <c r="D1102" t="s">
        <v>4634</v>
      </c>
      <c r="E1102" t="s">
        <v>4635</v>
      </c>
      <c r="F1102">
        <v>3</v>
      </c>
      <c r="I1102" t="str">
        <f>HYPERLINK("tel:+13109993671", "310-999-3671")</f>
        <v>310-999-3671</v>
      </c>
      <c r="J1102" t="s">
        <v>4636</v>
      </c>
      <c r="K1102" t="s">
        <v>112</v>
      </c>
      <c r="M1102">
        <v>3109993671</v>
      </c>
    </row>
    <row r="1103" spans="1:13" x14ac:dyDescent="0.25">
      <c r="A1103">
        <v>9702079608</v>
      </c>
      <c r="B1103" t="s">
        <v>4637</v>
      </c>
      <c r="C1103">
        <v>1395000</v>
      </c>
      <c r="D1103" t="s">
        <v>4638</v>
      </c>
      <c r="E1103" t="s">
        <v>4639</v>
      </c>
      <c r="F1103">
        <v>3</v>
      </c>
      <c r="I1103" t="str">
        <f>HYPERLINK("tel:+13232081827", "323-208-1827")</f>
        <v>323-208-1827</v>
      </c>
      <c r="J1103" t="s">
        <v>4640</v>
      </c>
      <c r="K1103" t="s">
        <v>24</v>
      </c>
      <c r="M1103">
        <v>3232081827</v>
      </c>
    </row>
    <row r="1104" spans="1:13" x14ac:dyDescent="0.25">
      <c r="A1104">
        <v>9033026803</v>
      </c>
      <c r="B1104" t="s">
        <v>4641</v>
      </c>
      <c r="C1104">
        <v>2000000</v>
      </c>
      <c r="D1104" t="s">
        <v>4642</v>
      </c>
      <c r="E1104" t="s">
        <v>4643</v>
      </c>
      <c r="F1104">
        <v>3</v>
      </c>
      <c r="I1104" t="str">
        <f>HYPERLINK("tel:+13233033410", "323-303-3410")</f>
        <v>323-303-3410</v>
      </c>
      <c r="J1104" t="s">
        <v>4644</v>
      </c>
      <c r="K1104" t="s">
        <v>4645</v>
      </c>
      <c r="M1104">
        <v>3233033410</v>
      </c>
    </row>
    <row r="1105" spans="1:13" x14ac:dyDescent="0.25">
      <c r="A1105">
        <v>2233034112</v>
      </c>
      <c r="B1105" t="s">
        <v>4172</v>
      </c>
      <c r="C1105">
        <v>1897000</v>
      </c>
      <c r="D1105" t="s">
        <v>4173</v>
      </c>
      <c r="E1105" t="s">
        <v>4646</v>
      </c>
      <c r="F1105">
        <v>3</v>
      </c>
      <c r="I1105" t="str">
        <f>HYPERLINK("tel:+13233044005", "323-304-4005")</f>
        <v>323-304-4005</v>
      </c>
      <c r="J1105" t="s">
        <v>4647</v>
      </c>
      <c r="K1105" t="s">
        <v>4176</v>
      </c>
      <c r="M1105">
        <v>3233044005</v>
      </c>
    </row>
    <row r="1106" spans="1:13" x14ac:dyDescent="0.25">
      <c r="A1106">
        <v>2715490375</v>
      </c>
      <c r="B1106" t="s">
        <v>4648</v>
      </c>
      <c r="C1106">
        <v>675000</v>
      </c>
      <c r="D1106" t="s">
        <v>4649</v>
      </c>
      <c r="E1106" t="s">
        <v>4650</v>
      </c>
      <c r="F1106">
        <v>3</v>
      </c>
      <c r="I1106" t="str">
        <f>HYPERLINK("tel:+13233169800", "323-316-9800")</f>
        <v>323-316-9800</v>
      </c>
      <c r="J1106" t="s">
        <v>4651</v>
      </c>
      <c r="K1106" t="s">
        <v>4479</v>
      </c>
      <c r="M1106">
        <v>3233169800</v>
      </c>
    </row>
    <row r="1107" spans="1:13" x14ac:dyDescent="0.25">
      <c r="A1107">
        <v>1982114298</v>
      </c>
      <c r="B1107" t="s">
        <v>4652</v>
      </c>
      <c r="C1107">
        <v>524999</v>
      </c>
      <c r="D1107" t="s">
        <v>4653</v>
      </c>
      <c r="E1107" t="s">
        <v>4654</v>
      </c>
      <c r="F1107">
        <v>3</v>
      </c>
      <c r="I1107" t="str">
        <f>HYPERLINK("tel:+13233260133", "323-326-0133")</f>
        <v>323-326-0133</v>
      </c>
      <c r="J1107" t="s">
        <v>4655</v>
      </c>
      <c r="K1107" t="s">
        <v>445</v>
      </c>
      <c r="M1107">
        <v>3233260133</v>
      </c>
    </row>
    <row r="1108" spans="1:13" x14ac:dyDescent="0.25">
      <c r="A1108">
        <v>2071426944</v>
      </c>
      <c r="B1108" t="s">
        <v>4656</v>
      </c>
      <c r="C1108">
        <v>3595000</v>
      </c>
      <c r="D1108" t="s">
        <v>4657</v>
      </c>
      <c r="E1108" t="s">
        <v>4658</v>
      </c>
      <c r="F1108">
        <v>3</v>
      </c>
      <c r="I1108" t="str">
        <f>HYPERLINK("tel:+13233337018", "323-333-7018")</f>
        <v>323-333-7018</v>
      </c>
      <c r="J1108" t="s">
        <v>4659</v>
      </c>
      <c r="K1108" t="s">
        <v>63</v>
      </c>
      <c r="M1108">
        <v>3233337018</v>
      </c>
    </row>
    <row r="1109" spans="1:13" x14ac:dyDescent="0.25">
      <c r="A1109">
        <v>1155188657</v>
      </c>
      <c r="B1109" t="s">
        <v>4660</v>
      </c>
      <c r="C1109">
        <v>488888</v>
      </c>
      <c r="D1109" t="s">
        <v>4661</v>
      </c>
      <c r="E1109" t="s">
        <v>4662</v>
      </c>
      <c r="F1109">
        <v>3</v>
      </c>
      <c r="I1109" t="str">
        <f>HYPERLINK("tel:+13233566268", "323-356-6268")</f>
        <v>323-356-6268</v>
      </c>
      <c r="J1109" t="s">
        <v>4663</v>
      </c>
      <c r="K1109" t="s">
        <v>1417</v>
      </c>
      <c r="M1109">
        <v>3233566268</v>
      </c>
    </row>
    <row r="1110" spans="1:13" x14ac:dyDescent="0.25">
      <c r="A1110">
        <v>1060899800</v>
      </c>
      <c r="B1110" t="s">
        <v>4664</v>
      </c>
      <c r="C1110">
        <v>3650000</v>
      </c>
      <c r="D1110" t="s">
        <v>4665</v>
      </c>
      <c r="E1110" t="s">
        <v>4666</v>
      </c>
      <c r="F1110">
        <v>3</v>
      </c>
      <c r="I1110" t="str">
        <f>HYPERLINK("tel:+13233631096", "323-363-1096")</f>
        <v>323-363-1096</v>
      </c>
      <c r="J1110" t="s">
        <v>4667</v>
      </c>
      <c r="K1110" t="s">
        <v>4668</v>
      </c>
      <c r="M1110">
        <v>3233631096</v>
      </c>
    </row>
    <row r="1111" spans="1:13" x14ac:dyDescent="0.25">
      <c r="A1111">
        <v>2418574942</v>
      </c>
      <c r="B1111" t="s">
        <v>4669</v>
      </c>
      <c r="C1111">
        <v>1999000</v>
      </c>
      <c r="D1111" t="s">
        <v>4670</v>
      </c>
      <c r="E1111" t="s">
        <v>4671</v>
      </c>
      <c r="F1111">
        <v>3</v>
      </c>
      <c r="I1111" t="str">
        <f>HYPERLINK("tel:+13233654000", "323-365-4000")</f>
        <v>323-365-4000</v>
      </c>
      <c r="J1111" t="s">
        <v>4672</v>
      </c>
      <c r="K1111" t="s">
        <v>4673</v>
      </c>
      <c r="M1111">
        <v>3233654000</v>
      </c>
    </row>
    <row r="1112" spans="1:13" x14ac:dyDescent="0.25">
      <c r="A1112">
        <v>1537300395</v>
      </c>
      <c r="B1112" t="s">
        <v>4674</v>
      </c>
      <c r="C1112">
        <v>2195000</v>
      </c>
      <c r="D1112" t="s">
        <v>4675</v>
      </c>
      <c r="E1112" t="s">
        <v>4676</v>
      </c>
      <c r="F1112">
        <v>3</v>
      </c>
      <c r="I1112" t="str">
        <f>HYPERLINK("tel:+13233761964", "323-376-1964")</f>
        <v>323-376-1964</v>
      </c>
      <c r="J1112" t="s">
        <v>4677</v>
      </c>
      <c r="K1112" t="s">
        <v>4678</v>
      </c>
      <c r="M1112">
        <v>3233761964</v>
      </c>
    </row>
    <row r="1113" spans="1:13" x14ac:dyDescent="0.25">
      <c r="A1113">
        <v>2444198166</v>
      </c>
      <c r="B1113" t="s">
        <v>4679</v>
      </c>
      <c r="C1113">
        <v>4395000</v>
      </c>
      <c r="D1113" t="s">
        <v>4680</v>
      </c>
      <c r="E1113" t="s">
        <v>4681</v>
      </c>
      <c r="F1113">
        <v>3</v>
      </c>
      <c r="I1113" t="str">
        <f>HYPERLINK("tel:+13233944298", "323-394-4298")</f>
        <v>323-394-4298</v>
      </c>
      <c r="J1113" t="s">
        <v>4682</v>
      </c>
      <c r="K1113" t="s">
        <v>1038</v>
      </c>
      <c r="M1113">
        <v>3233944298</v>
      </c>
    </row>
    <row r="1114" spans="1:13" x14ac:dyDescent="0.25">
      <c r="A1114">
        <v>1447674702</v>
      </c>
      <c r="B1114" t="s">
        <v>4683</v>
      </c>
      <c r="C1114">
        <v>1749900</v>
      </c>
      <c r="D1114" t="s">
        <v>4684</v>
      </c>
      <c r="E1114" t="s">
        <v>4685</v>
      </c>
      <c r="F1114">
        <v>3</v>
      </c>
      <c r="I1114" t="str">
        <f>HYPERLINK("tel:+13234013229", "323-401-3229")</f>
        <v>323-401-3229</v>
      </c>
      <c r="J1114" t="s">
        <v>4686</v>
      </c>
      <c r="K1114" t="s">
        <v>34</v>
      </c>
      <c r="M1114">
        <v>3234013229</v>
      </c>
    </row>
    <row r="1115" spans="1:13" x14ac:dyDescent="0.25">
      <c r="A1115">
        <v>1395388171</v>
      </c>
      <c r="B1115" t="s">
        <v>4687</v>
      </c>
      <c r="C1115">
        <v>2850000</v>
      </c>
      <c r="D1115" t="s">
        <v>4688</v>
      </c>
      <c r="E1115" t="s">
        <v>4689</v>
      </c>
      <c r="F1115">
        <v>3</v>
      </c>
      <c r="I1115" t="str">
        <f>HYPERLINK("tel:+13234100848", "323-410-0848")</f>
        <v>323-410-0848</v>
      </c>
      <c r="J1115" t="s">
        <v>4690</v>
      </c>
      <c r="K1115" t="s">
        <v>1581</v>
      </c>
      <c r="M1115">
        <v>3234100848</v>
      </c>
    </row>
    <row r="1116" spans="1:13" x14ac:dyDescent="0.25">
      <c r="A1116">
        <v>2790740461</v>
      </c>
      <c r="B1116" t="s">
        <v>4691</v>
      </c>
      <c r="C1116">
        <v>139000</v>
      </c>
      <c r="D1116" t="s">
        <v>4692</v>
      </c>
      <c r="E1116" t="s">
        <v>4693</v>
      </c>
      <c r="F1116">
        <v>3</v>
      </c>
      <c r="I1116" t="str">
        <f>HYPERLINK("tel:+13234390376", "323-439-0376")</f>
        <v>323-439-0376</v>
      </c>
      <c r="J1116" t="s">
        <v>4694</v>
      </c>
      <c r="K1116" t="s">
        <v>4693</v>
      </c>
      <c r="M1116">
        <v>3234390376</v>
      </c>
    </row>
    <row r="1117" spans="1:13" x14ac:dyDescent="0.25">
      <c r="A1117">
        <v>2173102253</v>
      </c>
      <c r="B1117" t="s">
        <v>4695</v>
      </c>
      <c r="C1117">
        <v>950000</v>
      </c>
      <c r="D1117" t="s">
        <v>4696</v>
      </c>
      <c r="E1117" t="s">
        <v>4697</v>
      </c>
      <c r="F1117">
        <v>3</v>
      </c>
      <c r="I1117" t="str">
        <f>HYPERLINK("tel:+13234814164", "323-481-4164")</f>
        <v>323-481-4164</v>
      </c>
      <c r="J1117" t="s">
        <v>4698</v>
      </c>
      <c r="K1117" t="s">
        <v>4699</v>
      </c>
      <c r="M1117">
        <v>3234814164</v>
      </c>
    </row>
    <row r="1118" spans="1:13" x14ac:dyDescent="0.25">
      <c r="A1118">
        <v>2999135985</v>
      </c>
      <c r="B1118" t="s">
        <v>4700</v>
      </c>
      <c r="C1118">
        <v>2500000</v>
      </c>
      <c r="D1118" t="s">
        <v>4701</v>
      </c>
      <c r="E1118" t="s">
        <v>4702</v>
      </c>
      <c r="F1118">
        <v>3</v>
      </c>
      <c r="I1118" t="str">
        <f>HYPERLINK("tel:+13234961451", "323-496-1451")</f>
        <v>323-496-1451</v>
      </c>
      <c r="J1118" t="s">
        <v>4703</v>
      </c>
      <c r="K1118" t="s">
        <v>4704</v>
      </c>
      <c r="M1118">
        <v>3234961451</v>
      </c>
    </row>
    <row r="1119" spans="1:13" x14ac:dyDescent="0.25">
      <c r="A1119">
        <v>1955757830</v>
      </c>
      <c r="B1119" t="s">
        <v>4705</v>
      </c>
      <c r="C1119">
        <v>1499988</v>
      </c>
      <c r="D1119" t="s">
        <v>4706</v>
      </c>
      <c r="E1119" t="s">
        <v>4707</v>
      </c>
      <c r="F1119">
        <v>3</v>
      </c>
      <c r="I1119" t="str">
        <f>HYPERLINK("tel:+13235248929", "323-524-8929")</f>
        <v>323-524-8929</v>
      </c>
      <c r="J1119" t="s">
        <v>4708</v>
      </c>
      <c r="K1119" t="s">
        <v>4709</v>
      </c>
      <c r="M1119">
        <v>3235248929</v>
      </c>
    </row>
    <row r="1120" spans="1:13" x14ac:dyDescent="0.25">
      <c r="A1120">
        <v>2870553962</v>
      </c>
      <c r="B1120" t="s">
        <v>4710</v>
      </c>
      <c r="C1120">
        <v>1995000</v>
      </c>
      <c r="D1120" t="s">
        <v>4711</v>
      </c>
      <c r="E1120" t="s">
        <v>4712</v>
      </c>
      <c r="F1120">
        <v>3</v>
      </c>
      <c r="I1120" t="str">
        <f>HYPERLINK("tel:+13235470330", "323-547-0330")</f>
        <v>323-547-0330</v>
      </c>
      <c r="J1120" t="s">
        <v>4713</v>
      </c>
      <c r="K1120" t="s">
        <v>24</v>
      </c>
      <c r="M1120">
        <v>3235470330</v>
      </c>
    </row>
    <row r="1121" spans="1:13" x14ac:dyDescent="0.25">
      <c r="A1121">
        <v>1714583319</v>
      </c>
      <c r="B1121" t="s">
        <v>4714</v>
      </c>
      <c r="C1121">
        <v>469000</v>
      </c>
      <c r="D1121" t="s">
        <v>4715</v>
      </c>
      <c r="E1121" t="s">
        <v>4716</v>
      </c>
      <c r="F1121">
        <v>3</v>
      </c>
      <c r="I1121" t="str">
        <f>HYPERLINK("tel:+13235803680", "323-580-3680")</f>
        <v>323-580-3680</v>
      </c>
      <c r="J1121" t="s">
        <v>4717</v>
      </c>
      <c r="K1121" t="s">
        <v>214</v>
      </c>
      <c r="M1121">
        <v>3235803680</v>
      </c>
    </row>
    <row r="1122" spans="1:13" x14ac:dyDescent="0.25">
      <c r="A1122">
        <v>2492537933</v>
      </c>
      <c r="B1122" t="s">
        <v>4220</v>
      </c>
      <c r="C1122">
        <v>1800000</v>
      </c>
      <c r="D1122" t="s">
        <v>4221</v>
      </c>
      <c r="E1122" t="s">
        <v>4718</v>
      </c>
      <c r="F1122">
        <v>3</v>
      </c>
      <c r="I1122" t="str">
        <f>HYPERLINK("tel:+13235929750", "323-592-9750")</f>
        <v>323-592-9750</v>
      </c>
      <c r="J1122" t="s">
        <v>4719</v>
      </c>
      <c r="K1122" t="s">
        <v>24</v>
      </c>
      <c r="M1122">
        <v>3235929750</v>
      </c>
    </row>
    <row r="1123" spans="1:13" x14ac:dyDescent="0.25">
      <c r="A1123">
        <v>1655314389</v>
      </c>
      <c r="B1123" t="s">
        <v>4720</v>
      </c>
      <c r="C1123">
        <v>8995000</v>
      </c>
      <c r="D1123" t="s">
        <v>4721</v>
      </c>
      <c r="E1123" t="s">
        <v>4722</v>
      </c>
      <c r="F1123">
        <v>3</v>
      </c>
      <c r="I1123" t="str">
        <f>HYPERLINK("tel:+13236037316", "323-603-7316")</f>
        <v>323-603-7316</v>
      </c>
      <c r="J1123" t="s">
        <v>4723</v>
      </c>
      <c r="K1123" t="s">
        <v>63</v>
      </c>
      <c r="M1123">
        <v>3236037316</v>
      </c>
    </row>
    <row r="1124" spans="1:13" x14ac:dyDescent="0.25">
      <c r="A1124">
        <v>2537620032</v>
      </c>
      <c r="B1124" t="s">
        <v>4724</v>
      </c>
      <c r="C1124">
        <v>1995000</v>
      </c>
      <c r="D1124" t="s">
        <v>4725</v>
      </c>
      <c r="E1124" t="s">
        <v>4726</v>
      </c>
      <c r="F1124">
        <v>3</v>
      </c>
      <c r="I1124" t="str">
        <f>HYPERLINK("tel:+13236331878", "323-633-1878")</f>
        <v>323-633-1878</v>
      </c>
      <c r="J1124" t="s">
        <v>4727</v>
      </c>
      <c r="K1124" t="s">
        <v>63</v>
      </c>
      <c r="M1124">
        <v>3236331878</v>
      </c>
    </row>
    <row r="1125" spans="1:13" x14ac:dyDescent="0.25">
      <c r="A1125">
        <v>1841485929</v>
      </c>
      <c r="B1125" t="s">
        <v>4728</v>
      </c>
      <c r="C1125">
        <v>2349000</v>
      </c>
      <c r="D1125" t="s">
        <v>4729</v>
      </c>
      <c r="E1125" t="s">
        <v>4730</v>
      </c>
      <c r="F1125">
        <v>3</v>
      </c>
      <c r="I1125" t="str">
        <f>HYPERLINK("tel:+13236337524", "323-633-7524")</f>
        <v>323-633-7524</v>
      </c>
      <c r="J1125" t="s">
        <v>4731</v>
      </c>
      <c r="K1125" t="s">
        <v>24</v>
      </c>
      <c r="M1125">
        <v>3236337524</v>
      </c>
    </row>
    <row r="1126" spans="1:13" x14ac:dyDescent="0.25">
      <c r="A1126">
        <v>1702090299</v>
      </c>
      <c r="B1126" t="s">
        <v>4732</v>
      </c>
      <c r="C1126">
        <v>1899000</v>
      </c>
      <c r="D1126" t="s">
        <v>4733</v>
      </c>
      <c r="E1126" t="s">
        <v>4734</v>
      </c>
      <c r="F1126">
        <v>3</v>
      </c>
      <c r="I1126" t="str">
        <f>HYPERLINK("tel:+13236508560", "323-650-8560")</f>
        <v>323-650-8560</v>
      </c>
      <c r="J1126" t="s">
        <v>4735</v>
      </c>
      <c r="K1126" t="s">
        <v>4736</v>
      </c>
      <c r="M1126">
        <v>3236508560</v>
      </c>
    </row>
    <row r="1127" spans="1:13" x14ac:dyDescent="0.25">
      <c r="A1127">
        <v>9702079608</v>
      </c>
      <c r="B1127" t="s">
        <v>4637</v>
      </c>
      <c r="C1127">
        <v>1395000</v>
      </c>
      <c r="D1127" t="s">
        <v>4638</v>
      </c>
      <c r="E1127" t="s">
        <v>4737</v>
      </c>
      <c r="F1127">
        <v>3</v>
      </c>
      <c r="I1127" t="str">
        <f>HYPERLINK("tel:+13236731001", "323-673-1001")</f>
        <v>323-673-1001</v>
      </c>
      <c r="J1127" t="s">
        <v>4738</v>
      </c>
      <c r="K1127" t="s">
        <v>168</v>
      </c>
      <c r="M1127">
        <v>3236731001</v>
      </c>
    </row>
    <row r="1128" spans="1:13" x14ac:dyDescent="0.25">
      <c r="A1128">
        <v>1549056929</v>
      </c>
      <c r="B1128" t="s">
        <v>4739</v>
      </c>
      <c r="C1128">
        <v>2495000</v>
      </c>
      <c r="D1128" t="s">
        <v>4740</v>
      </c>
      <c r="E1128" t="s">
        <v>4741</v>
      </c>
      <c r="F1128">
        <v>3</v>
      </c>
      <c r="I1128" t="str">
        <f>HYPERLINK("tel:+13236758371", "323-675-8371")</f>
        <v>323-675-8371</v>
      </c>
      <c r="J1128" t="s">
        <v>4742</v>
      </c>
      <c r="K1128" t="s">
        <v>4743</v>
      </c>
      <c r="M1128">
        <v>3236758371</v>
      </c>
    </row>
    <row r="1129" spans="1:13" x14ac:dyDescent="0.25">
      <c r="A1129">
        <v>1195211730</v>
      </c>
      <c r="B1129" t="s">
        <v>579</v>
      </c>
      <c r="C1129">
        <v>999000</v>
      </c>
      <c r="D1129" t="s">
        <v>580</v>
      </c>
      <c r="E1129" t="s">
        <v>4744</v>
      </c>
      <c r="F1129">
        <v>3</v>
      </c>
      <c r="I1129" t="str">
        <f>HYPERLINK("tel:+13236845060", "323-684-5060")</f>
        <v>323-684-5060</v>
      </c>
      <c r="J1129" t="s">
        <v>4745</v>
      </c>
      <c r="K1129" t="s">
        <v>583</v>
      </c>
      <c r="M1129">
        <v>3236845060</v>
      </c>
    </row>
    <row r="1130" spans="1:13" x14ac:dyDescent="0.25">
      <c r="A1130">
        <v>2942561820</v>
      </c>
      <c r="B1130" t="s">
        <v>4746</v>
      </c>
      <c r="C1130">
        <v>2275000</v>
      </c>
      <c r="D1130" t="s">
        <v>4747</v>
      </c>
      <c r="E1130" t="s">
        <v>4748</v>
      </c>
      <c r="F1130">
        <v>3</v>
      </c>
      <c r="I1130" t="str">
        <f>HYPERLINK("tel:+13237023850", "323-702-3850")</f>
        <v>323-702-3850</v>
      </c>
      <c r="J1130" t="s">
        <v>4749</v>
      </c>
      <c r="K1130" t="s">
        <v>68</v>
      </c>
      <c r="M1130">
        <v>3237023850</v>
      </c>
    </row>
    <row r="1131" spans="1:13" x14ac:dyDescent="0.25">
      <c r="A1131">
        <v>2015280986</v>
      </c>
      <c r="B1131" t="s">
        <v>4750</v>
      </c>
      <c r="C1131">
        <v>655900</v>
      </c>
      <c r="D1131" t="s">
        <v>4751</v>
      </c>
      <c r="E1131" t="s">
        <v>4752</v>
      </c>
      <c r="F1131">
        <v>3</v>
      </c>
      <c r="I1131" t="str">
        <f>HYPERLINK("tel:+13237188085", "323-718-8085")</f>
        <v>323-718-8085</v>
      </c>
      <c r="J1131" t="s">
        <v>4753</v>
      </c>
      <c r="K1131" t="s">
        <v>4754</v>
      </c>
      <c r="M1131">
        <v>3237188085</v>
      </c>
    </row>
    <row r="1132" spans="1:13" x14ac:dyDescent="0.25">
      <c r="A1132">
        <v>9017319962</v>
      </c>
      <c r="B1132" t="s">
        <v>4755</v>
      </c>
      <c r="C1132">
        <v>599999</v>
      </c>
      <c r="D1132" t="s">
        <v>4756</v>
      </c>
      <c r="E1132" t="s">
        <v>4757</v>
      </c>
      <c r="F1132">
        <v>3</v>
      </c>
      <c r="I1132" t="str">
        <f>HYPERLINK("tel:+13237243994", "323-724-3994")</f>
        <v>323-724-3994</v>
      </c>
      <c r="J1132" t="s">
        <v>4758</v>
      </c>
      <c r="K1132" t="s">
        <v>4759</v>
      </c>
      <c r="M1132">
        <v>3237243994</v>
      </c>
    </row>
    <row r="1133" spans="1:13" x14ac:dyDescent="0.25">
      <c r="A1133">
        <v>2333772178</v>
      </c>
      <c r="B1133" t="s">
        <v>4760</v>
      </c>
      <c r="C1133">
        <v>779000</v>
      </c>
      <c r="D1133" t="s">
        <v>4761</v>
      </c>
      <c r="E1133" t="s">
        <v>4762</v>
      </c>
      <c r="F1133">
        <v>3</v>
      </c>
      <c r="I1133" t="str">
        <f>HYPERLINK("tel:+13237279062", "323-727-9062")</f>
        <v>323-727-9062</v>
      </c>
      <c r="J1133" t="s">
        <v>4763</v>
      </c>
      <c r="K1133" t="s">
        <v>4764</v>
      </c>
      <c r="M1133">
        <v>3237279062</v>
      </c>
    </row>
    <row r="1134" spans="1:13" x14ac:dyDescent="0.25">
      <c r="A1134">
        <v>1802196253</v>
      </c>
      <c r="B1134" t="s">
        <v>4765</v>
      </c>
      <c r="C1134">
        <v>3850000</v>
      </c>
      <c r="D1134" t="s">
        <v>4766</v>
      </c>
      <c r="E1134" t="s">
        <v>4767</v>
      </c>
      <c r="F1134">
        <v>3</v>
      </c>
      <c r="I1134" t="str">
        <f>HYPERLINK("tel:+13237743315", "323-774-3315")</f>
        <v>323-774-3315</v>
      </c>
      <c r="J1134" t="s">
        <v>4768</v>
      </c>
      <c r="K1134" t="s">
        <v>409</v>
      </c>
      <c r="M1134">
        <v>3237743315</v>
      </c>
    </row>
    <row r="1135" spans="1:13" x14ac:dyDescent="0.25">
      <c r="A1135">
        <v>1597947920</v>
      </c>
      <c r="B1135" t="s">
        <v>4769</v>
      </c>
      <c r="C1135">
        <v>999000</v>
      </c>
      <c r="D1135" t="s">
        <v>4770</v>
      </c>
      <c r="E1135" t="s">
        <v>4771</v>
      </c>
      <c r="F1135">
        <v>3</v>
      </c>
      <c r="I1135" t="str">
        <f>HYPERLINK("tel:+13237881674", "323-788-1674")</f>
        <v>323-788-1674</v>
      </c>
      <c r="J1135" t="s">
        <v>4772</v>
      </c>
      <c r="K1135" t="s">
        <v>450</v>
      </c>
      <c r="M1135">
        <v>3237881674</v>
      </c>
    </row>
    <row r="1136" spans="1:13" x14ac:dyDescent="0.25">
      <c r="A1136">
        <v>1573869932</v>
      </c>
      <c r="B1136" t="s">
        <v>4773</v>
      </c>
      <c r="C1136">
        <v>369000</v>
      </c>
      <c r="D1136" t="s">
        <v>4774</v>
      </c>
      <c r="E1136" t="s">
        <v>4775</v>
      </c>
      <c r="F1136">
        <v>3</v>
      </c>
      <c r="I1136" t="str">
        <f>HYPERLINK("tel:+13237918538", "323-791-8538")</f>
        <v>323-791-8538</v>
      </c>
      <c r="J1136" t="s">
        <v>4776</v>
      </c>
      <c r="K1136" t="s">
        <v>4</v>
      </c>
      <c r="M1136">
        <v>3237918538</v>
      </c>
    </row>
    <row r="1137" spans="1:13" x14ac:dyDescent="0.25">
      <c r="A1137">
        <v>1047384737</v>
      </c>
      <c r="B1137" t="s">
        <v>4777</v>
      </c>
      <c r="C1137">
        <v>2147500</v>
      </c>
      <c r="D1137" t="s">
        <v>4778</v>
      </c>
      <c r="E1137" t="s">
        <v>4779</v>
      </c>
      <c r="F1137">
        <v>3</v>
      </c>
      <c r="I1137" t="str">
        <f>HYPERLINK("tel:+13238067910", "323-806-7910")</f>
        <v>323-806-7910</v>
      </c>
      <c r="J1137" t="s">
        <v>4780</v>
      </c>
      <c r="K1137" t="s">
        <v>4781</v>
      </c>
      <c r="M1137">
        <v>3238067910</v>
      </c>
    </row>
    <row r="1138" spans="1:13" x14ac:dyDescent="0.25">
      <c r="A1138">
        <v>1139602720</v>
      </c>
      <c r="B1138" t="s">
        <v>4782</v>
      </c>
      <c r="C1138">
        <v>2399000</v>
      </c>
      <c r="D1138" t="s">
        <v>4783</v>
      </c>
      <c r="E1138" t="s">
        <v>4784</v>
      </c>
      <c r="F1138">
        <v>3</v>
      </c>
      <c r="I1138" t="str">
        <f>HYPERLINK("tel:+13238105299", "323-810-5299")</f>
        <v>323-810-5299</v>
      </c>
      <c r="J1138" t="s">
        <v>4785</v>
      </c>
      <c r="K1138" t="s">
        <v>193</v>
      </c>
      <c r="M1138">
        <v>3238105299</v>
      </c>
    </row>
    <row r="1139" spans="1:13" x14ac:dyDescent="0.25">
      <c r="A1139">
        <v>2436264892</v>
      </c>
      <c r="B1139" t="s">
        <v>4786</v>
      </c>
      <c r="C1139">
        <v>974900</v>
      </c>
      <c r="D1139" t="s">
        <v>4787</v>
      </c>
      <c r="E1139" t="s">
        <v>4788</v>
      </c>
      <c r="F1139">
        <v>3</v>
      </c>
      <c r="I1139" t="str">
        <f>HYPERLINK("tel:+13238190035", "323-819-0035")</f>
        <v>323-819-0035</v>
      </c>
      <c r="J1139" t="s">
        <v>4789</v>
      </c>
      <c r="K1139" t="s">
        <v>158</v>
      </c>
      <c r="M1139">
        <v>3238190035</v>
      </c>
    </row>
    <row r="1140" spans="1:13" x14ac:dyDescent="0.25">
      <c r="A1140">
        <v>9464437704</v>
      </c>
      <c r="B1140" t="s">
        <v>4528</v>
      </c>
      <c r="C1140">
        <v>25500000</v>
      </c>
      <c r="D1140" t="s">
        <v>4529</v>
      </c>
      <c r="E1140" t="s">
        <v>4790</v>
      </c>
      <c r="F1140">
        <v>3</v>
      </c>
      <c r="I1140" t="str">
        <f>HYPERLINK("tel:+13238213752", "323-821-3752")</f>
        <v>323-821-3752</v>
      </c>
      <c r="J1140" t="s">
        <v>4791</v>
      </c>
      <c r="K1140" t="s">
        <v>24</v>
      </c>
      <c r="M1140">
        <v>3238213752</v>
      </c>
    </row>
    <row r="1141" spans="1:13" x14ac:dyDescent="0.25">
      <c r="A1141">
        <v>2073894016</v>
      </c>
      <c r="B1141" t="s">
        <v>4792</v>
      </c>
      <c r="C1141">
        <v>585000</v>
      </c>
      <c r="D1141" t="s">
        <v>4793</v>
      </c>
      <c r="E1141" t="s">
        <v>4794</v>
      </c>
      <c r="F1141">
        <v>3</v>
      </c>
      <c r="I1141" t="str">
        <f>HYPERLINK("tel:+13238298009", "323-829-8009")</f>
        <v>323-829-8009</v>
      </c>
      <c r="J1141" t="s">
        <v>4795</v>
      </c>
      <c r="K1141" t="s">
        <v>2642</v>
      </c>
      <c r="M1141">
        <v>3238298009</v>
      </c>
    </row>
    <row r="1142" spans="1:13" x14ac:dyDescent="0.25">
      <c r="A1142">
        <v>1668074903</v>
      </c>
      <c r="B1142" t="s">
        <v>4796</v>
      </c>
      <c r="C1142">
        <v>1199000</v>
      </c>
      <c r="D1142" t="s">
        <v>4797</v>
      </c>
      <c r="E1142" t="s">
        <v>4798</v>
      </c>
      <c r="F1142">
        <v>3</v>
      </c>
      <c r="I1142" t="str">
        <f>HYPERLINK("tel:+13238407684", "323-840-7684")</f>
        <v>323-840-7684</v>
      </c>
      <c r="J1142" t="s">
        <v>4799</v>
      </c>
      <c r="K1142" t="s">
        <v>168</v>
      </c>
      <c r="M1142">
        <v>3238407684</v>
      </c>
    </row>
    <row r="1143" spans="1:13" x14ac:dyDescent="0.25">
      <c r="A1143">
        <v>1851149180</v>
      </c>
      <c r="B1143" t="s">
        <v>4800</v>
      </c>
      <c r="C1143">
        <v>3250000</v>
      </c>
      <c r="D1143" t="s">
        <v>4801</v>
      </c>
      <c r="E1143" t="s">
        <v>4802</v>
      </c>
      <c r="F1143">
        <v>3</v>
      </c>
      <c r="I1143" t="str">
        <f>HYPERLINK("tel:+13238484948", "323-848-4948")</f>
        <v>323-848-4948</v>
      </c>
      <c r="J1143" t="s">
        <v>4803</v>
      </c>
      <c r="K1143" t="s">
        <v>4804</v>
      </c>
      <c r="M1143">
        <v>3238484948</v>
      </c>
    </row>
    <row r="1144" spans="1:13" x14ac:dyDescent="0.25">
      <c r="A1144">
        <v>1871703533</v>
      </c>
      <c r="B1144" t="s">
        <v>4805</v>
      </c>
      <c r="C1144">
        <v>5199000</v>
      </c>
      <c r="D1144" t="s">
        <v>4806</v>
      </c>
      <c r="E1144" t="s">
        <v>4807</v>
      </c>
      <c r="F1144">
        <v>3</v>
      </c>
      <c r="I1144" t="str">
        <f>HYPERLINK("tel:+13238643004", "323-864-3004")</f>
        <v>323-864-3004</v>
      </c>
      <c r="J1144" t="s">
        <v>4808</v>
      </c>
      <c r="K1144" t="s">
        <v>4</v>
      </c>
      <c r="M1144">
        <v>3238643004</v>
      </c>
    </row>
    <row r="1145" spans="1:13" x14ac:dyDescent="0.25">
      <c r="A1145">
        <v>1300821027</v>
      </c>
      <c r="B1145" t="s">
        <v>4809</v>
      </c>
      <c r="C1145">
        <v>515000</v>
      </c>
      <c r="D1145" t="s">
        <v>4810</v>
      </c>
      <c r="E1145" t="s">
        <v>4811</v>
      </c>
      <c r="F1145">
        <v>3</v>
      </c>
      <c r="I1145" t="str">
        <f>HYPERLINK("tel:+13239190553", "323-919-0553")</f>
        <v>323-919-0553</v>
      </c>
      <c r="J1145" t="s">
        <v>4812</v>
      </c>
      <c r="K1145" t="s">
        <v>2922</v>
      </c>
      <c r="M1145">
        <v>3239190553</v>
      </c>
    </row>
    <row r="1146" spans="1:13" x14ac:dyDescent="0.25">
      <c r="A1146">
        <v>1461327826</v>
      </c>
      <c r="B1146" t="s">
        <v>4813</v>
      </c>
      <c r="C1146">
        <v>949900</v>
      </c>
      <c r="D1146" t="s">
        <v>4814</v>
      </c>
      <c r="E1146" t="s">
        <v>4815</v>
      </c>
      <c r="F1146">
        <v>3</v>
      </c>
      <c r="I1146" t="str">
        <f>HYPERLINK("tel:+13239341430", "323-934-1430")</f>
        <v>323-934-1430</v>
      </c>
      <c r="J1146" t="s">
        <v>4816</v>
      </c>
      <c r="K1146" t="s">
        <v>4817</v>
      </c>
      <c r="M1146">
        <v>3239341430</v>
      </c>
    </row>
    <row r="1147" spans="1:13" x14ac:dyDescent="0.25">
      <c r="A1147">
        <v>2406820426</v>
      </c>
      <c r="B1147" t="s">
        <v>4818</v>
      </c>
      <c r="C1147">
        <v>2999500</v>
      </c>
      <c r="D1147" t="s">
        <v>4819</v>
      </c>
      <c r="E1147" t="s">
        <v>4820</v>
      </c>
      <c r="F1147">
        <v>3</v>
      </c>
      <c r="I1147" t="str">
        <f>HYPERLINK("tel:+13239907653", "323-990-7653")</f>
        <v>323-990-7653</v>
      </c>
      <c r="J1147" t="s">
        <v>4821</v>
      </c>
      <c r="K1147" t="s">
        <v>24</v>
      </c>
      <c r="M1147">
        <v>3239907653</v>
      </c>
    </row>
    <row r="1148" spans="1:13" x14ac:dyDescent="0.25">
      <c r="A1148">
        <v>9525964969</v>
      </c>
      <c r="B1148" t="s">
        <v>2785</v>
      </c>
      <c r="C1148">
        <v>1449000</v>
      </c>
      <c r="D1148" t="s">
        <v>2786</v>
      </c>
      <c r="E1148" t="s">
        <v>4822</v>
      </c>
      <c r="F1148">
        <v>3</v>
      </c>
      <c r="I1148" t="str">
        <f>HYPERLINK("tel:+13473070950", "347-307-0950")</f>
        <v>347-307-0950</v>
      </c>
      <c r="J1148" t="s">
        <v>4823</v>
      </c>
      <c r="K1148" t="s">
        <v>450</v>
      </c>
      <c r="M1148">
        <v>3473070950</v>
      </c>
    </row>
    <row r="1149" spans="1:13" x14ac:dyDescent="0.25">
      <c r="A1149">
        <v>9267640233</v>
      </c>
      <c r="B1149" t="s">
        <v>4824</v>
      </c>
      <c r="C1149">
        <v>1200000</v>
      </c>
      <c r="D1149" t="s">
        <v>4825</v>
      </c>
      <c r="E1149" t="s">
        <v>4826</v>
      </c>
      <c r="F1149">
        <v>3</v>
      </c>
      <c r="I1149" t="str">
        <f>HYPERLINK("tel:+13474468401", "347-446-8401")</f>
        <v>347-446-8401</v>
      </c>
      <c r="J1149" t="s">
        <v>4827</v>
      </c>
      <c r="K1149" t="s">
        <v>1707</v>
      </c>
      <c r="M1149">
        <v>3474468401</v>
      </c>
    </row>
    <row r="1150" spans="1:13" x14ac:dyDescent="0.25">
      <c r="A1150">
        <v>1969889142</v>
      </c>
      <c r="B1150" t="s">
        <v>4828</v>
      </c>
      <c r="C1150">
        <v>1650000</v>
      </c>
      <c r="D1150" t="s">
        <v>4829</v>
      </c>
      <c r="E1150" t="s">
        <v>4830</v>
      </c>
      <c r="F1150">
        <v>3</v>
      </c>
      <c r="I1150" t="str">
        <f>HYPERLINK("tel:+14086005718", "408-600-5718")</f>
        <v>408-600-5718</v>
      </c>
      <c r="J1150" t="s">
        <v>4831</v>
      </c>
      <c r="K1150" t="s">
        <v>4832</v>
      </c>
      <c r="M1150">
        <v>4086005718</v>
      </c>
    </row>
    <row r="1151" spans="1:13" x14ac:dyDescent="0.25">
      <c r="A1151">
        <v>2067569720</v>
      </c>
      <c r="B1151" t="s">
        <v>4833</v>
      </c>
      <c r="C1151">
        <v>7850000</v>
      </c>
      <c r="D1151" t="s">
        <v>4834</v>
      </c>
      <c r="E1151" t="s">
        <v>4835</v>
      </c>
      <c r="F1151">
        <v>3</v>
      </c>
      <c r="I1151" t="str">
        <f>HYPERLINK("tel:+14127196747", "412-719-6747")</f>
        <v>412-719-6747</v>
      </c>
      <c r="J1151" t="s">
        <v>4836</v>
      </c>
      <c r="K1151" t="s">
        <v>53</v>
      </c>
      <c r="M1151">
        <v>4127196747</v>
      </c>
    </row>
    <row r="1152" spans="1:13" x14ac:dyDescent="0.25">
      <c r="A1152">
        <v>2918588356</v>
      </c>
      <c r="B1152" t="s">
        <v>4837</v>
      </c>
      <c r="C1152">
        <v>1525000</v>
      </c>
      <c r="D1152" t="s">
        <v>4838</v>
      </c>
      <c r="E1152" t="s">
        <v>4839</v>
      </c>
      <c r="F1152">
        <v>3</v>
      </c>
      <c r="I1152" t="str">
        <f>HYPERLINK("tel:+14152465596", "415-246-5596")</f>
        <v>415-246-5596</v>
      </c>
      <c r="J1152" t="s">
        <v>4840</v>
      </c>
      <c r="K1152" t="s">
        <v>4841</v>
      </c>
      <c r="M1152">
        <v>4152465596</v>
      </c>
    </row>
    <row r="1153" spans="1:13" x14ac:dyDescent="0.25">
      <c r="A1153">
        <v>2727174211</v>
      </c>
      <c r="B1153" t="s">
        <v>4842</v>
      </c>
      <c r="C1153">
        <v>13400000</v>
      </c>
      <c r="D1153" t="s">
        <v>4843</v>
      </c>
      <c r="E1153" t="s">
        <v>4844</v>
      </c>
      <c r="F1153">
        <v>3</v>
      </c>
      <c r="I1153" t="str">
        <f>HYPERLINK("tel:+14242303714", "424-230-3714")</f>
        <v>424-230-3714</v>
      </c>
      <c r="J1153" t="s">
        <v>4845</v>
      </c>
      <c r="K1153" t="s">
        <v>63</v>
      </c>
      <c r="M1153">
        <v>4242303714</v>
      </c>
    </row>
    <row r="1154" spans="1:13" x14ac:dyDescent="0.25">
      <c r="A1154">
        <v>1861100410</v>
      </c>
      <c r="B1154" t="s">
        <v>4846</v>
      </c>
      <c r="C1154">
        <v>775000</v>
      </c>
      <c r="D1154" t="s">
        <v>4847</v>
      </c>
      <c r="E1154" t="s">
        <v>4848</v>
      </c>
      <c r="F1154">
        <v>3</v>
      </c>
      <c r="I1154" t="str">
        <f>HYPERLINK("tel:+14242365041", "424-236-5041")</f>
        <v>424-236-5041</v>
      </c>
      <c r="J1154" t="s">
        <v>4849</v>
      </c>
      <c r="K1154" t="s">
        <v>4850</v>
      </c>
      <c r="M1154">
        <v>4242365041</v>
      </c>
    </row>
    <row r="1155" spans="1:13" x14ac:dyDescent="0.25">
      <c r="A1155">
        <v>1401765872</v>
      </c>
      <c r="B1155" t="s">
        <v>4851</v>
      </c>
      <c r="C1155">
        <v>2588000</v>
      </c>
      <c r="D1155" t="s">
        <v>4852</v>
      </c>
      <c r="E1155" t="s">
        <v>4853</v>
      </c>
      <c r="F1155">
        <v>3</v>
      </c>
      <c r="I1155" t="str">
        <f>HYPERLINK("tel:+14242492390", "424-249-2390")</f>
        <v>424-249-2390</v>
      </c>
      <c r="J1155" t="s">
        <v>4854</v>
      </c>
      <c r="K1155" t="s">
        <v>4855</v>
      </c>
      <c r="M1155">
        <v>4242492390</v>
      </c>
    </row>
    <row r="1156" spans="1:13" x14ac:dyDescent="0.25">
      <c r="A1156">
        <v>2935012670</v>
      </c>
      <c r="B1156" t="s">
        <v>4856</v>
      </c>
      <c r="C1156">
        <v>4295000</v>
      </c>
      <c r="D1156" t="s">
        <v>4857</v>
      </c>
      <c r="E1156" t="s">
        <v>4858</v>
      </c>
      <c r="F1156">
        <v>3</v>
      </c>
      <c r="I1156" t="str">
        <f>HYPERLINK("tel:+14242497151", "424-249-7151")</f>
        <v>424-249-7151</v>
      </c>
      <c r="J1156" t="s">
        <v>4859</v>
      </c>
      <c r="K1156" t="s">
        <v>107</v>
      </c>
      <c r="M1156">
        <v>4242497151</v>
      </c>
    </row>
    <row r="1157" spans="1:13" x14ac:dyDescent="0.25">
      <c r="A1157">
        <v>1156985708</v>
      </c>
      <c r="B1157" t="s">
        <v>4860</v>
      </c>
      <c r="C1157">
        <v>1695000</v>
      </c>
      <c r="D1157" t="s">
        <v>4861</v>
      </c>
      <c r="E1157" t="s">
        <v>4862</v>
      </c>
      <c r="F1157">
        <v>3</v>
      </c>
      <c r="I1157" t="str">
        <f>HYPERLINK("tel:+14242615472", "424-261-5472")</f>
        <v>424-261-5472</v>
      </c>
      <c r="J1157" t="s">
        <v>4863</v>
      </c>
      <c r="K1157" t="s">
        <v>4864</v>
      </c>
      <c r="M1157">
        <v>4242615472</v>
      </c>
    </row>
    <row r="1158" spans="1:13" x14ac:dyDescent="0.25">
      <c r="A1158">
        <v>1029650395</v>
      </c>
      <c r="B1158" t="s">
        <v>4865</v>
      </c>
      <c r="C1158">
        <v>1150000</v>
      </c>
      <c r="D1158" t="s">
        <v>4866</v>
      </c>
      <c r="E1158" t="s">
        <v>4867</v>
      </c>
      <c r="F1158">
        <v>3</v>
      </c>
      <c r="I1158" t="str">
        <f>HYPERLINK("tel:+14242931178", "424-293-1178")</f>
        <v>424-293-1178</v>
      </c>
      <c r="J1158" t="s">
        <v>4868</v>
      </c>
      <c r="K1158" t="s">
        <v>4869</v>
      </c>
      <c r="M1158">
        <v>4242931178</v>
      </c>
    </row>
    <row r="1159" spans="1:13" x14ac:dyDescent="0.25">
      <c r="A1159">
        <v>1762485279</v>
      </c>
      <c r="B1159" t="s">
        <v>4376</v>
      </c>
      <c r="C1159">
        <v>1550000</v>
      </c>
      <c r="D1159" t="s">
        <v>4377</v>
      </c>
      <c r="E1159" t="s">
        <v>4870</v>
      </c>
      <c r="F1159">
        <v>3</v>
      </c>
      <c r="I1159" t="str">
        <f>HYPERLINK("tel:+14243129552", "424-312-9552")</f>
        <v>424-312-9552</v>
      </c>
      <c r="J1159" t="s">
        <v>4871</v>
      </c>
      <c r="K1159" t="s">
        <v>4380</v>
      </c>
      <c r="M1159">
        <v>4243129552</v>
      </c>
    </row>
    <row r="1160" spans="1:13" x14ac:dyDescent="0.25">
      <c r="A1160">
        <v>1827969764</v>
      </c>
      <c r="B1160" t="s">
        <v>4593</v>
      </c>
      <c r="C1160">
        <v>1200000</v>
      </c>
      <c r="D1160" t="s">
        <v>4594</v>
      </c>
      <c r="E1160" t="s">
        <v>4872</v>
      </c>
      <c r="F1160">
        <v>3</v>
      </c>
      <c r="I1160" t="str">
        <f>HYPERLINK("tel:+14243336697", "424-333-6697")</f>
        <v>424-333-6697</v>
      </c>
      <c r="J1160" t="s">
        <v>4873</v>
      </c>
      <c r="K1160" t="s">
        <v>24</v>
      </c>
      <c r="M1160">
        <v>4243336697</v>
      </c>
    </row>
    <row r="1161" spans="1:13" x14ac:dyDescent="0.25">
      <c r="A1161">
        <v>1769063681</v>
      </c>
      <c r="B1161" t="s">
        <v>1717</v>
      </c>
      <c r="C1161">
        <v>2645000</v>
      </c>
      <c r="D1161" t="s">
        <v>1718</v>
      </c>
      <c r="E1161" t="s">
        <v>4874</v>
      </c>
      <c r="F1161">
        <v>3</v>
      </c>
      <c r="I1161" t="str">
        <f>HYPERLINK("tel:+14243776002", "424-377-6002")</f>
        <v>424-377-6002</v>
      </c>
      <c r="J1161" t="s">
        <v>4875</v>
      </c>
      <c r="K1161" t="s">
        <v>1721</v>
      </c>
      <c r="M1161">
        <v>4243776002</v>
      </c>
    </row>
    <row r="1162" spans="1:13" x14ac:dyDescent="0.25">
      <c r="A1162">
        <v>2984341406</v>
      </c>
      <c r="B1162" t="s">
        <v>4876</v>
      </c>
      <c r="C1162">
        <v>2195000</v>
      </c>
      <c r="D1162" t="s">
        <v>4877</v>
      </c>
      <c r="E1162" t="s">
        <v>4878</v>
      </c>
      <c r="F1162">
        <v>3</v>
      </c>
      <c r="I1162" t="str">
        <f>HYPERLINK("tel:+14244016165", "424-401-6165")</f>
        <v>424-401-6165</v>
      </c>
      <c r="J1162" t="s">
        <v>4879</v>
      </c>
      <c r="K1162" t="s">
        <v>1786</v>
      </c>
      <c r="M1162">
        <v>4244016165</v>
      </c>
    </row>
    <row r="1163" spans="1:13" x14ac:dyDescent="0.25">
      <c r="A1163">
        <v>1705253015</v>
      </c>
      <c r="B1163" t="s">
        <v>4880</v>
      </c>
      <c r="C1163">
        <v>4195000</v>
      </c>
      <c r="D1163" t="s">
        <v>4881</v>
      </c>
      <c r="E1163" t="s">
        <v>4882</v>
      </c>
      <c r="F1163">
        <v>3</v>
      </c>
      <c r="I1163" t="str">
        <f>HYPERLINK("tel:+14245223546", "424-522-3546")</f>
        <v>424-522-3546</v>
      </c>
      <c r="J1163" t="s">
        <v>4883</v>
      </c>
      <c r="K1163" t="s">
        <v>63</v>
      </c>
      <c r="M1163">
        <v>4245223546</v>
      </c>
    </row>
    <row r="1164" spans="1:13" x14ac:dyDescent="0.25">
      <c r="A1164">
        <v>2630651813</v>
      </c>
      <c r="B1164" t="s">
        <v>4884</v>
      </c>
      <c r="C1164">
        <v>7898888</v>
      </c>
      <c r="D1164" t="s">
        <v>4885</v>
      </c>
      <c r="E1164" t="s">
        <v>4886</v>
      </c>
      <c r="F1164">
        <v>3</v>
      </c>
      <c r="I1164" t="str">
        <f>HYPERLINK("tel:+14257856127", "425-785-6127")</f>
        <v>425-785-6127</v>
      </c>
      <c r="J1164" t="s">
        <v>4887</v>
      </c>
      <c r="K1164" t="s">
        <v>4888</v>
      </c>
      <c r="M1164">
        <v>4257856127</v>
      </c>
    </row>
    <row r="1165" spans="1:13" x14ac:dyDescent="0.25">
      <c r="A1165">
        <v>2382470542</v>
      </c>
      <c r="B1165" t="s">
        <v>4889</v>
      </c>
      <c r="C1165">
        <v>3995000</v>
      </c>
      <c r="D1165" t="s">
        <v>4890</v>
      </c>
      <c r="E1165" t="s">
        <v>4891</v>
      </c>
      <c r="F1165">
        <v>3</v>
      </c>
      <c r="I1165" t="str">
        <f>HYPERLINK("tel:+14844671361", "484-467-1361")</f>
        <v>484-467-1361</v>
      </c>
      <c r="J1165" t="s">
        <v>4892</v>
      </c>
      <c r="K1165" t="s">
        <v>409</v>
      </c>
      <c r="M1165">
        <v>4844671361</v>
      </c>
    </row>
    <row r="1166" spans="1:13" x14ac:dyDescent="0.25">
      <c r="A1166">
        <v>1280273675</v>
      </c>
      <c r="B1166" t="s">
        <v>4893</v>
      </c>
      <c r="C1166">
        <v>393000</v>
      </c>
      <c r="D1166" t="s">
        <v>4894</v>
      </c>
      <c r="E1166" t="s">
        <v>4895</v>
      </c>
      <c r="F1166">
        <v>3</v>
      </c>
      <c r="I1166" t="str">
        <f>HYPERLINK("tel:+15109276588", "510-927-6588")</f>
        <v>510-927-6588</v>
      </c>
      <c r="J1166" t="s">
        <v>4896</v>
      </c>
      <c r="K1166" t="s">
        <v>3149</v>
      </c>
      <c r="M1166">
        <v>5109276588</v>
      </c>
    </row>
    <row r="1167" spans="1:13" x14ac:dyDescent="0.25">
      <c r="A1167">
        <v>1802196253</v>
      </c>
      <c r="B1167" t="s">
        <v>4765</v>
      </c>
      <c r="C1167">
        <v>3850000</v>
      </c>
      <c r="D1167" t="s">
        <v>4766</v>
      </c>
      <c r="E1167" t="s">
        <v>4897</v>
      </c>
      <c r="F1167">
        <v>3</v>
      </c>
      <c r="I1167" t="str">
        <f>HYPERLINK("tel:+15616741733", "561-674-1733")</f>
        <v>561-674-1733</v>
      </c>
      <c r="J1167" t="s">
        <v>4898</v>
      </c>
      <c r="K1167" t="s">
        <v>409</v>
      </c>
      <c r="M1167">
        <v>5616741733</v>
      </c>
    </row>
    <row r="1168" spans="1:13" x14ac:dyDescent="0.25">
      <c r="A1168">
        <v>1020918917</v>
      </c>
      <c r="B1168" t="s">
        <v>4899</v>
      </c>
      <c r="C1168">
        <v>799000</v>
      </c>
      <c r="D1168" t="s">
        <v>4900</v>
      </c>
      <c r="E1168" t="s">
        <v>4901</v>
      </c>
      <c r="F1168">
        <v>3</v>
      </c>
      <c r="I1168" t="str">
        <f>HYPERLINK("tel:+15622313333", "562-231-3333")</f>
        <v>562-231-3333</v>
      </c>
      <c r="J1168" t="s">
        <v>4902</v>
      </c>
      <c r="K1168" t="s">
        <v>4903</v>
      </c>
      <c r="M1168">
        <v>5622313333</v>
      </c>
    </row>
    <row r="1169" spans="1:13" x14ac:dyDescent="0.25">
      <c r="A1169">
        <v>1984758253</v>
      </c>
      <c r="B1169" t="s">
        <v>4904</v>
      </c>
      <c r="C1169">
        <v>1049000</v>
      </c>
      <c r="D1169" t="s">
        <v>4905</v>
      </c>
      <c r="E1169" t="s">
        <v>4906</v>
      </c>
      <c r="F1169">
        <v>3</v>
      </c>
      <c r="I1169" t="str">
        <f>HYPERLINK("tel:+15622507151", "562-250-7151")</f>
        <v>562-250-7151</v>
      </c>
      <c r="J1169" t="s">
        <v>4907</v>
      </c>
      <c r="K1169" t="s">
        <v>4908</v>
      </c>
      <c r="M1169">
        <v>5622507151</v>
      </c>
    </row>
    <row r="1170" spans="1:13" x14ac:dyDescent="0.25">
      <c r="A1170">
        <v>1067352281</v>
      </c>
      <c r="B1170" t="s">
        <v>4344</v>
      </c>
      <c r="C1170">
        <v>700000</v>
      </c>
      <c r="D1170" t="s">
        <v>4345</v>
      </c>
      <c r="E1170" t="s">
        <v>4909</v>
      </c>
      <c r="F1170">
        <v>3</v>
      </c>
      <c r="I1170" t="str">
        <f>HYPERLINK("tel:+15622605944", "562-260-5944")</f>
        <v>562-260-5944</v>
      </c>
      <c r="J1170" t="s">
        <v>4910</v>
      </c>
      <c r="K1170" t="s">
        <v>68</v>
      </c>
      <c r="M1170">
        <v>5622605944</v>
      </c>
    </row>
    <row r="1171" spans="1:13" x14ac:dyDescent="0.25">
      <c r="A1171">
        <v>2274118542</v>
      </c>
      <c r="B1171" t="s">
        <v>4911</v>
      </c>
      <c r="C1171">
        <v>839000</v>
      </c>
      <c r="D1171" t="s">
        <v>4912</v>
      </c>
      <c r="E1171" t="s">
        <v>4913</v>
      </c>
      <c r="F1171">
        <v>3</v>
      </c>
      <c r="I1171" t="str">
        <f>HYPERLINK("tel:+15623311023", "562-331-1023")</f>
        <v>562-331-1023</v>
      </c>
      <c r="J1171" t="s">
        <v>4914</v>
      </c>
      <c r="K1171" t="s">
        <v>707</v>
      </c>
      <c r="M1171">
        <v>5623311023</v>
      </c>
    </row>
    <row r="1172" spans="1:13" x14ac:dyDescent="0.25">
      <c r="A1172">
        <v>1618303348</v>
      </c>
      <c r="B1172" t="s">
        <v>4915</v>
      </c>
      <c r="C1172">
        <v>3150000</v>
      </c>
      <c r="D1172" t="s">
        <v>4916</v>
      </c>
      <c r="E1172" t="s">
        <v>4917</v>
      </c>
      <c r="F1172">
        <v>3</v>
      </c>
      <c r="I1172" t="str">
        <f>HYPERLINK("tel:+15623312225", "562-331-2225")</f>
        <v>562-331-2225</v>
      </c>
      <c r="J1172" t="s">
        <v>4918</v>
      </c>
      <c r="K1172" t="s">
        <v>4919</v>
      </c>
      <c r="M1172">
        <v>5623312225</v>
      </c>
    </row>
    <row r="1173" spans="1:13" x14ac:dyDescent="0.25">
      <c r="A1173">
        <v>1179832268</v>
      </c>
      <c r="B1173" t="s">
        <v>4920</v>
      </c>
      <c r="C1173">
        <v>850000</v>
      </c>
      <c r="D1173" t="s">
        <v>4921</v>
      </c>
      <c r="E1173" t="s">
        <v>4922</v>
      </c>
      <c r="F1173">
        <v>3</v>
      </c>
      <c r="I1173" t="str">
        <f>HYPERLINK("tel:+15623552571", "562-355-2571")</f>
        <v>562-355-2571</v>
      </c>
      <c r="J1173" t="s">
        <v>4923</v>
      </c>
      <c r="K1173" t="s">
        <v>4924</v>
      </c>
      <c r="M1173">
        <v>5623552571</v>
      </c>
    </row>
    <row r="1174" spans="1:13" x14ac:dyDescent="0.25">
      <c r="A1174">
        <v>2358636082</v>
      </c>
      <c r="B1174" t="s">
        <v>4925</v>
      </c>
      <c r="C1174">
        <v>710000</v>
      </c>
      <c r="D1174" t="s">
        <v>4926</v>
      </c>
      <c r="E1174" t="s">
        <v>4927</v>
      </c>
      <c r="F1174">
        <v>3</v>
      </c>
      <c r="I1174" t="str">
        <f>HYPERLINK("tel:+15623868233", "562-386-8233")</f>
        <v>562-386-8233</v>
      </c>
      <c r="J1174" t="s">
        <v>4928</v>
      </c>
      <c r="K1174" t="s">
        <v>3154</v>
      </c>
      <c r="M1174">
        <v>5623868233</v>
      </c>
    </row>
    <row r="1175" spans="1:13" x14ac:dyDescent="0.25">
      <c r="A1175">
        <v>1775889554</v>
      </c>
      <c r="B1175" t="s">
        <v>4929</v>
      </c>
      <c r="C1175">
        <v>899000</v>
      </c>
      <c r="D1175" t="s">
        <v>4930</v>
      </c>
      <c r="E1175" t="s">
        <v>4931</v>
      </c>
      <c r="F1175">
        <v>3</v>
      </c>
      <c r="I1175" t="str">
        <f>HYPERLINK("tel:+15624457375", "562-445-7375")</f>
        <v>562-445-7375</v>
      </c>
      <c r="J1175" t="s">
        <v>4932</v>
      </c>
      <c r="K1175" t="s">
        <v>4933</v>
      </c>
      <c r="M1175">
        <v>5624457375</v>
      </c>
    </row>
    <row r="1176" spans="1:13" x14ac:dyDescent="0.25">
      <c r="A1176">
        <v>2504963694</v>
      </c>
      <c r="B1176" t="s">
        <v>4934</v>
      </c>
      <c r="C1176">
        <v>2000000</v>
      </c>
      <c r="D1176" t="s">
        <v>4935</v>
      </c>
      <c r="E1176" t="s">
        <v>4936</v>
      </c>
      <c r="F1176">
        <v>3</v>
      </c>
      <c r="I1176" t="str">
        <f>HYPERLINK("tel:+15624537729", "562-453-7729")</f>
        <v>562-453-7729</v>
      </c>
      <c r="J1176" t="s">
        <v>4937</v>
      </c>
      <c r="K1176" t="s">
        <v>4938</v>
      </c>
      <c r="M1176">
        <v>5624537729</v>
      </c>
    </row>
    <row r="1177" spans="1:13" x14ac:dyDescent="0.25">
      <c r="A1177">
        <v>9860817438</v>
      </c>
      <c r="B1177" t="s">
        <v>4939</v>
      </c>
      <c r="C1177">
        <v>749900</v>
      </c>
      <c r="D1177" t="s">
        <v>4940</v>
      </c>
      <c r="E1177" t="s">
        <v>4941</v>
      </c>
      <c r="F1177">
        <v>3</v>
      </c>
      <c r="I1177" t="str">
        <f>HYPERLINK("tel:+15624933257", "562-493-3257")</f>
        <v>562-493-3257</v>
      </c>
      <c r="J1177" t="s">
        <v>4942</v>
      </c>
      <c r="K1177" t="s">
        <v>4943</v>
      </c>
      <c r="M1177">
        <v>5624933257</v>
      </c>
    </row>
    <row r="1178" spans="1:13" x14ac:dyDescent="0.25">
      <c r="A1178">
        <v>1216099796</v>
      </c>
      <c r="B1178" t="s">
        <v>4944</v>
      </c>
      <c r="C1178">
        <v>1549999</v>
      </c>
      <c r="D1178" t="s">
        <v>4945</v>
      </c>
      <c r="E1178" t="s">
        <v>4946</v>
      </c>
      <c r="F1178">
        <v>3</v>
      </c>
      <c r="I1178" t="str">
        <f>HYPERLINK("tel:+15625004283", "562-500-4283")</f>
        <v>562-500-4283</v>
      </c>
      <c r="J1178" t="s">
        <v>4947</v>
      </c>
      <c r="K1178" t="s">
        <v>4948</v>
      </c>
      <c r="M1178">
        <v>5625004283</v>
      </c>
    </row>
    <row r="1179" spans="1:13" x14ac:dyDescent="0.25">
      <c r="A1179">
        <v>2531302491</v>
      </c>
      <c r="B1179" t="s">
        <v>4949</v>
      </c>
      <c r="C1179">
        <v>769000</v>
      </c>
      <c r="D1179" t="s">
        <v>4950</v>
      </c>
      <c r="E1179" t="s">
        <v>4951</v>
      </c>
      <c r="F1179">
        <v>3</v>
      </c>
      <c r="I1179" t="str">
        <f>HYPERLINK("tel:+15625006140", "562-500-6140")</f>
        <v>562-500-6140</v>
      </c>
      <c r="J1179" t="s">
        <v>4952</v>
      </c>
      <c r="K1179" t="s">
        <v>214</v>
      </c>
      <c r="M1179">
        <v>5625006140</v>
      </c>
    </row>
    <row r="1180" spans="1:13" x14ac:dyDescent="0.25">
      <c r="A1180">
        <v>9946325595</v>
      </c>
      <c r="B1180" t="s">
        <v>4953</v>
      </c>
      <c r="C1180">
        <v>1099000</v>
      </c>
      <c r="D1180" t="s">
        <v>4954</v>
      </c>
      <c r="E1180" t="s">
        <v>4955</v>
      </c>
      <c r="F1180">
        <v>3</v>
      </c>
      <c r="I1180" t="str">
        <f>HYPERLINK("tel:+15625692222", "562-569-2222")</f>
        <v>562-569-2222</v>
      </c>
      <c r="J1180" t="s">
        <v>4956</v>
      </c>
      <c r="K1180" t="s">
        <v>1827</v>
      </c>
      <c r="M1180">
        <v>5625692222</v>
      </c>
    </row>
    <row r="1181" spans="1:13" x14ac:dyDescent="0.25">
      <c r="A1181">
        <v>1536008774</v>
      </c>
      <c r="B1181" t="s">
        <v>4957</v>
      </c>
      <c r="C1181">
        <v>530000</v>
      </c>
      <c r="D1181" t="s">
        <v>4958</v>
      </c>
      <c r="E1181" t="s">
        <v>4959</v>
      </c>
      <c r="F1181">
        <v>3</v>
      </c>
      <c r="I1181" t="str">
        <f>HYPERLINK("tel:+15625874506", "562-587-4506")</f>
        <v>562-587-4506</v>
      </c>
      <c r="J1181" t="s">
        <v>4960</v>
      </c>
      <c r="K1181" t="s">
        <v>24</v>
      </c>
      <c r="M1181">
        <v>5625874506</v>
      </c>
    </row>
    <row r="1182" spans="1:13" x14ac:dyDescent="0.25">
      <c r="A1182">
        <v>9731831985</v>
      </c>
      <c r="B1182" t="s">
        <v>4961</v>
      </c>
      <c r="C1182">
        <v>1175000</v>
      </c>
      <c r="D1182" t="s">
        <v>4962</v>
      </c>
      <c r="E1182" t="s">
        <v>4963</v>
      </c>
      <c r="F1182">
        <v>3</v>
      </c>
      <c r="I1182" t="str">
        <f>HYPERLINK("tel:+15626829239", "562-682-9239")</f>
        <v>562-682-9239</v>
      </c>
      <c r="J1182" t="s">
        <v>4964</v>
      </c>
      <c r="K1182" t="s">
        <v>445</v>
      </c>
      <c r="M1182">
        <v>5626829239</v>
      </c>
    </row>
    <row r="1183" spans="1:13" x14ac:dyDescent="0.25">
      <c r="A1183">
        <v>2342341664</v>
      </c>
      <c r="B1183" t="s">
        <v>4965</v>
      </c>
      <c r="C1183">
        <v>549900</v>
      </c>
      <c r="D1183" t="s">
        <v>4966</v>
      </c>
      <c r="E1183" t="s">
        <v>4967</v>
      </c>
      <c r="F1183">
        <v>3</v>
      </c>
      <c r="I1183" t="str">
        <f>HYPERLINK("tel:+15627088990", "562-708-8990")</f>
        <v>562-708-8990</v>
      </c>
      <c r="J1183" t="s">
        <v>4968</v>
      </c>
      <c r="K1183" t="s">
        <v>4969</v>
      </c>
      <c r="M1183">
        <v>5627088990</v>
      </c>
    </row>
    <row r="1184" spans="1:13" x14ac:dyDescent="0.25">
      <c r="A1184">
        <v>1682811427</v>
      </c>
      <c r="B1184" t="s">
        <v>4970</v>
      </c>
      <c r="C1184">
        <v>7750000</v>
      </c>
      <c r="D1184" t="s">
        <v>4971</v>
      </c>
      <c r="E1184" t="s">
        <v>4972</v>
      </c>
      <c r="F1184">
        <v>3</v>
      </c>
      <c r="I1184" t="str">
        <f>HYPERLINK("tel:+15627132764", "562-713-2764")</f>
        <v>562-713-2764</v>
      </c>
      <c r="J1184" t="s">
        <v>4973</v>
      </c>
      <c r="K1184" t="s">
        <v>24</v>
      </c>
      <c r="M1184">
        <v>5627132764</v>
      </c>
    </row>
    <row r="1185" spans="1:13" x14ac:dyDescent="0.25">
      <c r="A1185">
        <v>1572864608</v>
      </c>
      <c r="B1185" t="s">
        <v>4974</v>
      </c>
      <c r="C1185">
        <v>1590000</v>
      </c>
      <c r="D1185" t="s">
        <v>4975</v>
      </c>
      <c r="E1185" t="s">
        <v>4976</v>
      </c>
      <c r="F1185">
        <v>3</v>
      </c>
      <c r="I1185" t="str">
        <f>HYPERLINK("tel:+15627134774", "562-713-4774")</f>
        <v>562-713-4774</v>
      </c>
      <c r="J1185" t="s">
        <v>4977</v>
      </c>
      <c r="K1185" t="s">
        <v>4978</v>
      </c>
      <c r="M1185">
        <v>5627134774</v>
      </c>
    </row>
    <row r="1186" spans="1:13" x14ac:dyDescent="0.25">
      <c r="A1186">
        <v>9522547213</v>
      </c>
      <c r="B1186" t="s">
        <v>4979</v>
      </c>
      <c r="C1186">
        <v>739000</v>
      </c>
      <c r="D1186" t="s">
        <v>4980</v>
      </c>
      <c r="E1186" t="s">
        <v>4981</v>
      </c>
      <c r="F1186">
        <v>3</v>
      </c>
      <c r="I1186" t="str">
        <f>HYPERLINK("tel:+15627627403", "562-762-7403")</f>
        <v>562-762-7403</v>
      </c>
      <c r="J1186" t="s">
        <v>4982</v>
      </c>
      <c r="K1186" t="s">
        <v>4983</v>
      </c>
      <c r="M1186">
        <v>5627627403</v>
      </c>
    </row>
    <row r="1187" spans="1:13" x14ac:dyDescent="0.25">
      <c r="A1187">
        <v>1464378558</v>
      </c>
      <c r="B1187" t="s">
        <v>4984</v>
      </c>
      <c r="C1187">
        <v>695000</v>
      </c>
      <c r="D1187" t="s">
        <v>4985</v>
      </c>
      <c r="E1187" t="s">
        <v>4986</v>
      </c>
      <c r="F1187">
        <v>3</v>
      </c>
      <c r="I1187" t="str">
        <f>HYPERLINK("tel:+15627746372", "562-774-6372")</f>
        <v>562-774-6372</v>
      </c>
      <c r="J1187" t="s">
        <v>4987</v>
      </c>
      <c r="K1187" t="s">
        <v>4988</v>
      </c>
      <c r="M1187">
        <v>5627746372</v>
      </c>
    </row>
    <row r="1188" spans="1:13" x14ac:dyDescent="0.25">
      <c r="A1188">
        <v>2882524553</v>
      </c>
      <c r="B1188" t="s">
        <v>4989</v>
      </c>
      <c r="C1188">
        <v>649000</v>
      </c>
      <c r="D1188" t="s">
        <v>4990</v>
      </c>
      <c r="E1188" t="s">
        <v>4991</v>
      </c>
      <c r="F1188">
        <v>3</v>
      </c>
      <c r="I1188" t="str">
        <f>HYPERLINK("tel:+15628246227", "562-824-6227")</f>
        <v>562-824-6227</v>
      </c>
      <c r="J1188" t="s">
        <v>4992</v>
      </c>
      <c r="K1188" t="s">
        <v>4993</v>
      </c>
      <c r="M1188">
        <v>5628246227</v>
      </c>
    </row>
    <row r="1189" spans="1:13" x14ac:dyDescent="0.25">
      <c r="A1189">
        <v>9731831985</v>
      </c>
      <c r="B1189" t="s">
        <v>4961</v>
      </c>
      <c r="C1189">
        <v>1175000</v>
      </c>
      <c r="D1189" t="s">
        <v>4962</v>
      </c>
      <c r="E1189" t="s">
        <v>4994</v>
      </c>
      <c r="F1189">
        <v>3</v>
      </c>
      <c r="I1189" t="str">
        <f>HYPERLINK("tel:+15628249003", "562-824-9003")</f>
        <v>562-824-9003</v>
      </c>
      <c r="J1189" t="s">
        <v>4995</v>
      </c>
      <c r="K1189" t="s">
        <v>4996</v>
      </c>
      <c r="M1189">
        <v>5628249003</v>
      </c>
    </row>
    <row r="1190" spans="1:13" x14ac:dyDescent="0.25">
      <c r="A1190">
        <v>1825584286</v>
      </c>
      <c r="B1190" t="s">
        <v>4997</v>
      </c>
      <c r="C1190">
        <v>729999</v>
      </c>
      <c r="D1190" t="s">
        <v>4998</v>
      </c>
      <c r="E1190" t="s">
        <v>4999</v>
      </c>
      <c r="F1190">
        <v>3</v>
      </c>
      <c r="I1190" t="str">
        <f>HYPERLINK("tel:+15628528909", "562-852-8909")</f>
        <v>562-852-8909</v>
      </c>
      <c r="J1190" t="s">
        <v>5000</v>
      </c>
      <c r="K1190" t="s">
        <v>3264</v>
      </c>
      <c r="M1190">
        <v>5628528909</v>
      </c>
    </row>
    <row r="1191" spans="1:13" x14ac:dyDescent="0.25">
      <c r="A1191">
        <v>1187143851</v>
      </c>
      <c r="B1191" t="s">
        <v>5001</v>
      </c>
      <c r="C1191">
        <v>425000</v>
      </c>
      <c r="D1191" t="s">
        <v>5002</v>
      </c>
      <c r="E1191" t="s">
        <v>5003</v>
      </c>
      <c r="F1191">
        <v>3</v>
      </c>
      <c r="I1191" t="str">
        <f>HYPERLINK("tel:+15628627373", "562-862-7373")</f>
        <v>562-862-7373</v>
      </c>
      <c r="J1191" t="s">
        <v>5004</v>
      </c>
      <c r="K1191" t="s">
        <v>5005</v>
      </c>
      <c r="M1191">
        <v>5628627373</v>
      </c>
    </row>
    <row r="1192" spans="1:13" x14ac:dyDescent="0.25">
      <c r="A1192">
        <v>2593834743</v>
      </c>
      <c r="B1192" t="s">
        <v>5006</v>
      </c>
      <c r="C1192">
        <v>699000</v>
      </c>
      <c r="D1192" t="s">
        <v>5007</v>
      </c>
      <c r="E1192" t="s">
        <v>5008</v>
      </c>
      <c r="F1192">
        <v>3</v>
      </c>
      <c r="I1192" t="str">
        <f>HYPERLINK("tel:+15629001891", "562-900-1891")</f>
        <v>562-900-1891</v>
      </c>
      <c r="J1192" t="s">
        <v>5009</v>
      </c>
      <c r="K1192" t="s">
        <v>5010</v>
      </c>
      <c r="M1192">
        <v>5629001891</v>
      </c>
    </row>
    <row r="1193" spans="1:13" x14ac:dyDescent="0.25">
      <c r="A1193">
        <v>1391006319</v>
      </c>
      <c r="B1193" t="s">
        <v>5011</v>
      </c>
      <c r="C1193">
        <v>555000</v>
      </c>
      <c r="D1193" t="s">
        <v>5012</v>
      </c>
      <c r="E1193" t="s">
        <v>5013</v>
      </c>
      <c r="F1193">
        <v>3</v>
      </c>
      <c r="I1193" t="str">
        <f>HYPERLINK("tel:+15629724336", "562-972-4336")</f>
        <v>562-972-4336</v>
      </c>
      <c r="J1193" t="s">
        <v>5014</v>
      </c>
      <c r="K1193" t="s">
        <v>2935</v>
      </c>
      <c r="M1193">
        <v>5629724336</v>
      </c>
    </row>
    <row r="1194" spans="1:13" x14ac:dyDescent="0.25">
      <c r="A1194">
        <v>2757651271</v>
      </c>
      <c r="B1194" t="s">
        <v>5015</v>
      </c>
      <c r="C1194">
        <v>1549000</v>
      </c>
      <c r="D1194" t="s">
        <v>5016</v>
      </c>
      <c r="E1194" t="s">
        <v>5017</v>
      </c>
      <c r="F1194">
        <v>3</v>
      </c>
      <c r="I1194" t="str">
        <f>HYPERLINK("tel:+15629727765", "562-972-7765")</f>
        <v>562-972-7765</v>
      </c>
      <c r="J1194" t="s">
        <v>5018</v>
      </c>
      <c r="K1194" t="s">
        <v>24</v>
      </c>
      <c r="M1194">
        <v>5629727765</v>
      </c>
    </row>
    <row r="1195" spans="1:13" x14ac:dyDescent="0.25">
      <c r="A1195">
        <v>9194512757</v>
      </c>
      <c r="B1195" t="s">
        <v>5019</v>
      </c>
      <c r="C1195">
        <v>939000</v>
      </c>
      <c r="D1195" t="s">
        <v>5020</v>
      </c>
      <c r="E1195" t="s">
        <v>5021</v>
      </c>
      <c r="F1195">
        <v>3</v>
      </c>
      <c r="I1195" t="str">
        <f>HYPERLINK("tel:+16023779574", "602-377-9574")</f>
        <v>602-377-9574</v>
      </c>
      <c r="J1195" t="s">
        <v>5022</v>
      </c>
      <c r="K1195" t="s">
        <v>24</v>
      </c>
      <c r="M1195">
        <v>6023779574</v>
      </c>
    </row>
    <row r="1196" spans="1:13" x14ac:dyDescent="0.25">
      <c r="A1196">
        <v>9812074447</v>
      </c>
      <c r="B1196" t="s">
        <v>5023</v>
      </c>
      <c r="C1196">
        <v>160000</v>
      </c>
      <c r="D1196" t="s">
        <v>5024</v>
      </c>
      <c r="E1196" t="s">
        <v>5025</v>
      </c>
      <c r="F1196">
        <v>3</v>
      </c>
      <c r="I1196" t="str">
        <f>HYPERLINK("tel:+16194934262", "619-493-4262")</f>
        <v>619-493-4262</v>
      </c>
      <c r="J1196" t="s">
        <v>5026</v>
      </c>
      <c r="K1196" t="s">
        <v>5027</v>
      </c>
      <c r="M1196">
        <v>6194934262</v>
      </c>
    </row>
    <row r="1197" spans="1:13" x14ac:dyDescent="0.25">
      <c r="A1197">
        <v>9812074447</v>
      </c>
      <c r="B1197" t="s">
        <v>5023</v>
      </c>
      <c r="C1197">
        <v>160000</v>
      </c>
      <c r="D1197" t="s">
        <v>5024</v>
      </c>
      <c r="E1197" t="s">
        <v>5028</v>
      </c>
      <c r="F1197">
        <v>3</v>
      </c>
      <c r="I1197" t="str">
        <f>HYPERLINK("tel:+16199400018", "619-940-0018")</f>
        <v>619-940-0018</v>
      </c>
      <c r="J1197" t="s">
        <v>5029</v>
      </c>
      <c r="K1197" t="s">
        <v>5027</v>
      </c>
      <c r="M1197">
        <v>6199400018</v>
      </c>
    </row>
    <row r="1198" spans="1:13" x14ac:dyDescent="0.25">
      <c r="A1198">
        <v>9338135282</v>
      </c>
      <c r="B1198" t="s">
        <v>5030</v>
      </c>
      <c r="C1198">
        <v>783321</v>
      </c>
      <c r="D1198" t="s">
        <v>5031</v>
      </c>
      <c r="E1198" t="s">
        <v>5032</v>
      </c>
      <c r="F1198">
        <v>3</v>
      </c>
      <c r="I1198" t="str">
        <f>HYPERLINK("tel:+16199946938", "619-994-6938")</f>
        <v>619-994-6938</v>
      </c>
      <c r="J1198" t="s">
        <v>5033</v>
      </c>
      <c r="K1198" t="s">
        <v>5034</v>
      </c>
      <c r="M1198">
        <v>6199946938</v>
      </c>
    </row>
    <row r="1199" spans="1:13" x14ac:dyDescent="0.25">
      <c r="A1199">
        <v>2014219778</v>
      </c>
      <c r="B1199" t="s">
        <v>5035</v>
      </c>
      <c r="C1199">
        <v>1199000</v>
      </c>
      <c r="D1199" t="s">
        <v>5036</v>
      </c>
      <c r="E1199" t="s">
        <v>5037</v>
      </c>
      <c r="F1199">
        <v>3</v>
      </c>
      <c r="I1199" t="str">
        <f>HYPERLINK("tel:+16262027093", "626-202-7093")</f>
        <v>626-202-7093</v>
      </c>
      <c r="J1199" t="s">
        <v>5038</v>
      </c>
      <c r="K1199" t="s">
        <v>5039</v>
      </c>
      <c r="M1199">
        <v>6262027093</v>
      </c>
    </row>
    <row r="1200" spans="1:13" x14ac:dyDescent="0.25">
      <c r="A1200">
        <v>2001896215</v>
      </c>
      <c r="B1200" t="s">
        <v>5040</v>
      </c>
      <c r="C1200">
        <v>828000</v>
      </c>
      <c r="D1200" t="s">
        <v>5041</v>
      </c>
      <c r="E1200" t="s">
        <v>5042</v>
      </c>
      <c r="F1200">
        <v>3</v>
      </c>
      <c r="I1200" t="str">
        <f>HYPERLINK("tel:+16262035227", "626-203-5227")</f>
        <v>626-203-5227</v>
      </c>
      <c r="J1200" t="s">
        <v>5043</v>
      </c>
      <c r="K1200" t="s">
        <v>5044</v>
      </c>
      <c r="M1200">
        <v>6262035227</v>
      </c>
    </row>
    <row r="1201" spans="1:13" x14ac:dyDescent="0.25">
      <c r="A1201">
        <v>2522590484</v>
      </c>
      <c r="B1201" t="s">
        <v>5045</v>
      </c>
      <c r="C1201">
        <v>7700000</v>
      </c>
      <c r="D1201" t="s">
        <v>5046</v>
      </c>
      <c r="E1201" t="s">
        <v>5047</v>
      </c>
      <c r="F1201">
        <v>3</v>
      </c>
      <c r="I1201" t="str">
        <f>HYPERLINK("tel:+16262333077", "626-233-3077")</f>
        <v>626-233-3077</v>
      </c>
      <c r="J1201" t="s">
        <v>5048</v>
      </c>
      <c r="K1201" t="s">
        <v>917</v>
      </c>
      <c r="M1201">
        <v>6262333077</v>
      </c>
    </row>
    <row r="1202" spans="1:13" x14ac:dyDescent="0.25">
      <c r="A1202">
        <v>9663149761</v>
      </c>
      <c r="B1202" t="s">
        <v>5049</v>
      </c>
      <c r="C1202">
        <v>299900</v>
      </c>
      <c r="D1202" t="s">
        <v>5050</v>
      </c>
      <c r="E1202" t="s">
        <v>5051</v>
      </c>
      <c r="F1202">
        <v>3</v>
      </c>
      <c r="I1202" t="str">
        <f>HYPERLINK("tel:+16262559123", "626-255-9123")</f>
        <v>626-255-9123</v>
      </c>
      <c r="J1202" t="s">
        <v>5052</v>
      </c>
      <c r="K1202" t="s">
        <v>5053</v>
      </c>
      <c r="M1202">
        <v>6262559123</v>
      </c>
    </row>
    <row r="1203" spans="1:13" x14ac:dyDescent="0.25">
      <c r="A1203">
        <v>2712230658</v>
      </c>
      <c r="B1203" t="s">
        <v>5054</v>
      </c>
      <c r="C1203">
        <v>1850000</v>
      </c>
      <c r="D1203" t="s">
        <v>5055</v>
      </c>
      <c r="E1203" t="s">
        <v>5056</v>
      </c>
      <c r="F1203">
        <v>3</v>
      </c>
      <c r="I1203" t="str">
        <f>HYPERLINK("tel:+16262725941", "626-272-5941")</f>
        <v>626-272-5941</v>
      </c>
      <c r="J1203" t="s">
        <v>5057</v>
      </c>
      <c r="K1203" t="s">
        <v>5058</v>
      </c>
      <c r="M1203">
        <v>6262725941</v>
      </c>
    </row>
    <row r="1204" spans="1:13" x14ac:dyDescent="0.25">
      <c r="A1204">
        <v>9037120765</v>
      </c>
      <c r="B1204" t="s">
        <v>5059</v>
      </c>
      <c r="C1204">
        <v>768000</v>
      </c>
      <c r="D1204" t="s">
        <v>5060</v>
      </c>
      <c r="E1204" t="s">
        <v>5061</v>
      </c>
      <c r="F1204">
        <v>3</v>
      </c>
      <c r="I1204" t="str">
        <f>HYPERLINK("tel:+16262727582", "626-272-7582")</f>
        <v>626-272-7582</v>
      </c>
      <c r="J1204" t="s">
        <v>5062</v>
      </c>
      <c r="K1204" t="s">
        <v>5063</v>
      </c>
      <c r="M1204">
        <v>6262727582</v>
      </c>
    </row>
    <row r="1205" spans="1:13" x14ac:dyDescent="0.25">
      <c r="A1205">
        <v>2097377858</v>
      </c>
      <c r="B1205" t="s">
        <v>5064</v>
      </c>
      <c r="C1205">
        <v>719900</v>
      </c>
      <c r="D1205" t="s">
        <v>5065</v>
      </c>
      <c r="E1205" t="s">
        <v>5066</v>
      </c>
      <c r="F1205">
        <v>3</v>
      </c>
      <c r="I1205" t="str">
        <f>HYPERLINK("tel:+16262902121", "626-290-2121")</f>
        <v>626-290-2121</v>
      </c>
      <c r="J1205" t="s">
        <v>5067</v>
      </c>
      <c r="K1205" t="s">
        <v>5068</v>
      </c>
      <c r="M1205">
        <v>6262902121</v>
      </c>
    </row>
    <row r="1206" spans="1:13" x14ac:dyDescent="0.25">
      <c r="A1206">
        <v>9693689461</v>
      </c>
      <c r="B1206" t="s">
        <v>5069</v>
      </c>
      <c r="C1206">
        <v>2680000</v>
      </c>
      <c r="D1206" t="s">
        <v>5070</v>
      </c>
      <c r="E1206" t="s">
        <v>5071</v>
      </c>
      <c r="F1206">
        <v>3</v>
      </c>
      <c r="I1206" t="str">
        <f>HYPERLINK("tel:+16263084768", "626-308-4768")</f>
        <v>626-308-4768</v>
      </c>
      <c r="J1206" t="s">
        <v>5072</v>
      </c>
      <c r="K1206" t="s">
        <v>5073</v>
      </c>
      <c r="M1206">
        <v>6263084768</v>
      </c>
    </row>
    <row r="1207" spans="1:13" x14ac:dyDescent="0.25">
      <c r="A1207">
        <v>2327615469</v>
      </c>
      <c r="B1207" t="s">
        <v>5074</v>
      </c>
      <c r="C1207">
        <v>480000</v>
      </c>
      <c r="D1207" t="s">
        <v>5075</v>
      </c>
      <c r="E1207" t="s">
        <v>5076</v>
      </c>
      <c r="F1207">
        <v>3</v>
      </c>
      <c r="I1207" t="str">
        <f>HYPERLINK("tel:+16263109340", "626-310-9340")</f>
        <v>626-310-9340</v>
      </c>
      <c r="J1207" t="s">
        <v>5077</v>
      </c>
      <c r="K1207" t="s">
        <v>5078</v>
      </c>
      <c r="M1207">
        <v>6263109340</v>
      </c>
    </row>
    <row r="1208" spans="1:13" x14ac:dyDescent="0.25">
      <c r="A1208">
        <v>1659407499</v>
      </c>
      <c r="B1208" t="s">
        <v>5079</v>
      </c>
      <c r="C1208">
        <v>4180000</v>
      </c>
      <c r="D1208" t="s">
        <v>5080</v>
      </c>
      <c r="E1208" t="s">
        <v>5081</v>
      </c>
      <c r="F1208">
        <v>3</v>
      </c>
      <c r="I1208" t="str">
        <f>HYPERLINK("tel:+16263186680", "626-318-6680")</f>
        <v>626-318-6680</v>
      </c>
      <c r="J1208" t="s">
        <v>5082</v>
      </c>
      <c r="K1208" t="s">
        <v>3419</v>
      </c>
      <c r="M1208">
        <v>6263186680</v>
      </c>
    </row>
    <row r="1209" spans="1:13" x14ac:dyDescent="0.25">
      <c r="A1209">
        <v>2984355927</v>
      </c>
      <c r="B1209" t="s">
        <v>5083</v>
      </c>
      <c r="C1209">
        <v>764999</v>
      </c>
      <c r="D1209" t="s">
        <v>5084</v>
      </c>
      <c r="E1209" t="s">
        <v>5085</v>
      </c>
      <c r="F1209">
        <v>3</v>
      </c>
      <c r="I1209" t="str">
        <f>HYPERLINK("tel:+16263206035", "626-320-6035")</f>
        <v>626-320-6035</v>
      </c>
      <c r="J1209" t="s">
        <v>5086</v>
      </c>
      <c r="K1209" t="s">
        <v>5087</v>
      </c>
      <c r="M1209">
        <v>6263206035</v>
      </c>
    </row>
    <row r="1210" spans="1:13" x14ac:dyDescent="0.25">
      <c r="A1210">
        <v>2955330833</v>
      </c>
      <c r="B1210" t="s">
        <v>5088</v>
      </c>
      <c r="C1210">
        <v>430000</v>
      </c>
      <c r="D1210" t="s">
        <v>5089</v>
      </c>
      <c r="E1210" t="s">
        <v>5090</v>
      </c>
      <c r="F1210">
        <v>3</v>
      </c>
      <c r="I1210" t="str">
        <f>HYPERLINK("tel:+16263218263", "626-321-8263")</f>
        <v>626-321-8263</v>
      </c>
      <c r="J1210" t="s">
        <v>5091</v>
      </c>
      <c r="K1210" t="s">
        <v>485</v>
      </c>
      <c r="M1210">
        <v>6263218263</v>
      </c>
    </row>
    <row r="1211" spans="1:13" x14ac:dyDescent="0.25">
      <c r="A1211">
        <v>2614762303</v>
      </c>
      <c r="B1211" t="s">
        <v>5092</v>
      </c>
      <c r="C1211">
        <v>380000</v>
      </c>
      <c r="D1211" t="s">
        <v>5093</v>
      </c>
      <c r="E1211" t="s">
        <v>5094</v>
      </c>
      <c r="F1211">
        <v>3</v>
      </c>
      <c r="I1211" t="str">
        <f>HYPERLINK("tel:+16263433333", "626-343-3333")</f>
        <v>626-343-3333</v>
      </c>
      <c r="J1211" t="s">
        <v>5095</v>
      </c>
      <c r="K1211" t="s">
        <v>5096</v>
      </c>
      <c r="M1211">
        <v>6263433333</v>
      </c>
    </row>
    <row r="1212" spans="1:13" x14ac:dyDescent="0.25">
      <c r="A1212">
        <v>2014219778</v>
      </c>
      <c r="B1212" t="s">
        <v>5035</v>
      </c>
      <c r="C1212">
        <v>1199000</v>
      </c>
      <c r="D1212" t="s">
        <v>5036</v>
      </c>
      <c r="E1212" t="s">
        <v>5097</v>
      </c>
      <c r="F1212">
        <v>3</v>
      </c>
      <c r="I1212" t="str">
        <f>HYPERLINK("tel:+16263752161", "626-375-2161")</f>
        <v>626-375-2161</v>
      </c>
      <c r="J1212" t="s">
        <v>5098</v>
      </c>
      <c r="K1212" t="s">
        <v>5039</v>
      </c>
      <c r="M1212">
        <v>6263752161</v>
      </c>
    </row>
    <row r="1213" spans="1:13" x14ac:dyDescent="0.25">
      <c r="A1213">
        <v>2097415827</v>
      </c>
      <c r="B1213" t="s">
        <v>5099</v>
      </c>
      <c r="C1213">
        <v>749999</v>
      </c>
      <c r="D1213" t="s">
        <v>5100</v>
      </c>
      <c r="E1213" t="s">
        <v>5101</v>
      </c>
      <c r="F1213">
        <v>3</v>
      </c>
      <c r="I1213" t="str">
        <f>HYPERLINK("tel:+16263935315", "626-393-5315")</f>
        <v>626-393-5315</v>
      </c>
      <c r="J1213" t="s">
        <v>5102</v>
      </c>
      <c r="K1213" t="s">
        <v>3094</v>
      </c>
      <c r="M1213">
        <v>6263935315</v>
      </c>
    </row>
    <row r="1214" spans="1:13" x14ac:dyDescent="0.25">
      <c r="A1214">
        <v>9217946007</v>
      </c>
      <c r="B1214" t="s">
        <v>5103</v>
      </c>
      <c r="C1214">
        <v>1299900</v>
      </c>
      <c r="D1214" t="s">
        <v>5104</v>
      </c>
      <c r="E1214" t="s">
        <v>5105</v>
      </c>
      <c r="F1214">
        <v>3</v>
      </c>
      <c r="I1214" t="str">
        <f>HYPERLINK("tel:+16264153637", "626-415-3637")</f>
        <v>626-415-3637</v>
      </c>
      <c r="J1214" t="s">
        <v>5106</v>
      </c>
      <c r="K1214" t="s">
        <v>5107</v>
      </c>
      <c r="M1214">
        <v>6264153637</v>
      </c>
    </row>
    <row r="1215" spans="1:13" x14ac:dyDescent="0.25">
      <c r="A1215">
        <v>2954891681</v>
      </c>
      <c r="B1215" t="s">
        <v>5108</v>
      </c>
      <c r="C1215">
        <v>2150000</v>
      </c>
      <c r="D1215" t="s">
        <v>5109</v>
      </c>
      <c r="E1215" t="s">
        <v>5110</v>
      </c>
      <c r="F1215">
        <v>3</v>
      </c>
      <c r="I1215" t="str">
        <f>HYPERLINK("tel:+16264742288", "626-474-2288")</f>
        <v>626-474-2288</v>
      </c>
      <c r="J1215" t="s">
        <v>5111</v>
      </c>
      <c r="K1215" t="s">
        <v>485</v>
      </c>
      <c r="M1215">
        <v>6264742288</v>
      </c>
    </row>
    <row r="1216" spans="1:13" x14ac:dyDescent="0.25">
      <c r="A1216">
        <v>9122423042</v>
      </c>
      <c r="B1216" t="s">
        <v>5112</v>
      </c>
      <c r="C1216">
        <v>1639000</v>
      </c>
      <c r="D1216" t="s">
        <v>5113</v>
      </c>
      <c r="E1216" t="s">
        <v>5114</v>
      </c>
      <c r="F1216">
        <v>3</v>
      </c>
      <c r="I1216" t="str">
        <f>HYPERLINK("tel:+16265362537", "626-536-2537")</f>
        <v>626-536-2537</v>
      </c>
      <c r="J1216" t="s">
        <v>5115</v>
      </c>
      <c r="K1216" t="s">
        <v>3154</v>
      </c>
      <c r="M1216">
        <v>6265362537</v>
      </c>
    </row>
    <row r="1217" spans="1:13" x14ac:dyDescent="0.25">
      <c r="A1217">
        <v>2910204925</v>
      </c>
      <c r="B1217" t="s">
        <v>5116</v>
      </c>
      <c r="C1217">
        <v>699000</v>
      </c>
      <c r="D1217" t="s">
        <v>5117</v>
      </c>
      <c r="E1217" t="s">
        <v>5118</v>
      </c>
      <c r="F1217">
        <v>3</v>
      </c>
      <c r="I1217" t="str">
        <f>HYPERLINK("tel:+16265363556", "626-536-3556")</f>
        <v>626-536-3556</v>
      </c>
      <c r="J1217" t="s">
        <v>5119</v>
      </c>
      <c r="K1217" t="s">
        <v>5120</v>
      </c>
      <c r="M1217">
        <v>6265363556</v>
      </c>
    </row>
    <row r="1218" spans="1:13" x14ac:dyDescent="0.25">
      <c r="A1218">
        <v>2984323736</v>
      </c>
      <c r="B1218" t="s">
        <v>5121</v>
      </c>
      <c r="C1218">
        <v>1690000</v>
      </c>
      <c r="D1218" t="s">
        <v>5122</v>
      </c>
      <c r="E1218" t="s">
        <v>5123</v>
      </c>
      <c r="F1218">
        <v>3</v>
      </c>
      <c r="I1218" t="str">
        <f>HYPERLINK("tel:+16265758518", "626-575-8518")</f>
        <v>626-575-8518</v>
      </c>
      <c r="J1218" t="s">
        <v>5124</v>
      </c>
      <c r="K1218" t="s">
        <v>4764</v>
      </c>
      <c r="M1218">
        <v>6265758518</v>
      </c>
    </row>
    <row r="1219" spans="1:13" x14ac:dyDescent="0.25">
      <c r="A1219">
        <v>1034520986</v>
      </c>
      <c r="B1219" t="s">
        <v>5125</v>
      </c>
      <c r="C1219">
        <v>1299000</v>
      </c>
      <c r="D1219" t="s">
        <v>5126</v>
      </c>
      <c r="E1219" t="s">
        <v>5127</v>
      </c>
      <c r="F1219">
        <v>3</v>
      </c>
      <c r="I1219" t="str">
        <f>HYPERLINK("tel:+16266175443", "626-617-5443")</f>
        <v>626-617-5443</v>
      </c>
      <c r="J1219" t="s">
        <v>5128</v>
      </c>
      <c r="K1219" t="s">
        <v>5129</v>
      </c>
      <c r="M1219">
        <v>6266175443</v>
      </c>
    </row>
    <row r="1220" spans="1:13" x14ac:dyDescent="0.25">
      <c r="A1220">
        <v>1897984246</v>
      </c>
      <c r="B1220" t="s">
        <v>5130</v>
      </c>
      <c r="C1220">
        <v>1500000</v>
      </c>
      <c r="D1220" t="s">
        <v>5131</v>
      </c>
      <c r="E1220" t="s">
        <v>5132</v>
      </c>
      <c r="F1220">
        <v>3</v>
      </c>
      <c r="I1220" t="str">
        <f>HYPERLINK("tel:+16266670338", "626-667-0338")</f>
        <v>626-667-0338</v>
      </c>
      <c r="J1220" t="s">
        <v>5133</v>
      </c>
      <c r="K1220" t="s">
        <v>1740</v>
      </c>
      <c r="M1220">
        <v>6266670338</v>
      </c>
    </row>
    <row r="1221" spans="1:13" x14ac:dyDescent="0.25">
      <c r="A1221">
        <v>9733333829</v>
      </c>
      <c r="B1221" t="s">
        <v>5134</v>
      </c>
      <c r="C1221">
        <v>1390000</v>
      </c>
      <c r="D1221" t="s">
        <v>5135</v>
      </c>
      <c r="E1221" t="s">
        <v>5136</v>
      </c>
      <c r="F1221">
        <v>3</v>
      </c>
      <c r="I1221" t="str">
        <f>HYPERLINK("tel:+16266937888", "626-693-7888")</f>
        <v>626-693-7888</v>
      </c>
      <c r="J1221" t="s">
        <v>5137</v>
      </c>
      <c r="K1221" t="s">
        <v>1745</v>
      </c>
      <c r="M1221">
        <v>6266937888</v>
      </c>
    </row>
    <row r="1222" spans="1:13" x14ac:dyDescent="0.25">
      <c r="A1222">
        <v>2392542494</v>
      </c>
      <c r="B1222" t="s">
        <v>5138</v>
      </c>
      <c r="C1222">
        <v>2500000</v>
      </c>
      <c r="D1222" t="s">
        <v>5139</v>
      </c>
      <c r="E1222" t="s">
        <v>5140</v>
      </c>
      <c r="F1222">
        <v>3</v>
      </c>
      <c r="I1222" t="str">
        <f>HYPERLINK("tel:+16266952808", "626-695-2808")</f>
        <v>626-695-2808</v>
      </c>
      <c r="J1222" t="s">
        <v>5141</v>
      </c>
      <c r="K1222" t="s">
        <v>431</v>
      </c>
      <c r="M1222">
        <v>6266952808</v>
      </c>
    </row>
    <row r="1223" spans="1:13" x14ac:dyDescent="0.25">
      <c r="A1223">
        <v>1023190917</v>
      </c>
      <c r="B1223" t="s">
        <v>5142</v>
      </c>
      <c r="C1223">
        <v>459999</v>
      </c>
      <c r="D1223" t="s">
        <v>5143</v>
      </c>
      <c r="E1223" t="s">
        <v>5144</v>
      </c>
      <c r="F1223">
        <v>3</v>
      </c>
      <c r="I1223" t="str">
        <f>HYPERLINK("tel:+16267238604", "626-723-8604")</f>
        <v>626-723-8604</v>
      </c>
      <c r="J1223" t="s">
        <v>5145</v>
      </c>
      <c r="K1223" t="s">
        <v>5146</v>
      </c>
      <c r="M1223">
        <v>6267238604</v>
      </c>
    </row>
    <row r="1224" spans="1:13" x14ac:dyDescent="0.25">
      <c r="A1224">
        <v>9160601312</v>
      </c>
      <c r="B1224" t="s">
        <v>5147</v>
      </c>
      <c r="C1224">
        <v>4220000</v>
      </c>
      <c r="D1224" t="s">
        <v>5148</v>
      </c>
      <c r="E1224" t="s">
        <v>5149</v>
      </c>
      <c r="F1224">
        <v>3</v>
      </c>
      <c r="I1224" t="str">
        <f>HYPERLINK("tel:+16267251052", "626-725-1052")</f>
        <v>626-725-1052</v>
      </c>
      <c r="J1224" t="s">
        <v>5150</v>
      </c>
      <c r="K1224" t="s">
        <v>377</v>
      </c>
      <c r="M1224">
        <v>6267251052</v>
      </c>
    </row>
    <row r="1225" spans="1:13" x14ac:dyDescent="0.25">
      <c r="A1225">
        <v>2499613662</v>
      </c>
      <c r="B1225" t="s">
        <v>5151</v>
      </c>
      <c r="C1225">
        <v>1425000</v>
      </c>
      <c r="D1225" t="s">
        <v>5152</v>
      </c>
      <c r="E1225" t="s">
        <v>5153</v>
      </c>
      <c r="F1225">
        <v>3</v>
      </c>
      <c r="I1225" t="str">
        <f>HYPERLINK("tel:+16267347898", "626-734-7898")</f>
        <v>626-734-7898</v>
      </c>
      <c r="J1225" t="s">
        <v>5154</v>
      </c>
      <c r="K1225" t="s">
        <v>5155</v>
      </c>
      <c r="M1225">
        <v>6267347898</v>
      </c>
    </row>
    <row r="1226" spans="1:13" x14ac:dyDescent="0.25">
      <c r="A1226">
        <v>2078440461</v>
      </c>
      <c r="B1226" t="s">
        <v>5156</v>
      </c>
      <c r="C1226">
        <v>1249000</v>
      </c>
      <c r="D1226" t="s">
        <v>5157</v>
      </c>
      <c r="E1226" t="s">
        <v>5158</v>
      </c>
      <c r="F1226">
        <v>3</v>
      </c>
      <c r="I1226" t="str">
        <f>HYPERLINK("tel:+16267666499", "626-766-6499")</f>
        <v>626-766-6499</v>
      </c>
      <c r="J1226" t="s">
        <v>5159</v>
      </c>
      <c r="K1226" t="s">
        <v>82</v>
      </c>
      <c r="M1226">
        <v>6267666499</v>
      </c>
    </row>
    <row r="1227" spans="1:13" x14ac:dyDescent="0.25">
      <c r="A1227">
        <v>1572856568</v>
      </c>
      <c r="B1227" t="s">
        <v>5160</v>
      </c>
      <c r="C1227">
        <v>1175000</v>
      </c>
      <c r="D1227" t="s">
        <v>5161</v>
      </c>
      <c r="E1227" t="s">
        <v>5162</v>
      </c>
      <c r="F1227">
        <v>3</v>
      </c>
      <c r="I1227" t="str">
        <f>HYPERLINK("tel:+16267863682", "626-786-3682")</f>
        <v>626-786-3682</v>
      </c>
      <c r="J1227" t="s">
        <v>5163</v>
      </c>
      <c r="K1227" t="s">
        <v>2520</v>
      </c>
      <c r="M1227">
        <v>6267863682</v>
      </c>
    </row>
    <row r="1228" spans="1:13" x14ac:dyDescent="0.25">
      <c r="A1228">
        <v>1051336699</v>
      </c>
      <c r="B1228" t="s">
        <v>5164</v>
      </c>
      <c r="C1228">
        <v>588888</v>
      </c>
      <c r="D1228" t="s">
        <v>5165</v>
      </c>
      <c r="E1228" t="s">
        <v>5166</v>
      </c>
      <c r="F1228">
        <v>3</v>
      </c>
      <c r="I1228" t="str">
        <f>HYPERLINK("tel:+16268106660", "626-810-6660")</f>
        <v>626-810-6660</v>
      </c>
      <c r="J1228" t="s">
        <v>5167</v>
      </c>
      <c r="K1228" t="s">
        <v>158</v>
      </c>
      <c r="M1228">
        <v>6268106660</v>
      </c>
    </row>
    <row r="1229" spans="1:13" x14ac:dyDescent="0.25">
      <c r="A1229">
        <v>2176344390</v>
      </c>
      <c r="B1229" t="s">
        <v>5168</v>
      </c>
      <c r="C1229">
        <v>669000</v>
      </c>
      <c r="D1229" t="s">
        <v>5169</v>
      </c>
      <c r="E1229" t="s">
        <v>5170</v>
      </c>
      <c r="F1229">
        <v>3</v>
      </c>
      <c r="I1229" t="str">
        <f>HYPERLINK("tel:+16268186519", "626-818-6519")</f>
        <v>626-818-6519</v>
      </c>
      <c r="J1229" t="s">
        <v>5171</v>
      </c>
      <c r="K1229" t="s">
        <v>1745</v>
      </c>
      <c r="M1229">
        <v>6268186519</v>
      </c>
    </row>
    <row r="1230" spans="1:13" x14ac:dyDescent="0.25">
      <c r="A1230">
        <v>9349903612</v>
      </c>
      <c r="B1230" t="s">
        <v>5172</v>
      </c>
      <c r="C1230">
        <v>619900</v>
      </c>
      <c r="D1230" t="s">
        <v>5173</v>
      </c>
      <c r="E1230" t="s">
        <v>5174</v>
      </c>
      <c r="F1230">
        <v>3</v>
      </c>
      <c r="I1230" t="str">
        <f>HYPERLINK("tel:+16268995559", "626-899-5559")</f>
        <v>626-899-5559</v>
      </c>
      <c r="J1230" t="s">
        <v>5175</v>
      </c>
      <c r="K1230" t="s">
        <v>5176</v>
      </c>
      <c r="M1230">
        <v>6268995559</v>
      </c>
    </row>
    <row r="1231" spans="1:13" x14ac:dyDescent="0.25">
      <c r="A1231">
        <v>1041760573</v>
      </c>
      <c r="B1231" t="s">
        <v>5177</v>
      </c>
      <c r="C1231">
        <v>1750000</v>
      </c>
      <c r="D1231" t="s">
        <v>5178</v>
      </c>
      <c r="E1231" t="s">
        <v>5179</v>
      </c>
      <c r="F1231">
        <v>3</v>
      </c>
      <c r="I1231" t="str">
        <f>HYPERLINK("tel:+16468842928", "646-884-2928")</f>
        <v>646-884-2928</v>
      </c>
      <c r="J1231" t="s">
        <v>5180</v>
      </c>
      <c r="K1231" t="s">
        <v>63</v>
      </c>
      <c r="M1231">
        <v>6468842928</v>
      </c>
    </row>
    <row r="1232" spans="1:13" x14ac:dyDescent="0.25">
      <c r="A1232">
        <v>1426165040</v>
      </c>
      <c r="B1232" t="s">
        <v>5181</v>
      </c>
      <c r="C1232">
        <v>1249000</v>
      </c>
      <c r="D1232" t="s">
        <v>5182</v>
      </c>
      <c r="E1232" t="s">
        <v>5183</v>
      </c>
      <c r="F1232">
        <v>3</v>
      </c>
      <c r="I1232" t="str">
        <f>HYPERLINK("tel:+16572001201", "657-200-1201")</f>
        <v>657-200-1201</v>
      </c>
      <c r="J1232" t="s">
        <v>5184</v>
      </c>
      <c r="K1232" t="s">
        <v>5185</v>
      </c>
      <c r="M1232">
        <v>6572001201</v>
      </c>
    </row>
    <row r="1233" spans="1:13" x14ac:dyDescent="0.25">
      <c r="A1233">
        <v>9983976270</v>
      </c>
      <c r="B1233" t="s">
        <v>5186</v>
      </c>
      <c r="C1233">
        <v>2979000</v>
      </c>
      <c r="D1233" t="s">
        <v>5187</v>
      </c>
      <c r="E1233" t="s">
        <v>5188</v>
      </c>
      <c r="F1233">
        <v>3</v>
      </c>
      <c r="I1233" t="str">
        <f>HYPERLINK("tel:+16572821990", "657-282-1990")</f>
        <v>657-282-1990</v>
      </c>
      <c r="J1233" t="s">
        <v>5189</v>
      </c>
      <c r="K1233" t="s">
        <v>1745</v>
      </c>
      <c r="M1233">
        <v>6572821990</v>
      </c>
    </row>
    <row r="1234" spans="1:13" x14ac:dyDescent="0.25">
      <c r="A1234">
        <v>1378402450</v>
      </c>
      <c r="B1234" t="s">
        <v>5190</v>
      </c>
      <c r="C1234">
        <v>1287000</v>
      </c>
      <c r="D1234" t="s">
        <v>5191</v>
      </c>
      <c r="E1234" t="s">
        <v>5192</v>
      </c>
      <c r="F1234">
        <v>3</v>
      </c>
      <c r="I1234" t="str">
        <f>HYPERLINK("tel:+16573290435", "657-329-0435")</f>
        <v>657-329-0435</v>
      </c>
      <c r="J1234" t="s">
        <v>5193</v>
      </c>
      <c r="K1234" t="s">
        <v>5194</v>
      </c>
      <c r="M1234">
        <v>6573290435</v>
      </c>
    </row>
    <row r="1235" spans="1:13" x14ac:dyDescent="0.25">
      <c r="A1235">
        <v>2065990304</v>
      </c>
      <c r="B1235" t="s">
        <v>5195</v>
      </c>
      <c r="C1235">
        <v>909000</v>
      </c>
      <c r="D1235" t="s">
        <v>5196</v>
      </c>
      <c r="E1235" t="s">
        <v>5197</v>
      </c>
      <c r="F1235">
        <v>3</v>
      </c>
      <c r="I1235" t="str">
        <f>HYPERLINK("tel:+16574006094", "657-400-6094")</f>
        <v>657-400-6094</v>
      </c>
      <c r="J1235" t="s">
        <v>5198</v>
      </c>
      <c r="K1235" t="s">
        <v>2136</v>
      </c>
      <c r="M1235">
        <v>6574006094</v>
      </c>
    </row>
    <row r="1236" spans="1:13" x14ac:dyDescent="0.25">
      <c r="A1236">
        <v>2837117085</v>
      </c>
      <c r="B1236" t="s">
        <v>5199</v>
      </c>
      <c r="C1236">
        <v>1100000</v>
      </c>
      <c r="D1236" t="s">
        <v>5200</v>
      </c>
      <c r="E1236" t="s">
        <v>5201</v>
      </c>
      <c r="F1236">
        <v>3</v>
      </c>
      <c r="I1236" t="str">
        <f>HYPERLINK("tel:+16576690067", "657-669-0067")</f>
        <v>657-669-0067</v>
      </c>
      <c r="J1236" t="s">
        <v>5202</v>
      </c>
      <c r="K1236" t="s">
        <v>4948</v>
      </c>
      <c r="M1236">
        <v>6576690067</v>
      </c>
    </row>
    <row r="1237" spans="1:13" x14ac:dyDescent="0.25">
      <c r="A1237">
        <v>1211191299</v>
      </c>
      <c r="B1237" t="s">
        <v>5203</v>
      </c>
      <c r="C1237">
        <v>945000</v>
      </c>
      <c r="D1237" t="s">
        <v>5204</v>
      </c>
      <c r="E1237" t="s">
        <v>5205</v>
      </c>
      <c r="F1237">
        <v>3</v>
      </c>
      <c r="I1237" t="str">
        <f>HYPERLINK("tel:+16612368899", "661-236-8899")</f>
        <v>661-236-8899</v>
      </c>
      <c r="J1237" t="s">
        <v>5206</v>
      </c>
      <c r="K1237" t="s">
        <v>1310</v>
      </c>
      <c r="M1237">
        <v>6612368899</v>
      </c>
    </row>
    <row r="1238" spans="1:13" x14ac:dyDescent="0.25">
      <c r="A1238">
        <v>2748172607</v>
      </c>
      <c r="B1238" t="s">
        <v>5207</v>
      </c>
      <c r="C1238">
        <v>1999800</v>
      </c>
      <c r="D1238" t="s">
        <v>5208</v>
      </c>
      <c r="E1238" t="s">
        <v>5209</v>
      </c>
      <c r="F1238">
        <v>3</v>
      </c>
      <c r="I1238" t="str">
        <f>HYPERLINK("tel:+16613134663", "661-313-4663")</f>
        <v>661-313-4663</v>
      </c>
      <c r="J1238" t="s">
        <v>5210</v>
      </c>
      <c r="K1238" t="s">
        <v>5211</v>
      </c>
      <c r="M1238">
        <v>6613134663</v>
      </c>
    </row>
    <row r="1239" spans="1:13" x14ac:dyDescent="0.25">
      <c r="A1239">
        <v>1034520986</v>
      </c>
      <c r="B1239" t="s">
        <v>5125</v>
      </c>
      <c r="C1239">
        <v>1299000</v>
      </c>
      <c r="D1239" t="s">
        <v>5126</v>
      </c>
      <c r="E1239" t="s">
        <v>5212</v>
      </c>
      <c r="F1239">
        <v>3</v>
      </c>
      <c r="I1239" t="str">
        <f>HYPERLINK("tel:+16614336630", "661-433-6630")</f>
        <v>661-433-6630</v>
      </c>
      <c r="J1239" t="s">
        <v>5213</v>
      </c>
      <c r="K1239" t="s">
        <v>5214</v>
      </c>
      <c r="M1239">
        <v>6614336630</v>
      </c>
    </row>
    <row r="1240" spans="1:13" x14ac:dyDescent="0.25">
      <c r="A1240">
        <v>2780240455</v>
      </c>
      <c r="B1240" t="s">
        <v>5215</v>
      </c>
      <c r="C1240">
        <v>1567000</v>
      </c>
      <c r="D1240" t="s">
        <v>5216</v>
      </c>
      <c r="E1240" t="s">
        <v>5217</v>
      </c>
      <c r="F1240">
        <v>3</v>
      </c>
      <c r="I1240" t="str">
        <f>HYPERLINK("tel:+16614789526", "661-478-9526")</f>
        <v>661-478-9526</v>
      </c>
      <c r="J1240" t="s">
        <v>5218</v>
      </c>
      <c r="K1240" t="s">
        <v>5219</v>
      </c>
      <c r="M1240">
        <v>6614789526</v>
      </c>
    </row>
    <row r="1241" spans="1:13" x14ac:dyDescent="0.25">
      <c r="A1241">
        <v>9103121271</v>
      </c>
      <c r="B1241" t="s">
        <v>5220</v>
      </c>
      <c r="C1241">
        <v>20000</v>
      </c>
      <c r="D1241" t="s">
        <v>5221</v>
      </c>
      <c r="E1241" t="s">
        <v>5222</v>
      </c>
      <c r="F1241">
        <v>3</v>
      </c>
      <c r="I1241" t="str">
        <f>HYPERLINK("tel:+16618102165", "661-810-2165")</f>
        <v>661-810-2165</v>
      </c>
      <c r="J1241" t="s">
        <v>5223</v>
      </c>
      <c r="K1241" t="s">
        <v>5224</v>
      </c>
      <c r="M1241">
        <v>6618102165</v>
      </c>
    </row>
    <row r="1242" spans="1:13" x14ac:dyDescent="0.25">
      <c r="A1242">
        <v>2530681046</v>
      </c>
      <c r="B1242" t="s">
        <v>5225</v>
      </c>
      <c r="C1242">
        <v>1729000</v>
      </c>
      <c r="D1242" t="s">
        <v>5226</v>
      </c>
      <c r="E1242" t="s">
        <v>5227</v>
      </c>
      <c r="F1242">
        <v>3</v>
      </c>
      <c r="I1242" t="str">
        <f>HYPERLINK("tel:+16619044071", "661-904-4071")</f>
        <v>661-904-4071</v>
      </c>
      <c r="J1242" t="s">
        <v>5228</v>
      </c>
      <c r="K1242" t="s">
        <v>5229</v>
      </c>
      <c r="M1242">
        <v>6619044071</v>
      </c>
    </row>
    <row r="1243" spans="1:13" x14ac:dyDescent="0.25">
      <c r="A1243">
        <v>1186384777</v>
      </c>
      <c r="B1243" t="s">
        <v>5230</v>
      </c>
      <c r="C1243">
        <v>1995000</v>
      </c>
      <c r="D1243" t="s">
        <v>5231</v>
      </c>
      <c r="E1243" t="s">
        <v>5232</v>
      </c>
      <c r="F1243">
        <v>3</v>
      </c>
      <c r="I1243" t="str">
        <f>HYPERLINK("tel:+17086022012", "708-602-2012")</f>
        <v>708-602-2012</v>
      </c>
      <c r="J1243" t="s">
        <v>5233</v>
      </c>
      <c r="K1243" t="s">
        <v>3942</v>
      </c>
      <c r="M1243">
        <v>7086022012</v>
      </c>
    </row>
    <row r="1244" spans="1:13" x14ac:dyDescent="0.25">
      <c r="A1244">
        <v>9956722209</v>
      </c>
      <c r="B1244" t="s">
        <v>5234</v>
      </c>
      <c r="C1244">
        <v>1249000</v>
      </c>
      <c r="D1244" t="s">
        <v>5235</v>
      </c>
      <c r="E1244" t="s">
        <v>5236</v>
      </c>
      <c r="F1244">
        <v>3</v>
      </c>
      <c r="I1244" t="str">
        <f>HYPERLINK("tel:+17142060800", "714-206-0800")</f>
        <v>714-206-0800</v>
      </c>
      <c r="J1244" t="s">
        <v>5237</v>
      </c>
      <c r="K1244" t="s">
        <v>944</v>
      </c>
      <c r="M1244">
        <v>7142060800</v>
      </c>
    </row>
    <row r="1245" spans="1:13" x14ac:dyDescent="0.25">
      <c r="A1245">
        <v>1021947659</v>
      </c>
      <c r="B1245" t="s">
        <v>3375</v>
      </c>
      <c r="C1245">
        <v>2100000</v>
      </c>
      <c r="D1245" t="s">
        <v>3376</v>
      </c>
      <c r="E1245" t="s">
        <v>5238</v>
      </c>
      <c r="F1245">
        <v>3</v>
      </c>
      <c r="I1245" t="str">
        <f>HYPERLINK("tel:+17142221546", "714-222-1546")</f>
        <v>714-222-1546</v>
      </c>
      <c r="J1245" t="s">
        <v>5239</v>
      </c>
      <c r="K1245" t="s">
        <v>5240</v>
      </c>
      <c r="M1245">
        <v>7142221546</v>
      </c>
    </row>
    <row r="1246" spans="1:13" x14ac:dyDescent="0.25">
      <c r="A1246">
        <v>2915154814</v>
      </c>
      <c r="B1246" t="s">
        <v>5241</v>
      </c>
      <c r="C1246">
        <v>765000</v>
      </c>
      <c r="D1246" t="s">
        <v>5242</v>
      </c>
      <c r="E1246" t="s">
        <v>5243</v>
      </c>
      <c r="F1246">
        <v>3</v>
      </c>
      <c r="I1246" t="str">
        <f>HYPERLINK("tel:+17142343012", "714-234-3012")</f>
        <v>714-234-3012</v>
      </c>
      <c r="J1246" t="s">
        <v>5244</v>
      </c>
      <c r="K1246" t="s">
        <v>158</v>
      </c>
      <c r="M1246">
        <v>7142343012</v>
      </c>
    </row>
    <row r="1247" spans="1:13" x14ac:dyDescent="0.25">
      <c r="A1247">
        <v>9841101564</v>
      </c>
      <c r="B1247" t="s">
        <v>5245</v>
      </c>
      <c r="C1247">
        <v>869900</v>
      </c>
      <c r="D1247" t="s">
        <v>5246</v>
      </c>
      <c r="E1247" t="s">
        <v>5247</v>
      </c>
      <c r="F1247">
        <v>3</v>
      </c>
      <c r="I1247" t="str">
        <f>HYPERLINK("tel:+17142349187", "714-234-9187")</f>
        <v>714-234-9187</v>
      </c>
      <c r="J1247" t="s">
        <v>5248</v>
      </c>
      <c r="K1247" t="s">
        <v>5249</v>
      </c>
      <c r="M1247">
        <v>7142349187</v>
      </c>
    </row>
    <row r="1248" spans="1:13" x14ac:dyDescent="0.25">
      <c r="A1248">
        <v>2624875867</v>
      </c>
      <c r="B1248" t="s">
        <v>5250</v>
      </c>
      <c r="C1248">
        <v>1375000</v>
      </c>
      <c r="D1248" t="s">
        <v>5251</v>
      </c>
      <c r="E1248" t="s">
        <v>5252</v>
      </c>
      <c r="F1248">
        <v>3</v>
      </c>
      <c r="I1248" t="str">
        <f>HYPERLINK("tel:+17142357828", "714-235-7828")</f>
        <v>714-235-7828</v>
      </c>
      <c r="J1248" t="s">
        <v>5253</v>
      </c>
      <c r="K1248" t="s">
        <v>5254</v>
      </c>
      <c r="M1248">
        <v>7142357828</v>
      </c>
    </row>
    <row r="1249" spans="1:13" x14ac:dyDescent="0.25">
      <c r="A1249">
        <v>1913712217</v>
      </c>
      <c r="B1249" t="s">
        <v>5255</v>
      </c>
      <c r="C1249">
        <v>1150000</v>
      </c>
      <c r="D1249" t="s">
        <v>5256</v>
      </c>
      <c r="E1249" t="s">
        <v>5257</v>
      </c>
      <c r="F1249">
        <v>3</v>
      </c>
      <c r="I1249" t="str">
        <f>HYPERLINK("tel:+17142485216", "714-248-5216")</f>
        <v>714-248-5216</v>
      </c>
      <c r="J1249" t="s">
        <v>5258</v>
      </c>
      <c r="K1249" t="s">
        <v>3154</v>
      </c>
      <c r="M1249">
        <v>7142485216</v>
      </c>
    </row>
    <row r="1250" spans="1:13" x14ac:dyDescent="0.25">
      <c r="A1250">
        <v>1697221210</v>
      </c>
      <c r="B1250" t="s">
        <v>5259</v>
      </c>
      <c r="C1250">
        <v>380000</v>
      </c>
      <c r="D1250" t="s">
        <v>5260</v>
      </c>
      <c r="E1250" t="s">
        <v>5261</v>
      </c>
      <c r="F1250">
        <v>3</v>
      </c>
      <c r="I1250" t="str">
        <f>HYPERLINK("tel:+17142722626", "714-272-2626")</f>
        <v>714-272-2626</v>
      </c>
      <c r="J1250" t="s">
        <v>5262</v>
      </c>
      <c r="K1250" t="s">
        <v>5263</v>
      </c>
      <c r="M1250">
        <v>7142722626</v>
      </c>
    </row>
    <row r="1251" spans="1:13" x14ac:dyDescent="0.25">
      <c r="A1251">
        <v>2635856908</v>
      </c>
      <c r="B1251" t="s">
        <v>5264</v>
      </c>
      <c r="C1251">
        <v>2395000</v>
      </c>
      <c r="D1251" t="s">
        <v>5265</v>
      </c>
      <c r="E1251" t="s">
        <v>5266</v>
      </c>
      <c r="F1251">
        <v>3</v>
      </c>
      <c r="I1251" t="str">
        <f>HYPERLINK("tel:+17142901331", "714-290-1331")</f>
        <v>714-290-1331</v>
      </c>
      <c r="J1251" t="s">
        <v>5267</v>
      </c>
      <c r="K1251" t="s">
        <v>5268</v>
      </c>
      <c r="M1251">
        <v>7142901331</v>
      </c>
    </row>
    <row r="1252" spans="1:13" x14ac:dyDescent="0.25">
      <c r="A1252">
        <v>1900349487</v>
      </c>
      <c r="B1252" t="s">
        <v>5269</v>
      </c>
      <c r="C1252">
        <v>490000</v>
      </c>
      <c r="D1252" t="s">
        <v>5270</v>
      </c>
      <c r="E1252" t="s">
        <v>5271</v>
      </c>
      <c r="F1252">
        <v>3</v>
      </c>
      <c r="I1252" t="str">
        <f>HYPERLINK("tel:+17142966430", "714-296-6430")</f>
        <v>714-296-6430</v>
      </c>
      <c r="J1252" t="s">
        <v>5272</v>
      </c>
      <c r="K1252" t="s">
        <v>707</v>
      </c>
      <c r="M1252">
        <v>7142966430</v>
      </c>
    </row>
    <row r="1253" spans="1:13" x14ac:dyDescent="0.25">
      <c r="A1253">
        <v>2646114305</v>
      </c>
      <c r="B1253" t="s">
        <v>5273</v>
      </c>
      <c r="C1253">
        <v>779000</v>
      </c>
      <c r="D1253" t="s">
        <v>5274</v>
      </c>
      <c r="E1253" t="s">
        <v>5275</v>
      </c>
      <c r="F1253">
        <v>3</v>
      </c>
      <c r="I1253" t="str">
        <f>HYPERLINK("tel:+17143097147", "714-309-7147")</f>
        <v>714-309-7147</v>
      </c>
      <c r="J1253" t="s">
        <v>5276</v>
      </c>
      <c r="K1253" t="s">
        <v>306</v>
      </c>
      <c r="M1253">
        <v>7143097147</v>
      </c>
    </row>
    <row r="1254" spans="1:13" x14ac:dyDescent="0.25">
      <c r="A1254">
        <v>9083482728</v>
      </c>
      <c r="B1254" t="s">
        <v>5277</v>
      </c>
      <c r="C1254">
        <v>794900</v>
      </c>
      <c r="D1254" t="s">
        <v>5278</v>
      </c>
      <c r="E1254" t="s">
        <v>5279</v>
      </c>
      <c r="F1254">
        <v>3</v>
      </c>
      <c r="I1254" t="str">
        <f>HYPERLINK("tel:+17143136773", "714-313-6773")</f>
        <v>714-313-6773</v>
      </c>
      <c r="J1254" t="s">
        <v>5280</v>
      </c>
      <c r="K1254" t="s">
        <v>3209</v>
      </c>
      <c r="M1254">
        <v>7143136773</v>
      </c>
    </row>
    <row r="1255" spans="1:13" x14ac:dyDescent="0.25">
      <c r="A1255">
        <v>2895123468</v>
      </c>
      <c r="B1255" t="s">
        <v>5281</v>
      </c>
      <c r="C1255">
        <v>65000</v>
      </c>
      <c r="D1255" t="s">
        <v>5282</v>
      </c>
      <c r="E1255" t="s">
        <v>5283</v>
      </c>
      <c r="F1255">
        <v>3</v>
      </c>
      <c r="I1255" t="str">
        <f>HYPERLINK("tel:+17143222199", "714-322-2199")</f>
        <v>714-322-2199</v>
      </c>
      <c r="J1255" t="s">
        <v>5284</v>
      </c>
      <c r="K1255" t="s">
        <v>263</v>
      </c>
      <c r="M1255">
        <v>7143222199</v>
      </c>
    </row>
    <row r="1256" spans="1:13" x14ac:dyDescent="0.25">
      <c r="A1256">
        <v>2390790813</v>
      </c>
      <c r="B1256" t="s">
        <v>5285</v>
      </c>
      <c r="C1256">
        <v>968000</v>
      </c>
      <c r="D1256" t="s">
        <v>5286</v>
      </c>
      <c r="E1256" t="s">
        <v>5287</v>
      </c>
      <c r="F1256">
        <v>3</v>
      </c>
      <c r="I1256" t="str">
        <f>HYPERLINK("tel:+17143228717", "714-322-8717")</f>
        <v>714-322-8717</v>
      </c>
      <c r="J1256" t="s">
        <v>5288</v>
      </c>
      <c r="K1256" t="s">
        <v>5289</v>
      </c>
      <c r="M1256">
        <v>7143228717</v>
      </c>
    </row>
    <row r="1257" spans="1:13" x14ac:dyDescent="0.25">
      <c r="A1257">
        <v>2948658823</v>
      </c>
      <c r="B1257" t="s">
        <v>5290</v>
      </c>
      <c r="C1257">
        <v>799000</v>
      </c>
      <c r="D1257" t="s">
        <v>5291</v>
      </c>
      <c r="E1257" t="s">
        <v>5292</v>
      </c>
      <c r="F1257">
        <v>3</v>
      </c>
      <c r="I1257" t="str">
        <f>HYPERLINK("tel:+17143233200", "714-323-3200")</f>
        <v>714-323-3200</v>
      </c>
      <c r="J1257" t="s">
        <v>5293</v>
      </c>
      <c r="K1257" t="s">
        <v>168</v>
      </c>
      <c r="M1257">
        <v>7143233200</v>
      </c>
    </row>
    <row r="1258" spans="1:13" x14ac:dyDescent="0.25">
      <c r="A1258">
        <v>2807077283</v>
      </c>
      <c r="B1258" t="s">
        <v>5294</v>
      </c>
      <c r="C1258">
        <v>1888000</v>
      </c>
      <c r="D1258" t="s">
        <v>5295</v>
      </c>
      <c r="E1258" t="s">
        <v>5296</v>
      </c>
      <c r="F1258">
        <v>3</v>
      </c>
      <c r="I1258" t="str">
        <f>HYPERLINK("tel:+17143236188", "714-323-6188")</f>
        <v>714-323-6188</v>
      </c>
      <c r="J1258" t="s">
        <v>5297</v>
      </c>
      <c r="K1258" t="s">
        <v>306</v>
      </c>
      <c r="M1258">
        <v>7143236188</v>
      </c>
    </row>
    <row r="1259" spans="1:13" x14ac:dyDescent="0.25">
      <c r="A1259">
        <v>1260822350</v>
      </c>
      <c r="B1259" t="s">
        <v>5298</v>
      </c>
      <c r="C1259">
        <v>879000</v>
      </c>
      <c r="D1259" t="s">
        <v>5299</v>
      </c>
      <c r="E1259" t="s">
        <v>5300</v>
      </c>
      <c r="F1259">
        <v>3</v>
      </c>
      <c r="I1259" t="str">
        <f>HYPERLINK("tel:+17143298376", "714-329-8376")</f>
        <v>714-329-8376</v>
      </c>
      <c r="J1259" t="s">
        <v>5301</v>
      </c>
      <c r="K1259" t="s">
        <v>1568</v>
      </c>
      <c r="M1259">
        <v>7143298376</v>
      </c>
    </row>
    <row r="1260" spans="1:13" x14ac:dyDescent="0.25">
      <c r="A1260">
        <v>2000047256</v>
      </c>
      <c r="B1260" t="s">
        <v>5302</v>
      </c>
      <c r="C1260">
        <v>675000</v>
      </c>
      <c r="D1260" t="s">
        <v>5303</v>
      </c>
      <c r="E1260" t="s">
        <v>5304</v>
      </c>
      <c r="F1260">
        <v>3</v>
      </c>
      <c r="I1260" t="str">
        <f>HYPERLINK("tel:+17143304051", "714-330-4051")</f>
        <v>714-330-4051</v>
      </c>
      <c r="J1260" t="s">
        <v>5305</v>
      </c>
      <c r="K1260" t="s">
        <v>3774</v>
      </c>
      <c r="M1260">
        <v>7143304051</v>
      </c>
    </row>
    <row r="1261" spans="1:13" x14ac:dyDescent="0.25">
      <c r="A1261">
        <v>9340970581</v>
      </c>
      <c r="B1261" t="s">
        <v>5306</v>
      </c>
      <c r="C1261">
        <v>891990</v>
      </c>
      <c r="D1261" t="s">
        <v>5307</v>
      </c>
      <c r="E1261" t="s">
        <v>5308</v>
      </c>
      <c r="F1261">
        <v>3</v>
      </c>
      <c r="I1261" t="str">
        <f>HYPERLINK("tel:+17143308069", "714-330-8069")</f>
        <v>714-330-8069</v>
      </c>
      <c r="J1261" t="s">
        <v>5309</v>
      </c>
      <c r="K1261" t="s">
        <v>5310</v>
      </c>
      <c r="M1261">
        <v>7143308069</v>
      </c>
    </row>
    <row r="1262" spans="1:13" x14ac:dyDescent="0.25">
      <c r="A1262">
        <v>1092119428</v>
      </c>
      <c r="B1262" t="s">
        <v>5311</v>
      </c>
      <c r="C1262">
        <v>1950000</v>
      </c>
      <c r="D1262" t="s">
        <v>5312</v>
      </c>
      <c r="E1262" t="s">
        <v>5313</v>
      </c>
      <c r="F1262">
        <v>3</v>
      </c>
      <c r="I1262" t="str">
        <f>HYPERLINK("tel:+17143356744", "714-335-6744")</f>
        <v>714-335-6744</v>
      </c>
      <c r="J1262" t="s">
        <v>5314</v>
      </c>
      <c r="K1262" t="s">
        <v>5315</v>
      </c>
      <c r="M1262">
        <v>7143356744</v>
      </c>
    </row>
    <row r="1263" spans="1:13" x14ac:dyDescent="0.25">
      <c r="A1263">
        <v>9930581753</v>
      </c>
      <c r="B1263" t="s">
        <v>5316</v>
      </c>
      <c r="C1263">
        <v>1750000</v>
      </c>
      <c r="D1263" t="s">
        <v>5317</v>
      </c>
      <c r="E1263" t="s">
        <v>5318</v>
      </c>
      <c r="F1263">
        <v>3</v>
      </c>
      <c r="I1263" t="str">
        <f>HYPERLINK("tel:+17143365234", "714-336-5234")</f>
        <v>714-336-5234</v>
      </c>
      <c r="J1263" t="s">
        <v>5319</v>
      </c>
      <c r="K1263" t="s">
        <v>122</v>
      </c>
      <c r="M1263">
        <v>7143365234</v>
      </c>
    </row>
    <row r="1264" spans="1:13" x14ac:dyDescent="0.25">
      <c r="A1264">
        <v>2232523638</v>
      </c>
      <c r="B1264" t="s">
        <v>5320</v>
      </c>
      <c r="C1264">
        <v>229900</v>
      </c>
      <c r="D1264" t="s">
        <v>5321</v>
      </c>
      <c r="E1264" t="s">
        <v>5322</v>
      </c>
      <c r="F1264">
        <v>3</v>
      </c>
      <c r="I1264" t="str">
        <f>HYPERLINK("tel:+17143378632", "714-337-8632")</f>
        <v>714-337-8632</v>
      </c>
      <c r="J1264" t="s">
        <v>5323</v>
      </c>
      <c r="K1264" t="s">
        <v>5324</v>
      </c>
      <c r="M1264">
        <v>7143378632</v>
      </c>
    </row>
    <row r="1265" spans="1:13" x14ac:dyDescent="0.25">
      <c r="A1265">
        <v>2379058064</v>
      </c>
      <c r="B1265" t="s">
        <v>5325</v>
      </c>
      <c r="C1265">
        <v>512000</v>
      </c>
      <c r="D1265" t="s">
        <v>5326</v>
      </c>
      <c r="E1265" t="s">
        <v>5327</v>
      </c>
      <c r="F1265">
        <v>3</v>
      </c>
      <c r="I1265" t="str">
        <f>HYPERLINK("tel:+17143439645", "714-343-9645")</f>
        <v>714-343-9645</v>
      </c>
      <c r="J1265" t="s">
        <v>5328</v>
      </c>
      <c r="K1265" t="s">
        <v>306</v>
      </c>
      <c r="M1265">
        <v>7143439645</v>
      </c>
    </row>
    <row r="1266" spans="1:13" x14ac:dyDescent="0.25">
      <c r="A1266">
        <v>2351427581</v>
      </c>
      <c r="B1266" t="s">
        <v>5329</v>
      </c>
      <c r="C1266">
        <v>2138800</v>
      </c>
      <c r="D1266" t="s">
        <v>5330</v>
      </c>
      <c r="E1266" t="s">
        <v>5331</v>
      </c>
      <c r="F1266">
        <v>3</v>
      </c>
      <c r="I1266" t="str">
        <f>HYPERLINK("tel:+17143480930", "714-348-0930")</f>
        <v>714-348-0930</v>
      </c>
      <c r="J1266" t="s">
        <v>5332</v>
      </c>
      <c r="K1266" t="s">
        <v>306</v>
      </c>
      <c r="M1266">
        <v>7143480930</v>
      </c>
    </row>
    <row r="1267" spans="1:13" x14ac:dyDescent="0.25">
      <c r="A1267">
        <v>1176896482</v>
      </c>
      <c r="B1267" t="s">
        <v>5333</v>
      </c>
      <c r="C1267">
        <v>1899880</v>
      </c>
      <c r="D1267" t="s">
        <v>5334</v>
      </c>
      <c r="E1267" t="s">
        <v>5335</v>
      </c>
      <c r="F1267">
        <v>3</v>
      </c>
      <c r="I1267" t="str">
        <f>HYPERLINK("tel:+17143481774", "714-348-1774")</f>
        <v>714-348-1774</v>
      </c>
      <c r="J1267" t="s">
        <v>5336</v>
      </c>
      <c r="K1267" t="s">
        <v>1169</v>
      </c>
      <c r="M1267">
        <v>7143481774</v>
      </c>
    </row>
    <row r="1268" spans="1:13" x14ac:dyDescent="0.25">
      <c r="A1268">
        <v>2639547001</v>
      </c>
      <c r="B1268" t="s">
        <v>5337</v>
      </c>
      <c r="C1268">
        <v>750000</v>
      </c>
      <c r="D1268" t="s">
        <v>5338</v>
      </c>
      <c r="E1268" t="s">
        <v>5339</v>
      </c>
      <c r="F1268">
        <v>3</v>
      </c>
      <c r="I1268" t="str">
        <f>HYPERLINK("tel:+17143491225", "714-349-1225")</f>
        <v>714-349-1225</v>
      </c>
      <c r="J1268" t="s">
        <v>5340</v>
      </c>
      <c r="K1268" t="s">
        <v>561</v>
      </c>
      <c r="M1268">
        <v>7143491225</v>
      </c>
    </row>
    <row r="1269" spans="1:13" x14ac:dyDescent="0.25">
      <c r="A1269">
        <v>2139736514</v>
      </c>
      <c r="B1269" t="s">
        <v>5341</v>
      </c>
      <c r="C1269">
        <v>139900</v>
      </c>
      <c r="D1269" t="s">
        <v>5342</v>
      </c>
      <c r="E1269" t="s">
        <v>5343</v>
      </c>
      <c r="F1269">
        <v>3</v>
      </c>
      <c r="I1269" t="str">
        <f>HYPERLINK("tel:+17143498016", "714-349-8016")</f>
        <v>714-349-8016</v>
      </c>
      <c r="J1269" t="s">
        <v>5344</v>
      </c>
      <c r="K1269" t="s">
        <v>2414</v>
      </c>
      <c r="M1269">
        <v>7143498016</v>
      </c>
    </row>
    <row r="1270" spans="1:13" x14ac:dyDescent="0.25">
      <c r="A1270">
        <v>2577903109</v>
      </c>
      <c r="B1270" t="s">
        <v>5345</v>
      </c>
      <c r="C1270">
        <v>1925000</v>
      </c>
      <c r="D1270" t="s">
        <v>5346</v>
      </c>
      <c r="E1270" t="s">
        <v>5347</v>
      </c>
      <c r="F1270">
        <v>3</v>
      </c>
      <c r="I1270" t="str">
        <f>HYPERLINK("tel:+17143621494", "714-362-1494")</f>
        <v>714-362-1494</v>
      </c>
      <c r="J1270" t="s">
        <v>5348</v>
      </c>
      <c r="K1270" t="s">
        <v>5349</v>
      </c>
      <c r="M1270">
        <v>7143621494</v>
      </c>
    </row>
    <row r="1271" spans="1:13" x14ac:dyDescent="0.25">
      <c r="A1271">
        <v>1745507600</v>
      </c>
      <c r="B1271" t="s">
        <v>5350</v>
      </c>
      <c r="C1271">
        <v>485000</v>
      </c>
      <c r="D1271" t="s">
        <v>5351</v>
      </c>
      <c r="E1271" t="s">
        <v>5352</v>
      </c>
      <c r="F1271">
        <v>3</v>
      </c>
      <c r="I1271" t="str">
        <f>HYPERLINK("tel:+17143763751", "714-376-3751")</f>
        <v>714-376-3751</v>
      </c>
      <c r="J1271" t="s">
        <v>5353</v>
      </c>
      <c r="K1271" t="s">
        <v>3188</v>
      </c>
      <c r="M1271">
        <v>7143763751</v>
      </c>
    </row>
    <row r="1272" spans="1:13" x14ac:dyDescent="0.25">
      <c r="A1272">
        <v>1575285672</v>
      </c>
      <c r="B1272" t="s">
        <v>5354</v>
      </c>
      <c r="C1272">
        <v>8995000</v>
      </c>
      <c r="D1272" t="s">
        <v>5355</v>
      </c>
      <c r="E1272" t="s">
        <v>5356</v>
      </c>
      <c r="F1272">
        <v>3</v>
      </c>
      <c r="I1272" t="str">
        <f>HYPERLINK("tel:+17143960185", "714-396-0185")</f>
        <v>714-396-0185</v>
      </c>
      <c r="J1272" t="s">
        <v>5357</v>
      </c>
      <c r="K1272" t="s">
        <v>617</v>
      </c>
      <c r="M1272">
        <v>7143960185</v>
      </c>
    </row>
    <row r="1273" spans="1:13" x14ac:dyDescent="0.25">
      <c r="A1273">
        <v>2120487359</v>
      </c>
      <c r="B1273" t="s">
        <v>5358</v>
      </c>
      <c r="C1273">
        <v>2250000</v>
      </c>
      <c r="D1273" t="s">
        <v>5359</v>
      </c>
      <c r="E1273" t="s">
        <v>5360</v>
      </c>
      <c r="F1273">
        <v>3</v>
      </c>
      <c r="I1273" t="str">
        <f>HYPERLINK("tel:+17143981998", "714-398-1998")</f>
        <v>714-398-1998</v>
      </c>
      <c r="J1273" t="s">
        <v>5361</v>
      </c>
      <c r="K1273" t="s">
        <v>450</v>
      </c>
      <c r="M1273">
        <v>7143981998</v>
      </c>
    </row>
    <row r="1274" spans="1:13" x14ac:dyDescent="0.25">
      <c r="A1274">
        <v>2858141071</v>
      </c>
      <c r="B1274" t="s">
        <v>5362</v>
      </c>
      <c r="C1274">
        <v>3795000</v>
      </c>
      <c r="D1274" t="s">
        <v>5363</v>
      </c>
      <c r="E1274" t="s">
        <v>5364</v>
      </c>
      <c r="F1274">
        <v>3</v>
      </c>
      <c r="I1274" t="str">
        <f>HYPERLINK("tel:+17144024212", "714-402-4212")</f>
        <v>714-402-4212</v>
      </c>
      <c r="J1274" t="s">
        <v>5365</v>
      </c>
      <c r="K1274" t="s">
        <v>744</v>
      </c>
      <c r="M1274">
        <v>7144024212</v>
      </c>
    </row>
    <row r="1275" spans="1:13" x14ac:dyDescent="0.25">
      <c r="A1275">
        <v>1841934863</v>
      </c>
      <c r="B1275" t="s">
        <v>5366</v>
      </c>
      <c r="C1275">
        <v>1250000</v>
      </c>
      <c r="D1275" t="s">
        <v>5367</v>
      </c>
      <c r="E1275" t="s">
        <v>5368</v>
      </c>
      <c r="F1275">
        <v>3</v>
      </c>
      <c r="I1275" t="str">
        <f>HYPERLINK("tel:+17144029155", "714-402-9155")</f>
        <v>714-402-9155</v>
      </c>
      <c r="J1275" t="s">
        <v>5369</v>
      </c>
      <c r="K1275" t="s">
        <v>3188</v>
      </c>
      <c r="M1275">
        <v>7144029155</v>
      </c>
    </row>
    <row r="1276" spans="1:13" x14ac:dyDescent="0.25">
      <c r="A1276">
        <v>9653702042</v>
      </c>
      <c r="B1276" t="s">
        <v>5370</v>
      </c>
      <c r="C1276">
        <v>1050000</v>
      </c>
      <c r="D1276" t="s">
        <v>5371</v>
      </c>
      <c r="E1276" t="s">
        <v>5372</v>
      </c>
      <c r="F1276">
        <v>3</v>
      </c>
      <c r="I1276" t="str">
        <f>HYPERLINK("tel:+17144046411", "714-404-6411")</f>
        <v>714-404-6411</v>
      </c>
      <c r="J1276" t="s">
        <v>5373</v>
      </c>
      <c r="K1276" t="s">
        <v>306</v>
      </c>
      <c r="M1276">
        <v>7144046411</v>
      </c>
    </row>
    <row r="1277" spans="1:13" x14ac:dyDescent="0.25">
      <c r="A1277">
        <v>1215618762</v>
      </c>
      <c r="B1277" t="s">
        <v>5374</v>
      </c>
      <c r="C1277">
        <v>850000</v>
      </c>
      <c r="D1277" t="s">
        <v>5375</v>
      </c>
      <c r="E1277" t="s">
        <v>5376</v>
      </c>
      <c r="F1277">
        <v>3</v>
      </c>
      <c r="I1277" t="str">
        <f>HYPERLINK("tel:+17144047077", "714-404-7077")</f>
        <v>714-404-7077</v>
      </c>
      <c r="J1277" t="s">
        <v>5377</v>
      </c>
      <c r="K1277" t="s">
        <v>4948</v>
      </c>
      <c r="M1277">
        <v>7144047077</v>
      </c>
    </row>
    <row r="1278" spans="1:13" x14ac:dyDescent="0.25">
      <c r="A1278">
        <v>2498218375</v>
      </c>
      <c r="B1278" t="s">
        <v>5378</v>
      </c>
      <c r="C1278">
        <v>588000</v>
      </c>
      <c r="D1278" t="s">
        <v>5379</v>
      </c>
      <c r="E1278" t="s">
        <v>5380</v>
      </c>
      <c r="F1278">
        <v>3</v>
      </c>
      <c r="I1278" t="str">
        <f>HYPERLINK("tel:+17144121982", "714-412-1982")</f>
        <v>714-412-1982</v>
      </c>
      <c r="J1278" t="s">
        <v>5381</v>
      </c>
      <c r="K1278" t="s">
        <v>5382</v>
      </c>
      <c r="M1278">
        <v>7144121982</v>
      </c>
    </row>
    <row r="1279" spans="1:13" x14ac:dyDescent="0.25">
      <c r="A1279">
        <v>1404431686</v>
      </c>
      <c r="B1279" t="s">
        <v>5383</v>
      </c>
      <c r="C1279">
        <v>196500</v>
      </c>
      <c r="D1279" t="s">
        <v>5384</v>
      </c>
      <c r="E1279" t="s">
        <v>5385</v>
      </c>
      <c r="F1279">
        <v>3</v>
      </c>
      <c r="I1279" t="str">
        <f>HYPERLINK("tel:+17144184104", "714-418-4104")</f>
        <v>714-418-4104</v>
      </c>
      <c r="J1279" t="s">
        <v>5386</v>
      </c>
      <c r="K1279" t="s">
        <v>5387</v>
      </c>
      <c r="M1279">
        <v>7144184104</v>
      </c>
    </row>
    <row r="1280" spans="1:13" x14ac:dyDescent="0.25">
      <c r="A1280">
        <v>2117331401</v>
      </c>
      <c r="B1280" t="s">
        <v>5388</v>
      </c>
      <c r="C1280">
        <v>4895000</v>
      </c>
      <c r="D1280" t="s">
        <v>5389</v>
      </c>
      <c r="E1280" t="s">
        <v>5390</v>
      </c>
      <c r="F1280">
        <v>3</v>
      </c>
      <c r="I1280" t="str">
        <f>HYPERLINK("tel:+17144186876", "714-418-6876")</f>
        <v>714-418-6876</v>
      </c>
      <c r="J1280" t="s">
        <v>5391</v>
      </c>
      <c r="K1280" t="s">
        <v>2129</v>
      </c>
      <c r="M1280">
        <v>7144186876</v>
      </c>
    </row>
    <row r="1281" spans="1:13" x14ac:dyDescent="0.25">
      <c r="A1281">
        <v>1306201079</v>
      </c>
      <c r="B1281" t="s">
        <v>5392</v>
      </c>
      <c r="C1281">
        <v>1699000</v>
      </c>
      <c r="D1281" t="s">
        <v>5393</v>
      </c>
      <c r="E1281" t="s">
        <v>5394</v>
      </c>
      <c r="F1281">
        <v>3</v>
      </c>
      <c r="I1281" t="str">
        <f>HYPERLINK("tel:+17144749105", "714-474-9105")</f>
        <v>714-474-9105</v>
      </c>
      <c r="J1281" t="s">
        <v>5395</v>
      </c>
      <c r="K1281" t="s">
        <v>5396</v>
      </c>
      <c r="M1281">
        <v>7144749105</v>
      </c>
    </row>
    <row r="1282" spans="1:13" x14ac:dyDescent="0.25">
      <c r="A1282">
        <v>2819392714</v>
      </c>
      <c r="B1282" t="s">
        <v>5397</v>
      </c>
      <c r="C1282">
        <v>1700000</v>
      </c>
      <c r="D1282" t="s">
        <v>5398</v>
      </c>
      <c r="E1282" t="s">
        <v>5399</v>
      </c>
      <c r="F1282">
        <v>3</v>
      </c>
      <c r="I1282" t="str">
        <f>HYPERLINK("tel:+17144766522", "714-476-6522")</f>
        <v>714-476-6522</v>
      </c>
      <c r="J1282" t="s">
        <v>5400</v>
      </c>
      <c r="K1282" t="s">
        <v>3188</v>
      </c>
      <c r="M1282">
        <v>7144766522</v>
      </c>
    </row>
    <row r="1283" spans="1:13" x14ac:dyDescent="0.25">
      <c r="A1283">
        <v>2507489554</v>
      </c>
      <c r="B1283" t="s">
        <v>3045</v>
      </c>
      <c r="C1283">
        <v>679000</v>
      </c>
      <c r="D1283" t="s">
        <v>3046</v>
      </c>
      <c r="E1283" t="s">
        <v>5401</v>
      </c>
      <c r="F1283">
        <v>3</v>
      </c>
      <c r="I1283" t="str">
        <f>HYPERLINK("tel:+17144781495", "714-478-1495")</f>
        <v>714-478-1495</v>
      </c>
      <c r="J1283" t="s">
        <v>5402</v>
      </c>
      <c r="K1283" t="s">
        <v>3049</v>
      </c>
      <c r="M1283">
        <v>7144781495</v>
      </c>
    </row>
    <row r="1284" spans="1:13" x14ac:dyDescent="0.25">
      <c r="A1284">
        <v>2624875867</v>
      </c>
      <c r="B1284" t="s">
        <v>5250</v>
      </c>
      <c r="C1284">
        <v>1375000</v>
      </c>
      <c r="D1284" t="s">
        <v>5251</v>
      </c>
      <c r="E1284" t="s">
        <v>5403</v>
      </c>
      <c r="F1284">
        <v>3</v>
      </c>
      <c r="I1284" t="str">
        <f>HYPERLINK("tel:+17144888824", "714-488-8824")</f>
        <v>714-488-8824</v>
      </c>
      <c r="J1284" t="s">
        <v>5404</v>
      </c>
      <c r="K1284" t="s">
        <v>5254</v>
      </c>
      <c r="M1284">
        <v>7144888824</v>
      </c>
    </row>
    <row r="1285" spans="1:13" x14ac:dyDescent="0.25">
      <c r="A1285">
        <v>2037145270</v>
      </c>
      <c r="B1285" t="s">
        <v>5405</v>
      </c>
      <c r="C1285">
        <v>1699000</v>
      </c>
      <c r="D1285" t="s">
        <v>5406</v>
      </c>
      <c r="E1285" t="s">
        <v>5407</v>
      </c>
      <c r="F1285">
        <v>3</v>
      </c>
      <c r="I1285" t="str">
        <f>HYPERLINK("tel:+17144889381", "714-488-9381")</f>
        <v>714-488-9381</v>
      </c>
      <c r="J1285" t="s">
        <v>5408</v>
      </c>
      <c r="K1285" t="s">
        <v>5409</v>
      </c>
      <c r="M1285">
        <v>7144889381</v>
      </c>
    </row>
    <row r="1286" spans="1:13" x14ac:dyDescent="0.25">
      <c r="A1286">
        <v>2241637990</v>
      </c>
      <c r="B1286" t="s">
        <v>5410</v>
      </c>
      <c r="C1286">
        <v>809000</v>
      </c>
      <c r="D1286" t="s">
        <v>5411</v>
      </c>
      <c r="E1286" t="s">
        <v>5412</v>
      </c>
      <c r="F1286">
        <v>3</v>
      </c>
      <c r="I1286" t="str">
        <f>HYPERLINK("tel:+17144966621", "714-496-6621")</f>
        <v>714-496-6621</v>
      </c>
      <c r="J1286" t="s">
        <v>5413</v>
      </c>
      <c r="K1286" t="s">
        <v>5414</v>
      </c>
      <c r="M1286">
        <v>7144966621</v>
      </c>
    </row>
    <row r="1287" spans="1:13" x14ac:dyDescent="0.25">
      <c r="A1287">
        <v>1322201284</v>
      </c>
      <c r="B1287" t="s">
        <v>5415</v>
      </c>
      <c r="C1287">
        <v>995000</v>
      </c>
      <c r="D1287" t="s">
        <v>5416</v>
      </c>
      <c r="E1287" t="s">
        <v>5417</v>
      </c>
      <c r="F1287">
        <v>3</v>
      </c>
      <c r="I1287" t="str">
        <f>HYPERLINK("tel:+17144978526", "714-497-8526")</f>
        <v>714-497-8526</v>
      </c>
      <c r="J1287" t="s">
        <v>5418</v>
      </c>
      <c r="K1287" t="s">
        <v>3646</v>
      </c>
      <c r="M1287">
        <v>7144978526</v>
      </c>
    </row>
    <row r="1288" spans="1:13" x14ac:dyDescent="0.25">
      <c r="A1288">
        <v>1001271542</v>
      </c>
      <c r="B1288" t="s">
        <v>5419</v>
      </c>
      <c r="C1288">
        <v>1699000</v>
      </c>
      <c r="D1288" t="s">
        <v>5420</v>
      </c>
      <c r="E1288" t="s">
        <v>5421</v>
      </c>
      <c r="F1288">
        <v>3</v>
      </c>
      <c r="I1288" t="str">
        <f>HYPERLINK("tel:+17145018420", "714-501-8420")</f>
        <v>714-501-8420</v>
      </c>
      <c r="J1288" t="s">
        <v>5422</v>
      </c>
      <c r="K1288" t="s">
        <v>5423</v>
      </c>
      <c r="M1288">
        <v>7145018420</v>
      </c>
    </row>
    <row r="1289" spans="1:13" x14ac:dyDescent="0.25">
      <c r="A1289">
        <v>1938068644</v>
      </c>
      <c r="B1289" t="s">
        <v>5424</v>
      </c>
      <c r="C1289">
        <v>799999</v>
      </c>
      <c r="D1289" t="s">
        <v>5425</v>
      </c>
      <c r="E1289" t="s">
        <v>5426</v>
      </c>
      <c r="F1289">
        <v>3</v>
      </c>
      <c r="I1289" t="str">
        <f>HYPERLINK("tel:+17145041077", "714-504-1077")</f>
        <v>714-504-1077</v>
      </c>
      <c r="J1289" t="s">
        <v>5427</v>
      </c>
      <c r="K1289" t="s">
        <v>5428</v>
      </c>
      <c r="M1289">
        <v>7145041077</v>
      </c>
    </row>
    <row r="1290" spans="1:13" x14ac:dyDescent="0.25">
      <c r="A1290">
        <v>2913301513</v>
      </c>
      <c r="B1290" t="s">
        <v>5429</v>
      </c>
      <c r="C1290">
        <v>950000</v>
      </c>
      <c r="D1290" t="s">
        <v>5430</v>
      </c>
      <c r="E1290" t="s">
        <v>5431</v>
      </c>
      <c r="F1290">
        <v>3</v>
      </c>
      <c r="I1290" t="str">
        <f>HYPERLINK("tel:+17145141121", "714-514-1121")</f>
        <v>714-514-1121</v>
      </c>
      <c r="J1290" t="s">
        <v>5432</v>
      </c>
      <c r="K1290" t="s">
        <v>306</v>
      </c>
      <c r="M1290">
        <v>7145141121</v>
      </c>
    </row>
    <row r="1291" spans="1:13" x14ac:dyDescent="0.25">
      <c r="A1291">
        <v>2154235017</v>
      </c>
      <c r="B1291" t="s">
        <v>5433</v>
      </c>
      <c r="C1291">
        <v>799000</v>
      </c>
      <c r="D1291" t="s">
        <v>5434</v>
      </c>
      <c r="E1291" t="s">
        <v>5435</v>
      </c>
      <c r="F1291">
        <v>3</v>
      </c>
      <c r="I1291" t="str">
        <f>HYPERLINK("tel:+17145521667", "714-552-1667")</f>
        <v>714-552-1667</v>
      </c>
      <c r="J1291" t="s">
        <v>5436</v>
      </c>
      <c r="K1291" t="s">
        <v>5437</v>
      </c>
      <c r="M1291">
        <v>7145521667</v>
      </c>
    </row>
    <row r="1292" spans="1:13" x14ac:dyDescent="0.25">
      <c r="A1292">
        <v>1727510046</v>
      </c>
      <c r="B1292" t="s">
        <v>5438</v>
      </c>
      <c r="C1292">
        <v>459000</v>
      </c>
      <c r="D1292" t="s">
        <v>5439</v>
      </c>
      <c r="E1292" t="s">
        <v>5440</v>
      </c>
      <c r="F1292">
        <v>3</v>
      </c>
      <c r="I1292" t="str">
        <f>HYPERLINK("tel:+17145952812", "714-595-2812")</f>
        <v>714-595-2812</v>
      </c>
      <c r="J1292" t="s">
        <v>5441</v>
      </c>
      <c r="K1292" t="s">
        <v>158</v>
      </c>
      <c r="M1292">
        <v>7145952812</v>
      </c>
    </row>
    <row r="1293" spans="1:13" x14ac:dyDescent="0.25">
      <c r="A1293">
        <v>9256093807</v>
      </c>
      <c r="B1293" t="s">
        <v>5442</v>
      </c>
      <c r="C1293">
        <v>3880000</v>
      </c>
      <c r="D1293" t="s">
        <v>5443</v>
      </c>
      <c r="E1293" t="s">
        <v>5444</v>
      </c>
      <c r="F1293">
        <v>3</v>
      </c>
      <c r="I1293" t="str">
        <f>HYPERLINK("tel:+17145953438", "714-595-3438")</f>
        <v>714-595-3438</v>
      </c>
      <c r="J1293" t="s">
        <v>5445</v>
      </c>
      <c r="K1293" t="s">
        <v>5446</v>
      </c>
      <c r="M1293">
        <v>7145953438</v>
      </c>
    </row>
    <row r="1294" spans="1:13" x14ac:dyDescent="0.25">
      <c r="A1294">
        <v>2802112415</v>
      </c>
      <c r="B1294" t="s">
        <v>5447</v>
      </c>
      <c r="C1294">
        <v>12700000</v>
      </c>
      <c r="D1294" t="s">
        <v>5448</v>
      </c>
      <c r="E1294" t="s">
        <v>5449</v>
      </c>
      <c r="F1294">
        <v>3</v>
      </c>
      <c r="I1294" t="str">
        <f>HYPERLINK("tel:+17146121386", "714-612-1386")</f>
        <v>714-612-1386</v>
      </c>
      <c r="J1294" t="s">
        <v>5450</v>
      </c>
      <c r="K1294" t="s">
        <v>617</v>
      </c>
      <c r="M1294">
        <v>7146121386</v>
      </c>
    </row>
    <row r="1295" spans="1:13" x14ac:dyDescent="0.25">
      <c r="A1295">
        <v>2530014631</v>
      </c>
      <c r="B1295" t="s">
        <v>5451</v>
      </c>
      <c r="C1295">
        <v>749900</v>
      </c>
      <c r="D1295" t="s">
        <v>5452</v>
      </c>
      <c r="E1295" t="s">
        <v>5453</v>
      </c>
      <c r="F1295">
        <v>3</v>
      </c>
      <c r="I1295" t="str">
        <f>HYPERLINK("tel:+17146313791", "714-631-3791")</f>
        <v>714-631-3791</v>
      </c>
      <c r="J1295" t="s">
        <v>5454</v>
      </c>
      <c r="K1295" t="s">
        <v>5455</v>
      </c>
      <c r="M1295">
        <v>7146313791</v>
      </c>
    </row>
    <row r="1296" spans="1:13" x14ac:dyDescent="0.25">
      <c r="A1296">
        <v>1819316758</v>
      </c>
      <c r="B1296" t="s">
        <v>5456</v>
      </c>
      <c r="C1296">
        <v>184900</v>
      </c>
      <c r="D1296" t="s">
        <v>5457</v>
      </c>
      <c r="E1296" t="s">
        <v>5458</v>
      </c>
      <c r="F1296">
        <v>3</v>
      </c>
      <c r="I1296" t="str">
        <f>HYPERLINK("tel:+17146505833", "714-650-5833")</f>
        <v>714-650-5833</v>
      </c>
      <c r="J1296" t="s">
        <v>5459</v>
      </c>
      <c r="K1296" t="s">
        <v>5460</v>
      </c>
      <c r="M1296">
        <v>7146505833</v>
      </c>
    </row>
    <row r="1297" spans="1:13" x14ac:dyDescent="0.25">
      <c r="A1297">
        <v>9786759847</v>
      </c>
      <c r="B1297" t="s">
        <v>5461</v>
      </c>
      <c r="C1297">
        <v>240000</v>
      </c>
      <c r="D1297" t="s">
        <v>5462</v>
      </c>
      <c r="E1297" t="s">
        <v>5463</v>
      </c>
      <c r="F1297">
        <v>3</v>
      </c>
      <c r="I1297" t="str">
        <f>HYPERLINK("tel:+17146556056", "714-655-6056")</f>
        <v>714-655-6056</v>
      </c>
      <c r="J1297" t="s">
        <v>5464</v>
      </c>
      <c r="K1297" t="s">
        <v>158</v>
      </c>
      <c r="M1297">
        <v>7146556056</v>
      </c>
    </row>
    <row r="1298" spans="1:13" x14ac:dyDescent="0.25">
      <c r="A1298">
        <v>1854065187</v>
      </c>
      <c r="B1298" t="s">
        <v>5465</v>
      </c>
      <c r="C1298">
        <v>549000</v>
      </c>
      <c r="D1298" t="s">
        <v>5466</v>
      </c>
      <c r="E1298" t="s">
        <v>5467</v>
      </c>
      <c r="F1298">
        <v>3</v>
      </c>
      <c r="I1298" t="str">
        <f>HYPERLINK("tel:+17146558108", "714-655-8108")</f>
        <v>714-655-8108</v>
      </c>
      <c r="J1298" t="s">
        <v>5468</v>
      </c>
      <c r="K1298" t="s">
        <v>5469</v>
      </c>
      <c r="M1298">
        <v>7146558108</v>
      </c>
    </row>
    <row r="1299" spans="1:13" x14ac:dyDescent="0.25">
      <c r="A1299">
        <v>2048354067</v>
      </c>
      <c r="B1299" t="s">
        <v>5470</v>
      </c>
      <c r="C1299">
        <v>1095900</v>
      </c>
      <c r="D1299" t="s">
        <v>5471</v>
      </c>
      <c r="E1299" t="s">
        <v>5472</v>
      </c>
      <c r="F1299">
        <v>3</v>
      </c>
      <c r="I1299" t="str">
        <f>HYPERLINK("tel:+17146985300", "714-698-5300")</f>
        <v>714-698-5300</v>
      </c>
      <c r="J1299" t="s">
        <v>5473</v>
      </c>
      <c r="K1299" t="s">
        <v>1238</v>
      </c>
      <c r="M1299">
        <v>7146985300</v>
      </c>
    </row>
    <row r="1300" spans="1:13" x14ac:dyDescent="0.25">
      <c r="A1300">
        <v>2958524085</v>
      </c>
      <c r="B1300" t="s">
        <v>5474</v>
      </c>
      <c r="C1300">
        <v>475000</v>
      </c>
      <c r="D1300" t="s">
        <v>5475</v>
      </c>
      <c r="E1300" t="s">
        <v>5476</v>
      </c>
      <c r="F1300">
        <v>3</v>
      </c>
      <c r="I1300" t="str">
        <f>HYPERLINK("tel:+17147096558", "714-709-6558")</f>
        <v>714-709-6558</v>
      </c>
      <c r="J1300" t="s">
        <v>5477</v>
      </c>
      <c r="K1300" t="s">
        <v>5478</v>
      </c>
      <c r="M1300">
        <v>7147096558</v>
      </c>
    </row>
    <row r="1301" spans="1:13" x14ac:dyDescent="0.25">
      <c r="A1301">
        <v>1819316758</v>
      </c>
      <c r="B1301" t="s">
        <v>5456</v>
      </c>
      <c r="C1301">
        <v>184900</v>
      </c>
      <c r="D1301" t="s">
        <v>5457</v>
      </c>
      <c r="E1301" t="s">
        <v>5479</v>
      </c>
      <c r="F1301">
        <v>3</v>
      </c>
      <c r="I1301" t="str">
        <f>HYPERLINK("tel:+17147156421", "714-715-6421")</f>
        <v>714-715-6421</v>
      </c>
      <c r="J1301" t="s">
        <v>5480</v>
      </c>
      <c r="K1301" t="s">
        <v>5460</v>
      </c>
      <c r="M1301">
        <v>7147156421</v>
      </c>
    </row>
    <row r="1302" spans="1:13" x14ac:dyDescent="0.25">
      <c r="A1302">
        <v>2254748601</v>
      </c>
      <c r="B1302" t="s">
        <v>5481</v>
      </c>
      <c r="C1302">
        <v>415000</v>
      </c>
      <c r="D1302" t="s">
        <v>5482</v>
      </c>
      <c r="E1302" t="s">
        <v>5483</v>
      </c>
      <c r="F1302">
        <v>3</v>
      </c>
      <c r="I1302" t="str">
        <f>HYPERLINK("tel:+17147157466", "714-715-7466")</f>
        <v>714-715-7466</v>
      </c>
      <c r="J1302" t="s">
        <v>5484</v>
      </c>
      <c r="K1302" t="s">
        <v>5485</v>
      </c>
      <c r="M1302">
        <v>7147157466</v>
      </c>
    </row>
    <row r="1303" spans="1:13" x14ac:dyDescent="0.25">
      <c r="A1303">
        <v>2588945201</v>
      </c>
      <c r="B1303" t="s">
        <v>5486</v>
      </c>
      <c r="C1303">
        <v>1375000</v>
      </c>
      <c r="D1303" t="s">
        <v>5487</v>
      </c>
      <c r="E1303" t="s">
        <v>5488</v>
      </c>
      <c r="F1303">
        <v>3</v>
      </c>
      <c r="I1303" t="str">
        <f>HYPERLINK("tel:+17147176408", "714-717-6408")</f>
        <v>714-717-6408</v>
      </c>
      <c r="J1303" t="s">
        <v>5489</v>
      </c>
      <c r="K1303" t="s">
        <v>5490</v>
      </c>
      <c r="M1303">
        <v>7147176408</v>
      </c>
    </row>
    <row r="1304" spans="1:13" x14ac:dyDescent="0.25">
      <c r="A1304">
        <v>2588945201</v>
      </c>
      <c r="B1304" t="s">
        <v>5486</v>
      </c>
      <c r="C1304">
        <v>1375000</v>
      </c>
      <c r="D1304" t="s">
        <v>5487</v>
      </c>
      <c r="E1304" t="s">
        <v>5491</v>
      </c>
      <c r="F1304">
        <v>3</v>
      </c>
      <c r="I1304" t="str">
        <f>HYPERLINK("tel:+17147176411", "714-717-6411")</f>
        <v>714-717-6411</v>
      </c>
      <c r="J1304" t="s">
        <v>5492</v>
      </c>
      <c r="K1304" t="s">
        <v>5490</v>
      </c>
      <c r="M1304">
        <v>7147176411</v>
      </c>
    </row>
    <row r="1305" spans="1:13" x14ac:dyDescent="0.25">
      <c r="A1305">
        <v>2639478734</v>
      </c>
      <c r="B1305" t="s">
        <v>5493</v>
      </c>
      <c r="C1305">
        <v>1875000</v>
      </c>
      <c r="D1305" t="s">
        <v>5494</v>
      </c>
      <c r="E1305" t="s">
        <v>5495</v>
      </c>
      <c r="F1305">
        <v>3</v>
      </c>
      <c r="I1305" t="str">
        <f>HYPERLINK("tel:+17147193017", "714-719-3017")</f>
        <v>714-719-3017</v>
      </c>
      <c r="J1305" t="s">
        <v>5496</v>
      </c>
      <c r="K1305" t="s">
        <v>5497</v>
      </c>
      <c r="M1305">
        <v>7147193017</v>
      </c>
    </row>
    <row r="1306" spans="1:13" x14ac:dyDescent="0.25">
      <c r="A1306">
        <v>1290585243</v>
      </c>
      <c r="B1306" t="s">
        <v>5498</v>
      </c>
      <c r="C1306">
        <v>1374900</v>
      </c>
      <c r="D1306" t="s">
        <v>5499</v>
      </c>
      <c r="E1306" t="s">
        <v>5500</v>
      </c>
      <c r="F1306">
        <v>3</v>
      </c>
      <c r="I1306" t="str">
        <f>HYPERLINK("tel:+17147202400", "714-720-2400")</f>
        <v>714-720-2400</v>
      </c>
      <c r="J1306" t="s">
        <v>5501</v>
      </c>
      <c r="K1306" t="s">
        <v>24</v>
      </c>
      <c r="M1306">
        <v>7147202400</v>
      </c>
    </row>
    <row r="1307" spans="1:13" x14ac:dyDescent="0.25">
      <c r="A1307">
        <v>2004454787</v>
      </c>
      <c r="B1307" t="s">
        <v>5502</v>
      </c>
      <c r="C1307">
        <v>1099000</v>
      </c>
      <c r="D1307" t="s">
        <v>5503</v>
      </c>
      <c r="E1307" t="s">
        <v>5504</v>
      </c>
      <c r="F1307">
        <v>3</v>
      </c>
      <c r="I1307" t="str">
        <f>HYPERLINK("tel:+17147252957", "714-725-2957")</f>
        <v>714-725-2957</v>
      </c>
      <c r="J1307" t="s">
        <v>5505</v>
      </c>
      <c r="K1307" t="s">
        <v>3255</v>
      </c>
      <c r="M1307">
        <v>7147252957</v>
      </c>
    </row>
    <row r="1308" spans="1:13" x14ac:dyDescent="0.25">
      <c r="A1308">
        <v>2948213038</v>
      </c>
      <c r="B1308" t="s">
        <v>5506</v>
      </c>
      <c r="C1308">
        <v>428000</v>
      </c>
      <c r="D1308" t="s">
        <v>5507</v>
      </c>
      <c r="E1308" t="s">
        <v>5508</v>
      </c>
      <c r="F1308">
        <v>3</v>
      </c>
      <c r="I1308" t="str">
        <f>HYPERLINK("tel:+17147280900", "714-728-0900")</f>
        <v>714-728-0900</v>
      </c>
      <c r="J1308" t="s">
        <v>5509</v>
      </c>
      <c r="K1308" t="s">
        <v>5510</v>
      </c>
      <c r="M1308">
        <v>7147280900</v>
      </c>
    </row>
    <row r="1309" spans="1:13" x14ac:dyDescent="0.25">
      <c r="A1309">
        <v>2091886466</v>
      </c>
      <c r="B1309" t="s">
        <v>5511</v>
      </c>
      <c r="C1309">
        <v>699000</v>
      </c>
      <c r="D1309" t="s">
        <v>5512</v>
      </c>
      <c r="E1309" t="s">
        <v>5513</v>
      </c>
      <c r="F1309">
        <v>3</v>
      </c>
      <c r="I1309" t="str">
        <f>HYPERLINK("tel:+17147445711", "714-744-5711")</f>
        <v>714-744-5711</v>
      </c>
      <c r="J1309" t="s">
        <v>5514</v>
      </c>
      <c r="K1309" t="s">
        <v>5515</v>
      </c>
      <c r="M1309">
        <v>7147445711</v>
      </c>
    </row>
    <row r="1310" spans="1:13" x14ac:dyDescent="0.25">
      <c r="A1310">
        <v>2737161300</v>
      </c>
      <c r="B1310" t="s">
        <v>5516</v>
      </c>
      <c r="C1310">
        <v>1995000</v>
      </c>
      <c r="D1310" t="s">
        <v>5517</v>
      </c>
      <c r="E1310" t="s">
        <v>5518</v>
      </c>
      <c r="F1310">
        <v>3</v>
      </c>
      <c r="I1310" t="str">
        <f>HYPERLINK("tel:+17147675524", "714-767-5524")</f>
        <v>714-767-5524</v>
      </c>
      <c r="J1310" t="s">
        <v>5519</v>
      </c>
      <c r="K1310" t="s">
        <v>3154</v>
      </c>
      <c r="M1310">
        <v>7147675524</v>
      </c>
    </row>
    <row r="1311" spans="1:13" x14ac:dyDescent="0.25">
      <c r="A1311">
        <v>1735064452</v>
      </c>
      <c r="B1311" t="s">
        <v>5520</v>
      </c>
      <c r="C1311">
        <v>1100000</v>
      </c>
      <c r="D1311" t="s">
        <v>5521</v>
      </c>
      <c r="E1311" t="s">
        <v>5522</v>
      </c>
      <c r="F1311">
        <v>3</v>
      </c>
      <c r="I1311" t="str">
        <f>HYPERLINK("tel:+17147883845", "714-788-3845")</f>
        <v>714-788-3845</v>
      </c>
      <c r="J1311" t="s">
        <v>5523</v>
      </c>
      <c r="K1311" t="s">
        <v>653</v>
      </c>
      <c r="M1311">
        <v>7147883845</v>
      </c>
    </row>
    <row r="1312" spans="1:13" x14ac:dyDescent="0.25">
      <c r="A1312">
        <v>9207815209</v>
      </c>
      <c r="B1312" t="s">
        <v>5524</v>
      </c>
      <c r="C1312">
        <v>3999900</v>
      </c>
      <c r="D1312" t="s">
        <v>5525</v>
      </c>
      <c r="E1312" t="s">
        <v>5526</v>
      </c>
      <c r="F1312">
        <v>3</v>
      </c>
      <c r="I1312" t="str">
        <f>HYPERLINK("tel:+17147990773", "714-799-0773")</f>
        <v>714-799-0773</v>
      </c>
      <c r="J1312" t="s">
        <v>5527</v>
      </c>
      <c r="K1312" t="s">
        <v>5528</v>
      </c>
      <c r="M1312">
        <v>7147990773</v>
      </c>
    </row>
    <row r="1313" spans="1:13" x14ac:dyDescent="0.25">
      <c r="A1313">
        <v>1413770002</v>
      </c>
      <c r="B1313" t="s">
        <v>5529</v>
      </c>
      <c r="C1313">
        <v>1150000</v>
      </c>
      <c r="D1313" t="s">
        <v>5530</v>
      </c>
      <c r="E1313" t="s">
        <v>5531</v>
      </c>
      <c r="F1313">
        <v>3</v>
      </c>
      <c r="I1313" t="str">
        <f>HYPERLINK("tel:+17148000969", "714-800-0969")</f>
        <v>714-800-0969</v>
      </c>
      <c r="J1313" t="s">
        <v>5532</v>
      </c>
      <c r="K1313" t="s">
        <v>5533</v>
      </c>
      <c r="M1313">
        <v>7148000969</v>
      </c>
    </row>
    <row r="1314" spans="1:13" x14ac:dyDescent="0.25">
      <c r="A1314">
        <v>9916739224</v>
      </c>
      <c r="B1314" t="s">
        <v>5534</v>
      </c>
      <c r="C1314">
        <v>449999</v>
      </c>
      <c r="D1314" t="s">
        <v>5535</v>
      </c>
      <c r="E1314" t="s">
        <v>5536</v>
      </c>
      <c r="F1314">
        <v>3</v>
      </c>
      <c r="I1314" t="str">
        <f>HYPERLINK("tel:+17148038361", "714-803-8361")</f>
        <v>714-803-8361</v>
      </c>
      <c r="J1314" t="s">
        <v>5537</v>
      </c>
      <c r="K1314" t="s">
        <v>561</v>
      </c>
      <c r="M1314">
        <v>7148038361</v>
      </c>
    </row>
    <row r="1315" spans="1:13" x14ac:dyDescent="0.25">
      <c r="A1315">
        <v>9895118552</v>
      </c>
      <c r="B1315" t="s">
        <v>5538</v>
      </c>
      <c r="C1315">
        <v>317000</v>
      </c>
      <c r="D1315" t="s">
        <v>5539</v>
      </c>
      <c r="E1315" t="s">
        <v>5540</v>
      </c>
      <c r="F1315">
        <v>3</v>
      </c>
      <c r="I1315" t="str">
        <f>HYPERLINK("tel:+17148156141", "714-815-6141")</f>
        <v>714-815-6141</v>
      </c>
      <c r="J1315" t="s">
        <v>5541</v>
      </c>
      <c r="K1315" t="s">
        <v>3188</v>
      </c>
      <c r="M1315">
        <v>7148156141</v>
      </c>
    </row>
    <row r="1316" spans="1:13" x14ac:dyDescent="0.25">
      <c r="A1316">
        <v>9440509962</v>
      </c>
      <c r="B1316" t="s">
        <v>5542</v>
      </c>
      <c r="C1316">
        <v>1125000</v>
      </c>
      <c r="D1316" t="s">
        <v>5543</v>
      </c>
      <c r="E1316" t="s">
        <v>5544</v>
      </c>
      <c r="F1316">
        <v>3</v>
      </c>
      <c r="I1316" t="str">
        <f>HYPERLINK("tel:+17148361968", "714-836-1968")</f>
        <v>714-836-1968</v>
      </c>
      <c r="J1316" t="s">
        <v>5545</v>
      </c>
      <c r="K1316" t="s">
        <v>5546</v>
      </c>
      <c r="M1316">
        <v>7148361968</v>
      </c>
    </row>
    <row r="1317" spans="1:13" x14ac:dyDescent="0.25">
      <c r="A1317">
        <v>2560194999</v>
      </c>
      <c r="B1317" t="s">
        <v>5547</v>
      </c>
      <c r="C1317">
        <v>340000</v>
      </c>
      <c r="D1317" t="s">
        <v>5548</v>
      </c>
      <c r="E1317" t="s">
        <v>5549</v>
      </c>
      <c r="F1317">
        <v>3</v>
      </c>
      <c r="I1317" t="str">
        <f>HYPERLINK("tel:+17148727533", "714-872-7533")</f>
        <v>714-872-7533</v>
      </c>
      <c r="J1317" t="s">
        <v>5550</v>
      </c>
      <c r="K1317" t="s">
        <v>450</v>
      </c>
      <c r="M1317">
        <v>7148727533</v>
      </c>
    </row>
    <row r="1318" spans="1:13" x14ac:dyDescent="0.25">
      <c r="A1318">
        <v>9578825706</v>
      </c>
      <c r="B1318" t="s">
        <v>5551</v>
      </c>
      <c r="C1318">
        <v>165000</v>
      </c>
      <c r="D1318" t="s">
        <v>5552</v>
      </c>
      <c r="E1318" t="s">
        <v>5553</v>
      </c>
      <c r="F1318">
        <v>3</v>
      </c>
      <c r="I1318" t="str">
        <f>HYPERLINK("tel:+17148901883", "714-890-1883")</f>
        <v>714-890-1883</v>
      </c>
      <c r="J1318" t="s">
        <v>5554</v>
      </c>
      <c r="K1318" t="s">
        <v>5555</v>
      </c>
      <c r="M1318">
        <v>7148901883</v>
      </c>
    </row>
    <row r="1319" spans="1:13" x14ac:dyDescent="0.25">
      <c r="A1319">
        <v>9475402958</v>
      </c>
      <c r="B1319" t="s">
        <v>5556</v>
      </c>
      <c r="C1319">
        <v>349000</v>
      </c>
      <c r="D1319" t="s">
        <v>5557</v>
      </c>
      <c r="E1319" t="s">
        <v>5558</v>
      </c>
      <c r="F1319">
        <v>3</v>
      </c>
      <c r="I1319" t="str">
        <f>HYPERLINK("tel:+17148981761", "714-898-1761")</f>
        <v>714-898-1761</v>
      </c>
      <c r="J1319" t="s">
        <v>5559</v>
      </c>
      <c r="K1319" t="s">
        <v>490</v>
      </c>
      <c r="M1319">
        <v>7148981761</v>
      </c>
    </row>
    <row r="1320" spans="1:13" x14ac:dyDescent="0.25">
      <c r="A1320">
        <v>2646114305</v>
      </c>
      <c r="B1320" t="s">
        <v>5273</v>
      </c>
      <c r="C1320">
        <v>779000</v>
      </c>
      <c r="D1320" t="s">
        <v>5274</v>
      </c>
      <c r="E1320" t="s">
        <v>5560</v>
      </c>
      <c r="F1320">
        <v>3</v>
      </c>
      <c r="I1320" t="str">
        <f>HYPERLINK("tel:+17149164430", "714-916-4430")</f>
        <v>714-916-4430</v>
      </c>
      <c r="J1320" t="s">
        <v>5561</v>
      </c>
      <c r="K1320" t="s">
        <v>306</v>
      </c>
      <c r="M1320">
        <v>7149164430</v>
      </c>
    </row>
    <row r="1321" spans="1:13" x14ac:dyDescent="0.25">
      <c r="A1321">
        <v>1206944325</v>
      </c>
      <c r="B1321" t="s">
        <v>5562</v>
      </c>
      <c r="C1321">
        <v>638000</v>
      </c>
      <c r="D1321" t="s">
        <v>5563</v>
      </c>
      <c r="E1321" t="s">
        <v>5564</v>
      </c>
      <c r="F1321">
        <v>3</v>
      </c>
      <c r="I1321" t="str">
        <f>HYPERLINK("tel:+17149265853", "714-926-5853")</f>
        <v>714-926-5853</v>
      </c>
      <c r="J1321" t="s">
        <v>5565</v>
      </c>
      <c r="K1321" t="s">
        <v>2078</v>
      </c>
      <c r="M1321">
        <v>7149265853</v>
      </c>
    </row>
    <row r="1322" spans="1:13" x14ac:dyDescent="0.25">
      <c r="A1322">
        <v>2450923247</v>
      </c>
      <c r="B1322" t="s">
        <v>5566</v>
      </c>
      <c r="C1322">
        <v>1249900</v>
      </c>
      <c r="D1322" t="s">
        <v>5567</v>
      </c>
      <c r="E1322" t="s">
        <v>5568</v>
      </c>
      <c r="F1322">
        <v>3</v>
      </c>
      <c r="I1322" t="str">
        <f>HYPERLINK("tel:+17149310724", "714-931-0724")</f>
        <v>714-931-0724</v>
      </c>
      <c r="J1322" t="s">
        <v>5569</v>
      </c>
      <c r="K1322" t="s">
        <v>3154</v>
      </c>
      <c r="M1322">
        <v>7149310724</v>
      </c>
    </row>
    <row r="1323" spans="1:13" x14ac:dyDescent="0.25">
      <c r="A1323">
        <v>1935487632</v>
      </c>
      <c r="B1323" t="s">
        <v>1855</v>
      </c>
      <c r="C1323">
        <v>3199000</v>
      </c>
      <c r="D1323" t="s">
        <v>1856</v>
      </c>
      <c r="E1323" t="s">
        <v>5570</v>
      </c>
      <c r="F1323">
        <v>3</v>
      </c>
      <c r="I1323" t="str">
        <f>HYPERLINK("tel:+17149313287", "714-931-3287")</f>
        <v>714-931-3287</v>
      </c>
      <c r="J1323" t="s">
        <v>5571</v>
      </c>
      <c r="K1323" t="s">
        <v>63</v>
      </c>
      <c r="M1323">
        <v>7149313287</v>
      </c>
    </row>
    <row r="1324" spans="1:13" x14ac:dyDescent="0.25">
      <c r="A1324">
        <v>2961839624</v>
      </c>
      <c r="B1324" t="s">
        <v>5572</v>
      </c>
      <c r="C1324">
        <v>499000</v>
      </c>
      <c r="D1324" t="s">
        <v>5573</v>
      </c>
      <c r="E1324" t="s">
        <v>5574</v>
      </c>
      <c r="F1324">
        <v>3</v>
      </c>
      <c r="I1324" t="str">
        <f>HYPERLINK("tel:+17149326174", "714-932-6174")</f>
        <v>714-932-6174</v>
      </c>
      <c r="J1324" t="s">
        <v>5575</v>
      </c>
      <c r="K1324" t="s">
        <v>5576</v>
      </c>
      <c r="M1324">
        <v>7149326174</v>
      </c>
    </row>
    <row r="1325" spans="1:13" x14ac:dyDescent="0.25">
      <c r="A1325">
        <v>9307916329</v>
      </c>
      <c r="B1325" t="s">
        <v>5577</v>
      </c>
      <c r="C1325">
        <v>289500</v>
      </c>
      <c r="D1325" t="s">
        <v>5578</v>
      </c>
      <c r="E1325" t="s">
        <v>5579</v>
      </c>
      <c r="F1325">
        <v>3</v>
      </c>
      <c r="I1325" t="str">
        <f>HYPERLINK("tel:+17149327727", "714-932-7727")</f>
        <v>714-932-7727</v>
      </c>
      <c r="J1325" t="s">
        <v>5580</v>
      </c>
      <c r="K1325" t="s">
        <v>3384</v>
      </c>
      <c r="M1325">
        <v>7149327727</v>
      </c>
    </row>
    <row r="1326" spans="1:13" x14ac:dyDescent="0.25">
      <c r="A1326">
        <v>1176996450</v>
      </c>
      <c r="B1326" t="s">
        <v>5581</v>
      </c>
      <c r="C1326">
        <v>795000</v>
      </c>
      <c r="D1326" t="s">
        <v>5582</v>
      </c>
      <c r="E1326" t="s">
        <v>5583</v>
      </c>
      <c r="F1326">
        <v>3</v>
      </c>
      <c r="I1326" t="str">
        <f>HYPERLINK("tel:+17149558617", "714-955-8617")</f>
        <v>714-955-8617</v>
      </c>
      <c r="J1326" t="s">
        <v>5584</v>
      </c>
      <c r="K1326" t="s">
        <v>5585</v>
      </c>
      <c r="M1326">
        <v>7149558617</v>
      </c>
    </row>
    <row r="1327" spans="1:13" x14ac:dyDescent="0.25">
      <c r="A1327">
        <v>1423260922</v>
      </c>
      <c r="B1327" t="s">
        <v>5586</v>
      </c>
      <c r="C1327">
        <v>614990</v>
      </c>
      <c r="D1327" t="s">
        <v>5587</v>
      </c>
      <c r="E1327" t="s">
        <v>5588</v>
      </c>
      <c r="F1327">
        <v>3</v>
      </c>
      <c r="I1327" t="str">
        <f>HYPERLINK("tel:+17149576677", "714-957-6677")</f>
        <v>714-957-6677</v>
      </c>
      <c r="J1327" t="s">
        <v>5589</v>
      </c>
      <c r="K1327" t="s">
        <v>4</v>
      </c>
      <c r="M1327">
        <v>7149576677</v>
      </c>
    </row>
    <row r="1328" spans="1:13" x14ac:dyDescent="0.25">
      <c r="A1328">
        <v>2317927672</v>
      </c>
      <c r="B1328" t="s">
        <v>5590</v>
      </c>
      <c r="C1328">
        <v>2050000</v>
      </c>
      <c r="D1328" t="s">
        <v>5591</v>
      </c>
      <c r="E1328" t="s">
        <v>5592</v>
      </c>
      <c r="F1328">
        <v>3</v>
      </c>
      <c r="I1328" t="str">
        <f>HYPERLINK("tel:+17149602449", "714-960-2449")</f>
        <v>714-960-2449</v>
      </c>
      <c r="J1328" t="s">
        <v>5593</v>
      </c>
      <c r="K1328" t="s">
        <v>5594</v>
      </c>
      <c r="M1328">
        <v>7149602449</v>
      </c>
    </row>
    <row r="1329" spans="1:13" x14ac:dyDescent="0.25">
      <c r="A1329">
        <v>2330116784</v>
      </c>
      <c r="B1329" t="s">
        <v>5595</v>
      </c>
      <c r="C1329">
        <v>515000</v>
      </c>
      <c r="D1329" t="s">
        <v>5596</v>
      </c>
      <c r="E1329" t="s">
        <v>5597</v>
      </c>
      <c r="F1329">
        <v>3</v>
      </c>
      <c r="I1329" t="str">
        <f>HYPERLINK("tel:+17149821707", "714-982-1707")</f>
        <v>714-982-1707</v>
      </c>
      <c r="J1329" t="s">
        <v>5598</v>
      </c>
      <c r="K1329" t="s">
        <v>450</v>
      </c>
      <c r="M1329">
        <v>7149821707</v>
      </c>
    </row>
    <row r="1330" spans="1:13" x14ac:dyDescent="0.25">
      <c r="A1330">
        <v>9630631140</v>
      </c>
      <c r="B1330" t="s">
        <v>2927</v>
      </c>
      <c r="C1330">
        <v>645000</v>
      </c>
      <c r="D1330" t="s">
        <v>2928</v>
      </c>
      <c r="E1330" t="s">
        <v>5599</v>
      </c>
      <c r="F1330">
        <v>3</v>
      </c>
      <c r="I1330" t="str">
        <f>HYPERLINK("tel:+17149900770", "714-990-0770")</f>
        <v>714-990-0770</v>
      </c>
      <c r="J1330" t="s">
        <v>5600</v>
      </c>
      <c r="K1330" t="s">
        <v>5601</v>
      </c>
      <c r="M1330">
        <v>7149900770</v>
      </c>
    </row>
    <row r="1331" spans="1:13" x14ac:dyDescent="0.25">
      <c r="A1331">
        <v>2274707402</v>
      </c>
      <c r="B1331" t="s">
        <v>5602</v>
      </c>
      <c r="C1331">
        <v>3200000</v>
      </c>
      <c r="D1331" t="s">
        <v>5603</v>
      </c>
      <c r="E1331" t="s">
        <v>5604</v>
      </c>
      <c r="F1331">
        <v>3</v>
      </c>
      <c r="I1331" t="str">
        <f>HYPERLINK("tel:+17149954432", "714-995-4432")</f>
        <v>714-995-4432</v>
      </c>
      <c r="J1331" t="s">
        <v>5605</v>
      </c>
      <c r="K1331" t="s">
        <v>5606</v>
      </c>
      <c r="M1331">
        <v>7149954432</v>
      </c>
    </row>
    <row r="1332" spans="1:13" x14ac:dyDescent="0.25">
      <c r="A1332">
        <v>9934711269</v>
      </c>
      <c r="B1332" t="s">
        <v>3118</v>
      </c>
      <c r="C1332">
        <v>649000</v>
      </c>
      <c r="D1332" t="s">
        <v>3119</v>
      </c>
      <c r="E1332" t="s">
        <v>5607</v>
      </c>
      <c r="F1332">
        <v>3</v>
      </c>
      <c r="I1332" t="str">
        <f>HYPERLINK("tel:+13107218584", "310-721-8584")</f>
        <v>310-721-8584</v>
      </c>
      <c r="J1332" t="s">
        <v>5608</v>
      </c>
      <c r="K1332" t="s">
        <v>24</v>
      </c>
      <c r="M1332">
        <v>7182882385</v>
      </c>
    </row>
    <row r="1333" spans="1:13" x14ac:dyDescent="0.25">
      <c r="A1333">
        <v>2481124863</v>
      </c>
      <c r="B1333" t="s">
        <v>5609</v>
      </c>
      <c r="C1333">
        <v>2495000</v>
      </c>
      <c r="D1333" t="s">
        <v>5610</v>
      </c>
      <c r="E1333" t="s">
        <v>5611</v>
      </c>
      <c r="F1333">
        <v>3</v>
      </c>
      <c r="I1333" t="str">
        <f>HYPERLINK("tel:+17192484825", "719-248-4825")</f>
        <v>719-248-4825</v>
      </c>
      <c r="J1333" t="s">
        <v>5612</v>
      </c>
      <c r="K1333" t="s">
        <v>24</v>
      </c>
      <c r="M1333">
        <v>7192484825</v>
      </c>
    </row>
    <row r="1334" spans="1:13" x14ac:dyDescent="0.25">
      <c r="A1334">
        <v>2304539477</v>
      </c>
      <c r="B1334" t="s">
        <v>5613</v>
      </c>
      <c r="C1334">
        <v>1099000</v>
      </c>
      <c r="D1334" t="s">
        <v>5614</v>
      </c>
      <c r="E1334" t="s">
        <v>5615</v>
      </c>
      <c r="F1334">
        <v>3</v>
      </c>
      <c r="I1334" t="str">
        <f>HYPERLINK("tel:+17472586505", "747-258-6505")</f>
        <v>747-258-6505</v>
      </c>
      <c r="J1334" t="s">
        <v>5616</v>
      </c>
      <c r="K1334" t="s">
        <v>729</v>
      </c>
      <c r="M1334">
        <v>7472586505</v>
      </c>
    </row>
    <row r="1335" spans="1:13" x14ac:dyDescent="0.25">
      <c r="A1335">
        <v>1542947241</v>
      </c>
      <c r="B1335" t="s">
        <v>5617</v>
      </c>
      <c r="C1335">
        <v>768000</v>
      </c>
      <c r="D1335" t="s">
        <v>5618</v>
      </c>
      <c r="E1335" t="s">
        <v>5619</v>
      </c>
      <c r="F1335">
        <v>3</v>
      </c>
      <c r="I1335" t="str">
        <f>HYPERLINK("tel:+17473065411", "747-306-5411")</f>
        <v>747-306-5411</v>
      </c>
      <c r="J1335" t="s">
        <v>5620</v>
      </c>
      <c r="K1335" t="s">
        <v>1581</v>
      </c>
      <c r="M1335">
        <v>7473065411</v>
      </c>
    </row>
    <row r="1336" spans="1:13" x14ac:dyDescent="0.25">
      <c r="A1336">
        <v>2559793268</v>
      </c>
      <c r="B1336" t="s">
        <v>5621</v>
      </c>
      <c r="C1336">
        <v>2198000</v>
      </c>
      <c r="D1336" t="s">
        <v>5622</v>
      </c>
      <c r="E1336" t="s">
        <v>5623</v>
      </c>
      <c r="F1336">
        <v>3</v>
      </c>
      <c r="I1336" t="str">
        <f>HYPERLINK("tel:+17602190915", "760-219-0915")</f>
        <v>760-219-0915</v>
      </c>
      <c r="J1336" t="s">
        <v>5624</v>
      </c>
      <c r="K1336" t="s">
        <v>5625</v>
      </c>
      <c r="M1336">
        <v>7602190915</v>
      </c>
    </row>
    <row r="1337" spans="1:13" x14ac:dyDescent="0.25">
      <c r="A1337">
        <v>9640930121</v>
      </c>
      <c r="B1337" t="s">
        <v>5626</v>
      </c>
      <c r="C1337">
        <v>175000</v>
      </c>
      <c r="D1337" t="s">
        <v>5627</v>
      </c>
      <c r="E1337" t="s">
        <v>5628</v>
      </c>
      <c r="F1337">
        <v>3</v>
      </c>
      <c r="I1337" t="str">
        <f>HYPERLINK("tel:+18004219323", "800-421-9323")</f>
        <v>800-421-9323</v>
      </c>
      <c r="J1337" t="s">
        <v>5629</v>
      </c>
      <c r="K1337" t="s">
        <v>5630</v>
      </c>
      <c r="M1337">
        <v>8004219323</v>
      </c>
    </row>
    <row r="1338" spans="1:13" x14ac:dyDescent="0.25">
      <c r="A1338">
        <v>1545113037</v>
      </c>
      <c r="B1338" t="s">
        <v>5631</v>
      </c>
      <c r="C1338">
        <v>1895000</v>
      </c>
      <c r="D1338" t="s">
        <v>5632</v>
      </c>
      <c r="E1338" t="s">
        <v>5633</v>
      </c>
      <c r="F1338">
        <v>3</v>
      </c>
      <c r="I1338" t="str">
        <f>HYPERLINK("tel:+18009955879", "800-995-5879")</f>
        <v>800-995-5879</v>
      </c>
      <c r="J1338" t="s">
        <v>5634</v>
      </c>
      <c r="K1338" t="s">
        <v>5635</v>
      </c>
      <c r="M1338">
        <v>8009955879</v>
      </c>
    </row>
    <row r="1339" spans="1:13" x14ac:dyDescent="0.25">
      <c r="A1339">
        <v>1833125762</v>
      </c>
      <c r="B1339" t="s">
        <v>5636</v>
      </c>
      <c r="C1339">
        <v>849500</v>
      </c>
      <c r="D1339" t="s">
        <v>5637</v>
      </c>
      <c r="E1339" t="s">
        <v>5638</v>
      </c>
      <c r="F1339">
        <v>3</v>
      </c>
      <c r="I1339" t="str">
        <f>HYPERLINK("tel:+18055297028", "805-529-7028")</f>
        <v>805-529-7028</v>
      </c>
      <c r="J1339" t="s">
        <v>5639</v>
      </c>
      <c r="K1339" t="s">
        <v>5640</v>
      </c>
      <c r="M1339">
        <v>8055297028</v>
      </c>
    </row>
    <row r="1340" spans="1:13" x14ac:dyDescent="0.25">
      <c r="A1340">
        <v>9600468123</v>
      </c>
      <c r="B1340" t="s">
        <v>5641</v>
      </c>
      <c r="C1340">
        <v>2700000</v>
      </c>
      <c r="D1340" t="s">
        <v>5642</v>
      </c>
      <c r="E1340" t="s">
        <v>5643</v>
      </c>
      <c r="F1340">
        <v>3</v>
      </c>
      <c r="I1340" t="str">
        <f>HYPERLINK("tel:+18056303894", "805-630-3894")</f>
        <v>805-630-3894</v>
      </c>
      <c r="J1340" t="s">
        <v>5644</v>
      </c>
      <c r="K1340" t="s">
        <v>351</v>
      </c>
      <c r="M1340">
        <v>8056303894</v>
      </c>
    </row>
    <row r="1341" spans="1:13" x14ac:dyDescent="0.25">
      <c r="A1341">
        <v>9549704822</v>
      </c>
      <c r="B1341" t="s">
        <v>1750</v>
      </c>
      <c r="C1341">
        <v>2350000</v>
      </c>
      <c r="D1341" t="s">
        <v>1751</v>
      </c>
      <c r="E1341" t="s">
        <v>5645</v>
      </c>
      <c r="F1341">
        <v>3</v>
      </c>
      <c r="I1341" t="str">
        <f>HYPERLINK("tel:+18083496414", "808-349-6414")</f>
        <v>808-349-6414</v>
      </c>
      <c r="J1341" t="s">
        <v>5646</v>
      </c>
      <c r="K1341" t="s">
        <v>2910</v>
      </c>
      <c r="M1341">
        <v>8083496414</v>
      </c>
    </row>
    <row r="1342" spans="1:13" x14ac:dyDescent="0.25">
      <c r="A1342">
        <v>9054388624</v>
      </c>
      <c r="B1342" t="s">
        <v>5647</v>
      </c>
      <c r="C1342">
        <v>120000</v>
      </c>
      <c r="D1342" t="s">
        <v>5648</v>
      </c>
      <c r="E1342" t="s">
        <v>5649</v>
      </c>
      <c r="F1342">
        <v>3</v>
      </c>
      <c r="I1342" t="str">
        <f>HYPERLINK("tel:+18182014046", "818-201-4046")</f>
        <v>818-201-4046</v>
      </c>
      <c r="J1342" t="s">
        <v>5650</v>
      </c>
      <c r="K1342" t="s">
        <v>34</v>
      </c>
      <c r="M1342">
        <v>8182014046</v>
      </c>
    </row>
    <row r="1343" spans="1:13" x14ac:dyDescent="0.25">
      <c r="A1343">
        <v>1445791076</v>
      </c>
      <c r="B1343" t="s">
        <v>5651</v>
      </c>
      <c r="C1343">
        <v>1149000</v>
      </c>
      <c r="D1343" t="s">
        <v>5652</v>
      </c>
      <c r="E1343" t="s">
        <v>5653</v>
      </c>
      <c r="F1343">
        <v>3</v>
      </c>
      <c r="I1343" t="str">
        <f>HYPERLINK("tel:+18182039394", "818-203-9394")</f>
        <v>818-203-9394</v>
      </c>
      <c r="J1343" t="s">
        <v>5654</v>
      </c>
      <c r="K1343" t="s">
        <v>5655</v>
      </c>
      <c r="M1343">
        <v>8182039394</v>
      </c>
    </row>
    <row r="1344" spans="1:13" x14ac:dyDescent="0.25">
      <c r="A1344">
        <v>2347444408</v>
      </c>
      <c r="B1344" t="s">
        <v>5656</v>
      </c>
      <c r="C1344">
        <v>1065000</v>
      </c>
      <c r="D1344" t="s">
        <v>5657</v>
      </c>
      <c r="E1344" t="s">
        <v>5658</v>
      </c>
      <c r="F1344">
        <v>3</v>
      </c>
      <c r="I1344" t="str">
        <f>HYPERLINK("tel:+18182098323", "818-209-8323")</f>
        <v>818-209-8323</v>
      </c>
      <c r="J1344" t="s">
        <v>5659</v>
      </c>
      <c r="K1344" t="s">
        <v>5660</v>
      </c>
      <c r="M1344">
        <v>8182098323</v>
      </c>
    </row>
    <row r="1345" spans="1:13" x14ac:dyDescent="0.25">
      <c r="A1345">
        <v>1886137529</v>
      </c>
      <c r="B1345" t="s">
        <v>5661</v>
      </c>
      <c r="C1345">
        <v>4700000</v>
      </c>
      <c r="D1345" t="s">
        <v>5662</v>
      </c>
      <c r="E1345" t="s">
        <v>5663</v>
      </c>
      <c r="F1345">
        <v>3</v>
      </c>
      <c r="I1345" t="str">
        <f>HYPERLINK("tel:+18182129863", "818-212-9863")</f>
        <v>818-212-9863</v>
      </c>
      <c r="J1345" t="s">
        <v>5664</v>
      </c>
      <c r="K1345" t="s">
        <v>63</v>
      </c>
      <c r="M1345">
        <v>8182129863</v>
      </c>
    </row>
    <row r="1346" spans="1:13" x14ac:dyDescent="0.25">
      <c r="A1346">
        <v>2296629406</v>
      </c>
      <c r="B1346" t="s">
        <v>5665</v>
      </c>
      <c r="C1346">
        <v>988888</v>
      </c>
      <c r="D1346" t="s">
        <v>5666</v>
      </c>
      <c r="E1346" t="s">
        <v>5667</v>
      </c>
      <c r="F1346">
        <v>3</v>
      </c>
      <c r="I1346" t="str">
        <f>HYPERLINK("tel:+18182129865", "818-212-9865")</f>
        <v>818-212-9865</v>
      </c>
      <c r="J1346" t="s">
        <v>5668</v>
      </c>
      <c r="K1346" t="s">
        <v>678</v>
      </c>
      <c r="M1346">
        <v>8182129865</v>
      </c>
    </row>
    <row r="1347" spans="1:13" x14ac:dyDescent="0.25">
      <c r="A1347">
        <v>1445791076</v>
      </c>
      <c r="B1347" t="s">
        <v>5651</v>
      </c>
      <c r="C1347">
        <v>1149000</v>
      </c>
      <c r="D1347" t="s">
        <v>5652</v>
      </c>
      <c r="E1347" t="s">
        <v>5669</v>
      </c>
      <c r="F1347">
        <v>3</v>
      </c>
      <c r="I1347" t="str">
        <f>HYPERLINK("tel:+18182175680", "818-217-5680")</f>
        <v>818-217-5680</v>
      </c>
      <c r="J1347" t="s">
        <v>5670</v>
      </c>
      <c r="K1347" t="s">
        <v>5655</v>
      </c>
      <c r="M1347">
        <v>8182175680</v>
      </c>
    </row>
    <row r="1348" spans="1:13" x14ac:dyDescent="0.25">
      <c r="A1348">
        <v>2935650043</v>
      </c>
      <c r="B1348" t="s">
        <v>5671</v>
      </c>
      <c r="C1348">
        <v>1995000</v>
      </c>
      <c r="D1348" t="s">
        <v>5672</v>
      </c>
      <c r="E1348" t="s">
        <v>5673</v>
      </c>
      <c r="F1348">
        <v>3</v>
      </c>
      <c r="I1348" t="str">
        <f>HYPERLINK("tel:+18182445151", "818-244-5151")</f>
        <v>818-244-5151</v>
      </c>
      <c r="J1348" t="s">
        <v>5674</v>
      </c>
      <c r="K1348" t="s">
        <v>5675</v>
      </c>
      <c r="M1348">
        <v>8182445151</v>
      </c>
    </row>
    <row r="1349" spans="1:13" x14ac:dyDescent="0.25">
      <c r="A1349">
        <v>1388207675</v>
      </c>
      <c r="B1349" t="s">
        <v>5676</v>
      </c>
      <c r="C1349">
        <v>1695000</v>
      </c>
      <c r="D1349" t="s">
        <v>5677</v>
      </c>
      <c r="E1349" t="s">
        <v>5678</v>
      </c>
      <c r="F1349">
        <v>3</v>
      </c>
      <c r="I1349" t="str">
        <f>HYPERLINK("tel:+18182612983", "818-261-2983")</f>
        <v>818-261-2983</v>
      </c>
      <c r="J1349" t="s">
        <v>5679</v>
      </c>
      <c r="K1349" t="s">
        <v>168</v>
      </c>
      <c r="M1349">
        <v>8182612983</v>
      </c>
    </row>
    <row r="1350" spans="1:13" x14ac:dyDescent="0.25">
      <c r="A1350">
        <v>2319752663</v>
      </c>
      <c r="B1350" t="s">
        <v>5680</v>
      </c>
      <c r="C1350">
        <v>860000</v>
      </c>
      <c r="D1350" t="s">
        <v>5681</v>
      </c>
      <c r="E1350" t="s">
        <v>5682</v>
      </c>
      <c r="F1350">
        <v>3</v>
      </c>
      <c r="I1350" t="str">
        <f>HYPERLINK("tel:+18182613400", "818-261-3400")</f>
        <v>818-261-3400</v>
      </c>
      <c r="J1350" t="s">
        <v>5683</v>
      </c>
      <c r="K1350" t="s">
        <v>5655</v>
      </c>
      <c r="M1350">
        <v>8182613400</v>
      </c>
    </row>
    <row r="1351" spans="1:13" x14ac:dyDescent="0.25">
      <c r="A1351">
        <v>2530681046</v>
      </c>
      <c r="B1351" t="s">
        <v>5225</v>
      </c>
      <c r="C1351">
        <v>1729000</v>
      </c>
      <c r="D1351" t="s">
        <v>5226</v>
      </c>
      <c r="E1351" t="s">
        <v>5684</v>
      </c>
      <c r="F1351">
        <v>3</v>
      </c>
      <c r="I1351" t="str">
        <f>HYPERLINK("tel:+18182625625", "818-262-5625")</f>
        <v>818-262-5625</v>
      </c>
      <c r="J1351" t="s">
        <v>5685</v>
      </c>
      <c r="K1351" t="s">
        <v>117</v>
      </c>
      <c r="M1351">
        <v>8182625625</v>
      </c>
    </row>
    <row r="1352" spans="1:13" x14ac:dyDescent="0.25">
      <c r="A1352">
        <v>1191816158</v>
      </c>
      <c r="B1352" t="s">
        <v>5686</v>
      </c>
      <c r="C1352">
        <v>5975000</v>
      </c>
      <c r="D1352" t="s">
        <v>5687</v>
      </c>
      <c r="E1352" t="s">
        <v>5688</v>
      </c>
      <c r="F1352">
        <v>3</v>
      </c>
      <c r="I1352" t="str">
        <f>HYPERLINK("tel:+18182664300", "818-266-4300")</f>
        <v>818-266-4300</v>
      </c>
      <c r="J1352" t="s">
        <v>5689</v>
      </c>
      <c r="K1352" t="s">
        <v>470</v>
      </c>
      <c r="M1352">
        <v>8182664300</v>
      </c>
    </row>
    <row r="1353" spans="1:13" x14ac:dyDescent="0.25">
      <c r="A1353">
        <v>1399496107</v>
      </c>
      <c r="B1353" t="s">
        <v>5690</v>
      </c>
      <c r="C1353">
        <v>1624000</v>
      </c>
      <c r="D1353" t="s">
        <v>5691</v>
      </c>
      <c r="E1353" t="s">
        <v>5692</v>
      </c>
      <c r="F1353">
        <v>3</v>
      </c>
      <c r="I1353" t="str">
        <f>HYPERLINK("tel:+18182669599", "818-266-9599")</f>
        <v>818-266-9599</v>
      </c>
      <c r="J1353" t="s">
        <v>5693</v>
      </c>
      <c r="K1353" t="s">
        <v>34</v>
      </c>
      <c r="M1353">
        <v>8182669599</v>
      </c>
    </row>
    <row r="1354" spans="1:13" x14ac:dyDescent="0.25">
      <c r="A1354">
        <v>9907801392</v>
      </c>
      <c r="B1354" t="s">
        <v>5694</v>
      </c>
      <c r="C1354">
        <v>3285000</v>
      </c>
      <c r="D1354" t="s">
        <v>5695</v>
      </c>
      <c r="E1354" t="s">
        <v>5696</v>
      </c>
      <c r="F1354">
        <v>3</v>
      </c>
      <c r="I1354" t="str">
        <f>HYPERLINK("tel:+18182687871", "818-268-7871")</f>
        <v>818-268-7871</v>
      </c>
      <c r="J1354" t="s">
        <v>5697</v>
      </c>
      <c r="K1354" t="s">
        <v>5698</v>
      </c>
      <c r="M1354">
        <v>8182687871</v>
      </c>
    </row>
    <row r="1355" spans="1:13" x14ac:dyDescent="0.25">
      <c r="A1355">
        <v>1373513521</v>
      </c>
      <c r="B1355" t="s">
        <v>5699</v>
      </c>
      <c r="C1355">
        <v>750000</v>
      </c>
      <c r="D1355" t="s">
        <v>5700</v>
      </c>
      <c r="E1355" t="s">
        <v>5701</v>
      </c>
      <c r="F1355">
        <v>3</v>
      </c>
      <c r="I1355" t="str">
        <f>HYPERLINK("tel:+18182692807", "818-269-2807")</f>
        <v>818-269-2807</v>
      </c>
      <c r="J1355" t="s">
        <v>5702</v>
      </c>
      <c r="K1355" t="s">
        <v>2206</v>
      </c>
      <c r="M1355">
        <v>8182692807</v>
      </c>
    </row>
    <row r="1356" spans="1:13" x14ac:dyDescent="0.25">
      <c r="A1356">
        <v>9950454790</v>
      </c>
      <c r="B1356" t="s">
        <v>5703</v>
      </c>
      <c r="C1356">
        <v>205000</v>
      </c>
      <c r="D1356" t="s">
        <v>5704</v>
      </c>
      <c r="E1356" t="s">
        <v>5705</v>
      </c>
      <c r="F1356">
        <v>3</v>
      </c>
      <c r="I1356" t="str">
        <f>HYPERLINK("tel:+18182695824", "818-269-5824")</f>
        <v>818-269-5824</v>
      </c>
      <c r="J1356" t="s">
        <v>5706</v>
      </c>
      <c r="K1356" t="s">
        <v>5707</v>
      </c>
      <c r="M1356">
        <v>8182695824</v>
      </c>
    </row>
    <row r="1357" spans="1:13" x14ac:dyDescent="0.25">
      <c r="A1357">
        <v>2278509934</v>
      </c>
      <c r="B1357" t="s">
        <v>141</v>
      </c>
      <c r="C1357">
        <v>2950000</v>
      </c>
      <c r="D1357" t="s">
        <v>142</v>
      </c>
      <c r="E1357" t="s">
        <v>5708</v>
      </c>
      <c r="F1357">
        <v>3</v>
      </c>
      <c r="I1357" t="str">
        <f>HYPERLINK("tel:+18182749184", "818-274-9184")</f>
        <v>818-274-9184</v>
      </c>
      <c r="J1357" t="s">
        <v>5709</v>
      </c>
      <c r="K1357" t="s">
        <v>63</v>
      </c>
      <c r="M1357">
        <v>8182749184</v>
      </c>
    </row>
    <row r="1358" spans="1:13" x14ac:dyDescent="0.25">
      <c r="A1358">
        <v>2226493221</v>
      </c>
      <c r="B1358" t="s">
        <v>5710</v>
      </c>
      <c r="C1358">
        <v>449999</v>
      </c>
      <c r="D1358" t="s">
        <v>5711</v>
      </c>
      <c r="E1358" t="s">
        <v>5712</v>
      </c>
      <c r="F1358">
        <v>3</v>
      </c>
      <c r="I1358" t="str">
        <f>HYPERLINK("tel:+18182756890", "818-275-6890")</f>
        <v>818-275-6890</v>
      </c>
      <c r="J1358" t="s">
        <v>5713</v>
      </c>
      <c r="K1358" t="s">
        <v>5714</v>
      </c>
      <c r="M1358">
        <v>8182756890</v>
      </c>
    </row>
    <row r="1359" spans="1:13" x14ac:dyDescent="0.25">
      <c r="A1359">
        <v>2019031029</v>
      </c>
      <c r="B1359" t="s">
        <v>5715</v>
      </c>
      <c r="C1359">
        <v>220000</v>
      </c>
      <c r="D1359" t="s">
        <v>5716</v>
      </c>
      <c r="E1359" t="s">
        <v>5717</v>
      </c>
      <c r="F1359">
        <v>3</v>
      </c>
      <c r="I1359" t="str">
        <f>HYPERLINK("tel:+18182987552", "818-298-7552")</f>
        <v>818-298-7552</v>
      </c>
      <c r="J1359" t="s">
        <v>5718</v>
      </c>
      <c r="K1359" t="s">
        <v>556</v>
      </c>
      <c r="M1359">
        <v>8182987552</v>
      </c>
    </row>
    <row r="1360" spans="1:13" x14ac:dyDescent="0.25">
      <c r="A1360">
        <v>1782074570</v>
      </c>
      <c r="B1360" t="s">
        <v>5719</v>
      </c>
      <c r="C1360">
        <v>1060000</v>
      </c>
      <c r="D1360" t="s">
        <v>5720</v>
      </c>
      <c r="E1360" t="s">
        <v>5721</v>
      </c>
      <c r="F1360">
        <v>3</v>
      </c>
      <c r="I1360" t="str">
        <f>HYPERLINK("tel:+18182988404", "818-298-8404")</f>
        <v>818-298-8404</v>
      </c>
      <c r="J1360" t="s">
        <v>5722</v>
      </c>
      <c r="K1360" t="s">
        <v>2206</v>
      </c>
      <c r="M1360">
        <v>8182988404</v>
      </c>
    </row>
    <row r="1361" spans="1:13" x14ac:dyDescent="0.25">
      <c r="A1361">
        <v>2177253997</v>
      </c>
      <c r="B1361" t="s">
        <v>5723</v>
      </c>
      <c r="C1361">
        <v>899900</v>
      </c>
      <c r="D1361" t="s">
        <v>5724</v>
      </c>
      <c r="E1361" t="s">
        <v>5725</v>
      </c>
      <c r="F1361">
        <v>3</v>
      </c>
      <c r="I1361" t="str">
        <f>HYPERLINK("tel:+18183123213", "818-312-3213")</f>
        <v>818-312-3213</v>
      </c>
      <c r="J1361" t="s">
        <v>5726</v>
      </c>
      <c r="K1361" t="s">
        <v>1568</v>
      </c>
      <c r="M1361">
        <v>8183123213</v>
      </c>
    </row>
    <row r="1362" spans="1:13" x14ac:dyDescent="0.25">
      <c r="A1362">
        <v>1903517979</v>
      </c>
      <c r="B1362" t="s">
        <v>5727</v>
      </c>
      <c r="C1362">
        <v>2195000</v>
      </c>
      <c r="D1362" t="s">
        <v>5728</v>
      </c>
      <c r="E1362" t="s">
        <v>5729</v>
      </c>
      <c r="F1362">
        <v>3</v>
      </c>
      <c r="I1362" t="str">
        <f>HYPERLINK("tel:+18183148606", "818-314-8606")</f>
        <v>818-314-8606</v>
      </c>
      <c r="J1362" t="s">
        <v>5730</v>
      </c>
      <c r="K1362" t="s">
        <v>5731</v>
      </c>
      <c r="M1362">
        <v>8183148606</v>
      </c>
    </row>
    <row r="1363" spans="1:13" x14ac:dyDescent="0.25">
      <c r="A1363">
        <v>1521534271</v>
      </c>
      <c r="B1363" t="s">
        <v>5732</v>
      </c>
      <c r="C1363">
        <v>350000</v>
      </c>
      <c r="D1363" t="s">
        <v>5733</v>
      </c>
      <c r="E1363" t="s">
        <v>5734</v>
      </c>
      <c r="F1363">
        <v>3</v>
      </c>
      <c r="I1363" t="str">
        <f>HYPERLINK("tel:+18183267450", "818-326-7450")</f>
        <v>818-326-7450</v>
      </c>
      <c r="J1363" t="s">
        <v>5735</v>
      </c>
      <c r="K1363" t="s">
        <v>34</v>
      </c>
      <c r="M1363">
        <v>8183267450</v>
      </c>
    </row>
    <row r="1364" spans="1:13" x14ac:dyDescent="0.25">
      <c r="A1364">
        <v>9775052589</v>
      </c>
      <c r="B1364" t="s">
        <v>5736</v>
      </c>
      <c r="C1364">
        <v>1149000</v>
      </c>
      <c r="D1364" t="s">
        <v>5737</v>
      </c>
      <c r="E1364" t="s">
        <v>5738</v>
      </c>
      <c r="F1364">
        <v>3</v>
      </c>
      <c r="I1364" t="str">
        <f>HYPERLINK("tel:+18183351239", "818-335-1239")</f>
        <v>818-335-1239</v>
      </c>
      <c r="J1364" t="s">
        <v>5739</v>
      </c>
      <c r="K1364" t="s">
        <v>9</v>
      </c>
      <c r="M1364">
        <v>8183351239</v>
      </c>
    </row>
    <row r="1365" spans="1:13" x14ac:dyDescent="0.25">
      <c r="A1365">
        <v>2164622065</v>
      </c>
      <c r="B1365" t="s">
        <v>5740</v>
      </c>
      <c r="C1365">
        <v>3240000</v>
      </c>
      <c r="D1365" t="s">
        <v>5741</v>
      </c>
      <c r="E1365" t="s">
        <v>5742</v>
      </c>
      <c r="F1365">
        <v>3</v>
      </c>
      <c r="I1365" t="str">
        <f>HYPERLINK("tel:+18183394192", "818-339-4192")</f>
        <v>818-339-4192</v>
      </c>
      <c r="J1365" t="s">
        <v>5743</v>
      </c>
      <c r="K1365" t="s">
        <v>63</v>
      </c>
      <c r="M1365">
        <v>8183394192</v>
      </c>
    </row>
    <row r="1366" spans="1:13" x14ac:dyDescent="0.25">
      <c r="A1366">
        <v>1196503135</v>
      </c>
      <c r="B1366" t="s">
        <v>5744</v>
      </c>
      <c r="C1366">
        <v>1795000</v>
      </c>
      <c r="D1366" t="s">
        <v>5745</v>
      </c>
      <c r="E1366" t="s">
        <v>5746</v>
      </c>
      <c r="F1366">
        <v>3</v>
      </c>
      <c r="I1366" t="str">
        <f>HYPERLINK("tel:+18183556017", "818-355-6017")</f>
        <v>818-355-6017</v>
      </c>
      <c r="J1366" t="s">
        <v>5747</v>
      </c>
      <c r="K1366" t="s">
        <v>5748</v>
      </c>
      <c r="M1366">
        <v>8183556017</v>
      </c>
    </row>
    <row r="1367" spans="1:13" x14ac:dyDescent="0.25">
      <c r="A1367">
        <v>1990525273</v>
      </c>
      <c r="B1367" t="s">
        <v>5749</v>
      </c>
      <c r="C1367">
        <v>2499000</v>
      </c>
      <c r="D1367" t="s">
        <v>5750</v>
      </c>
      <c r="E1367" t="s">
        <v>5751</v>
      </c>
      <c r="F1367">
        <v>3</v>
      </c>
      <c r="I1367" t="str">
        <f>HYPERLINK("tel:+18183557609", "818-355-7609")</f>
        <v>818-355-7609</v>
      </c>
      <c r="J1367" t="s">
        <v>5752</v>
      </c>
      <c r="K1367" t="s">
        <v>5753</v>
      </c>
      <c r="M1367">
        <v>8183557609</v>
      </c>
    </row>
    <row r="1368" spans="1:13" x14ac:dyDescent="0.25">
      <c r="A1368">
        <v>2583721855</v>
      </c>
      <c r="B1368" t="s">
        <v>5754</v>
      </c>
      <c r="C1368">
        <v>3750000</v>
      </c>
      <c r="D1368" t="s">
        <v>5755</v>
      </c>
      <c r="E1368" t="s">
        <v>5756</v>
      </c>
      <c r="F1368">
        <v>3</v>
      </c>
      <c r="I1368" t="str">
        <f>HYPERLINK("tel:+18183559988", "818-355-9988")</f>
        <v>818-355-9988</v>
      </c>
      <c r="J1368" t="s">
        <v>5757</v>
      </c>
      <c r="K1368" t="s">
        <v>24</v>
      </c>
      <c r="M1368">
        <v>8183559988</v>
      </c>
    </row>
    <row r="1369" spans="1:13" x14ac:dyDescent="0.25">
      <c r="A1369">
        <v>1884493057</v>
      </c>
      <c r="B1369" t="s">
        <v>5758</v>
      </c>
      <c r="C1369">
        <v>699000</v>
      </c>
      <c r="D1369" t="s">
        <v>5759</v>
      </c>
      <c r="E1369" t="s">
        <v>5760</v>
      </c>
      <c r="F1369">
        <v>3</v>
      </c>
      <c r="I1369" t="str">
        <f>HYPERLINK("tel:+18183578969", "818-357-8969")</f>
        <v>818-357-8969</v>
      </c>
      <c r="J1369" t="s">
        <v>5761</v>
      </c>
      <c r="K1369" t="s">
        <v>2250</v>
      </c>
      <c r="M1369">
        <v>8183578969</v>
      </c>
    </row>
    <row r="1370" spans="1:13" x14ac:dyDescent="0.25">
      <c r="A1370">
        <v>2647166159</v>
      </c>
      <c r="B1370" t="s">
        <v>5762</v>
      </c>
      <c r="C1370">
        <v>1299000</v>
      </c>
      <c r="D1370" t="s">
        <v>5763</v>
      </c>
      <c r="E1370" t="s">
        <v>5764</v>
      </c>
      <c r="F1370">
        <v>3</v>
      </c>
      <c r="I1370" t="str">
        <f>HYPERLINK("tel:+18183579293", "818-357-9293")</f>
        <v>818-357-9293</v>
      </c>
      <c r="J1370" t="s">
        <v>5765</v>
      </c>
      <c r="K1370" t="s">
        <v>34</v>
      </c>
      <c r="M1370">
        <v>8183579293</v>
      </c>
    </row>
    <row r="1371" spans="1:13" x14ac:dyDescent="0.25">
      <c r="A1371">
        <v>2729770232</v>
      </c>
      <c r="B1371" t="s">
        <v>5766</v>
      </c>
      <c r="C1371">
        <v>875000</v>
      </c>
      <c r="D1371" t="s">
        <v>5767</v>
      </c>
      <c r="E1371" t="s">
        <v>5768</v>
      </c>
      <c r="F1371">
        <v>3</v>
      </c>
      <c r="I1371" t="str">
        <f>HYPERLINK("tel:+18183610113", "818-361-0113")</f>
        <v>818-361-0113</v>
      </c>
      <c r="J1371" t="s">
        <v>5769</v>
      </c>
      <c r="K1371" t="s">
        <v>5770</v>
      </c>
      <c r="M1371">
        <v>8183610113</v>
      </c>
    </row>
    <row r="1372" spans="1:13" x14ac:dyDescent="0.25">
      <c r="A1372">
        <v>9115220024</v>
      </c>
      <c r="B1372" t="s">
        <v>5771</v>
      </c>
      <c r="C1372">
        <v>1260000</v>
      </c>
      <c r="D1372" t="s">
        <v>5772</v>
      </c>
      <c r="E1372" t="s">
        <v>5773</v>
      </c>
      <c r="F1372">
        <v>3</v>
      </c>
      <c r="I1372" t="str">
        <f>HYPERLINK("tel:+18183812047", "818-381-2047")</f>
        <v>818-381-2047</v>
      </c>
      <c r="J1372" t="s">
        <v>5774</v>
      </c>
      <c r="K1372" t="s">
        <v>5775</v>
      </c>
      <c r="M1372">
        <v>8183812047</v>
      </c>
    </row>
    <row r="1373" spans="1:13" x14ac:dyDescent="0.25">
      <c r="A1373">
        <v>1287288354</v>
      </c>
      <c r="B1373" t="s">
        <v>5776</v>
      </c>
      <c r="C1373">
        <v>182000</v>
      </c>
      <c r="D1373" t="s">
        <v>5777</v>
      </c>
      <c r="E1373" t="s">
        <v>5778</v>
      </c>
      <c r="F1373">
        <v>3</v>
      </c>
      <c r="I1373" t="str">
        <f>HYPERLINK("tel:+18183881363", "818-388-1363")</f>
        <v>818-388-1363</v>
      </c>
      <c r="J1373" t="s">
        <v>5779</v>
      </c>
      <c r="K1373" t="s">
        <v>87</v>
      </c>
      <c r="M1373">
        <v>8183881363</v>
      </c>
    </row>
    <row r="1374" spans="1:13" x14ac:dyDescent="0.25">
      <c r="A1374">
        <v>1178669504</v>
      </c>
      <c r="B1374" t="s">
        <v>5780</v>
      </c>
      <c r="C1374">
        <v>895000</v>
      </c>
      <c r="D1374" t="s">
        <v>5781</v>
      </c>
      <c r="E1374" t="s">
        <v>5782</v>
      </c>
      <c r="F1374">
        <v>3</v>
      </c>
      <c r="I1374" t="str">
        <f>HYPERLINK("tel:+18183883045", "818-388-3045")</f>
        <v>818-388-3045</v>
      </c>
      <c r="J1374" t="s">
        <v>5783</v>
      </c>
      <c r="K1374" t="s">
        <v>2206</v>
      </c>
      <c r="M1374">
        <v>8183883045</v>
      </c>
    </row>
    <row r="1375" spans="1:13" x14ac:dyDescent="0.25">
      <c r="A1375">
        <v>2505615588</v>
      </c>
      <c r="B1375" t="s">
        <v>5784</v>
      </c>
      <c r="C1375">
        <v>1995000</v>
      </c>
      <c r="D1375" t="s">
        <v>5785</v>
      </c>
      <c r="E1375" t="s">
        <v>5786</v>
      </c>
      <c r="F1375">
        <v>3</v>
      </c>
      <c r="I1375" t="str">
        <f>HYPERLINK("tel:+18183887383", "818-388-7383")</f>
        <v>818-388-7383</v>
      </c>
      <c r="J1375" t="s">
        <v>5787</v>
      </c>
      <c r="K1375" t="s">
        <v>5788</v>
      </c>
      <c r="M1375">
        <v>8183887383</v>
      </c>
    </row>
    <row r="1376" spans="1:13" x14ac:dyDescent="0.25">
      <c r="A1376">
        <v>2249476616</v>
      </c>
      <c r="B1376" t="s">
        <v>5789</v>
      </c>
      <c r="C1376">
        <v>2695000</v>
      </c>
      <c r="D1376" t="s">
        <v>5790</v>
      </c>
      <c r="E1376" t="s">
        <v>5791</v>
      </c>
      <c r="F1376">
        <v>3</v>
      </c>
      <c r="I1376" t="str">
        <f>HYPERLINK("tel:+18183957772", "818-395-7772")</f>
        <v>818-395-7772</v>
      </c>
      <c r="J1376" t="s">
        <v>5792</v>
      </c>
      <c r="K1376" t="s">
        <v>707</v>
      </c>
      <c r="M1376">
        <v>8183957772</v>
      </c>
    </row>
    <row r="1377" spans="1:13" x14ac:dyDescent="0.25">
      <c r="A1377">
        <v>1520744962</v>
      </c>
      <c r="B1377" t="s">
        <v>5793</v>
      </c>
      <c r="C1377">
        <v>1797000</v>
      </c>
      <c r="D1377" t="s">
        <v>5794</v>
      </c>
      <c r="E1377" t="s">
        <v>5795</v>
      </c>
      <c r="F1377">
        <v>3</v>
      </c>
      <c r="I1377" t="str">
        <f>HYPERLINK("tel:+18184003311", "818-400-3311")</f>
        <v>818-400-3311</v>
      </c>
      <c r="J1377" t="s">
        <v>5796</v>
      </c>
      <c r="K1377" t="s">
        <v>5797</v>
      </c>
      <c r="M1377">
        <v>8184003311</v>
      </c>
    </row>
    <row r="1378" spans="1:13" x14ac:dyDescent="0.25">
      <c r="A1378">
        <v>2148358370</v>
      </c>
      <c r="B1378" t="s">
        <v>5798</v>
      </c>
      <c r="C1378">
        <v>1199000</v>
      </c>
      <c r="D1378" t="s">
        <v>5799</v>
      </c>
      <c r="E1378" t="s">
        <v>5800</v>
      </c>
      <c r="F1378">
        <v>3</v>
      </c>
      <c r="I1378" t="str">
        <f>HYPERLINK("tel:+18184024175", "818-402-4175")</f>
        <v>818-402-4175</v>
      </c>
      <c r="J1378" t="s">
        <v>5801</v>
      </c>
      <c r="K1378" t="s">
        <v>5802</v>
      </c>
      <c r="M1378">
        <v>8184024175</v>
      </c>
    </row>
    <row r="1379" spans="1:13" x14ac:dyDescent="0.25">
      <c r="A1379">
        <v>1009834730</v>
      </c>
      <c r="B1379" t="s">
        <v>5803</v>
      </c>
      <c r="C1379">
        <v>469000</v>
      </c>
      <c r="D1379" t="s">
        <v>5804</v>
      </c>
      <c r="E1379" t="s">
        <v>5805</v>
      </c>
      <c r="F1379">
        <v>3</v>
      </c>
      <c r="I1379" t="str">
        <f>HYPERLINK("tel:+18184026254", "818-402-6254")</f>
        <v>818-402-6254</v>
      </c>
      <c r="J1379" t="s">
        <v>5806</v>
      </c>
      <c r="K1379" t="s">
        <v>117</v>
      </c>
      <c r="M1379">
        <v>8184026254</v>
      </c>
    </row>
    <row r="1380" spans="1:13" x14ac:dyDescent="0.25">
      <c r="A1380">
        <v>1488979155</v>
      </c>
      <c r="B1380" t="s">
        <v>5807</v>
      </c>
      <c r="C1380">
        <v>440000</v>
      </c>
      <c r="D1380" t="s">
        <v>5808</v>
      </c>
      <c r="E1380" t="s">
        <v>5809</v>
      </c>
      <c r="F1380">
        <v>3</v>
      </c>
      <c r="I1380" t="str">
        <f>HYPERLINK("tel:+18184082121", "818-408-2121")</f>
        <v>818-408-2121</v>
      </c>
      <c r="J1380" t="s">
        <v>5810</v>
      </c>
      <c r="K1380" t="s">
        <v>5707</v>
      </c>
      <c r="M1380">
        <v>8184082121</v>
      </c>
    </row>
    <row r="1381" spans="1:13" x14ac:dyDescent="0.25">
      <c r="A1381">
        <v>2076893665</v>
      </c>
      <c r="B1381" t="s">
        <v>5811</v>
      </c>
      <c r="C1381">
        <v>555000</v>
      </c>
      <c r="D1381" t="s">
        <v>5812</v>
      </c>
      <c r="E1381" t="s">
        <v>5813</v>
      </c>
      <c r="F1381">
        <v>3</v>
      </c>
      <c r="I1381" t="str">
        <f>HYPERLINK("tel:+18184146475", "818-414-6475")</f>
        <v>818-414-6475</v>
      </c>
      <c r="J1381" t="s">
        <v>5814</v>
      </c>
      <c r="K1381" t="s">
        <v>87</v>
      </c>
      <c r="M1381">
        <v>8184146475</v>
      </c>
    </row>
    <row r="1382" spans="1:13" x14ac:dyDescent="0.25">
      <c r="A1382">
        <v>2301871309</v>
      </c>
      <c r="B1382" t="s">
        <v>5815</v>
      </c>
      <c r="C1382">
        <v>779000</v>
      </c>
      <c r="D1382" t="s">
        <v>5816</v>
      </c>
      <c r="E1382" t="s">
        <v>5817</v>
      </c>
      <c r="F1382">
        <v>3</v>
      </c>
      <c r="I1382" t="str">
        <f>HYPERLINK("tel:+18184211108", "818-421-1108")</f>
        <v>818-421-1108</v>
      </c>
      <c r="J1382" t="s">
        <v>5818</v>
      </c>
      <c r="K1382" t="s">
        <v>14</v>
      </c>
      <c r="M1382">
        <v>8184211108</v>
      </c>
    </row>
    <row r="1383" spans="1:13" x14ac:dyDescent="0.25">
      <c r="A1383">
        <v>1876581000</v>
      </c>
      <c r="B1383" t="s">
        <v>5819</v>
      </c>
      <c r="C1383">
        <v>1749900</v>
      </c>
      <c r="D1383" t="s">
        <v>5820</v>
      </c>
      <c r="E1383" t="s">
        <v>5821</v>
      </c>
      <c r="F1383">
        <v>3</v>
      </c>
      <c r="I1383" t="str">
        <f>HYPERLINK("tel:+18184223283", "818-422-3283")</f>
        <v>818-422-3283</v>
      </c>
      <c r="J1383" t="s">
        <v>5822</v>
      </c>
      <c r="K1383" t="s">
        <v>34</v>
      </c>
      <c r="M1383">
        <v>8184223283</v>
      </c>
    </row>
    <row r="1384" spans="1:13" x14ac:dyDescent="0.25">
      <c r="A1384">
        <v>2957081109</v>
      </c>
      <c r="B1384" t="s">
        <v>5823</v>
      </c>
      <c r="C1384">
        <v>384000</v>
      </c>
      <c r="D1384" t="s">
        <v>5824</v>
      </c>
      <c r="E1384" t="s">
        <v>5825</v>
      </c>
      <c r="F1384">
        <v>3</v>
      </c>
      <c r="I1384" t="str">
        <f>HYPERLINK("tel:+18184250721", "818-425-0721")</f>
        <v>818-425-0721</v>
      </c>
      <c r="J1384" t="s">
        <v>5826</v>
      </c>
      <c r="K1384" t="s">
        <v>2206</v>
      </c>
      <c r="M1384">
        <v>8184250721</v>
      </c>
    </row>
    <row r="1385" spans="1:13" x14ac:dyDescent="0.25">
      <c r="A1385">
        <v>2018601507</v>
      </c>
      <c r="B1385" t="s">
        <v>5827</v>
      </c>
      <c r="C1385">
        <v>2275000</v>
      </c>
      <c r="D1385" t="s">
        <v>5828</v>
      </c>
      <c r="E1385" t="s">
        <v>5829</v>
      </c>
      <c r="F1385">
        <v>3</v>
      </c>
      <c r="I1385" t="str">
        <f>HYPERLINK("tel:+18184275577", "818-427-5577")</f>
        <v>818-427-5577</v>
      </c>
      <c r="J1385" t="s">
        <v>5830</v>
      </c>
      <c r="K1385" t="s">
        <v>117</v>
      </c>
      <c r="M1385">
        <v>8184275577</v>
      </c>
    </row>
    <row r="1386" spans="1:13" x14ac:dyDescent="0.25">
      <c r="A1386">
        <v>1392209652</v>
      </c>
      <c r="B1386" t="s">
        <v>5831</v>
      </c>
      <c r="C1386">
        <v>1549950</v>
      </c>
      <c r="D1386" t="s">
        <v>5832</v>
      </c>
      <c r="E1386" t="s">
        <v>5833</v>
      </c>
      <c r="F1386">
        <v>3</v>
      </c>
      <c r="I1386" t="str">
        <f>HYPERLINK("tel:+18184295660", "818-429-5660")</f>
        <v>818-429-5660</v>
      </c>
      <c r="J1386" t="s">
        <v>5834</v>
      </c>
      <c r="K1386" t="s">
        <v>5835</v>
      </c>
      <c r="M1386">
        <v>8184295660</v>
      </c>
    </row>
    <row r="1387" spans="1:13" x14ac:dyDescent="0.25">
      <c r="A1387">
        <v>1399496107</v>
      </c>
      <c r="B1387" t="s">
        <v>5690</v>
      </c>
      <c r="C1387">
        <v>1624000</v>
      </c>
      <c r="D1387" t="s">
        <v>5691</v>
      </c>
      <c r="E1387" t="s">
        <v>5836</v>
      </c>
      <c r="F1387">
        <v>3</v>
      </c>
      <c r="I1387" t="str">
        <f>HYPERLINK("tel:+18184393602", "818-439-3602")</f>
        <v>818-439-3602</v>
      </c>
      <c r="J1387" t="s">
        <v>5837</v>
      </c>
      <c r="K1387" t="s">
        <v>34</v>
      </c>
      <c r="M1387">
        <v>8184393602</v>
      </c>
    </row>
    <row r="1388" spans="1:13" x14ac:dyDescent="0.25">
      <c r="A1388">
        <v>2068534721</v>
      </c>
      <c r="B1388" t="s">
        <v>5838</v>
      </c>
      <c r="C1388">
        <v>1795000</v>
      </c>
      <c r="D1388" t="s">
        <v>5839</v>
      </c>
      <c r="E1388" t="s">
        <v>5840</v>
      </c>
      <c r="F1388">
        <v>3</v>
      </c>
      <c r="I1388" t="str">
        <f>HYPERLINK("tel:+18184448388", "818-444-8388")</f>
        <v>818-444-8388</v>
      </c>
      <c r="J1388" t="s">
        <v>5841</v>
      </c>
      <c r="K1388" t="s">
        <v>729</v>
      </c>
      <c r="M1388">
        <v>8184448388</v>
      </c>
    </row>
    <row r="1389" spans="1:13" x14ac:dyDescent="0.25">
      <c r="A1389">
        <v>1907192786</v>
      </c>
      <c r="B1389" t="s">
        <v>5842</v>
      </c>
      <c r="C1389">
        <v>1850000</v>
      </c>
      <c r="D1389" t="s">
        <v>5843</v>
      </c>
      <c r="E1389" t="s">
        <v>5844</v>
      </c>
      <c r="F1389">
        <v>3</v>
      </c>
      <c r="I1389" t="str">
        <f>HYPERLINK("tel:+18184491364", "818-449-1364")</f>
        <v>818-449-1364</v>
      </c>
      <c r="J1389" t="s">
        <v>5845</v>
      </c>
      <c r="K1389" t="s">
        <v>2250</v>
      </c>
      <c r="M1389">
        <v>8184491364</v>
      </c>
    </row>
    <row r="1390" spans="1:13" x14ac:dyDescent="0.25">
      <c r="A1390">
        <v>1455939488</v>
      </c>
      <c r="B1390" t="s">
        <v>5846</v>
      </c>
      <c r="C1390">
        <v>1995000</v>
      </c>
      <c r="D1390" t="s">
        <v>5847</v>
      </c>
      <c r="E1390" t="s">
        <v>5848</v>
      </c>
      <c r="F1390">
        <v>3</v>
      </c>
      <c r="I1390" t="str">
        <f>HYPERLINK("tel:+18184519551", "818-451-9551")</f>
        <v>818-451-9551</v>
      </c>
      <c r="J1390" t="s">
        <v>5849</v>
      </c>
      <c r="K1390" t="s">
        <v>5850</v>
      </c>
      <c r="M1390">
        <v>8184519551</v>
      </c>
    </row>
    <row r="1391" spans="1:13" x14ac:dyDescent="0.25">
      <c r="A1391">
        <v>1835849325</v>
      </c>
      <c r="B1391" t="s">
        <v>5851</v>
      </c>
      <c r="C1391">
        <v>710000</v>
      </c>
      <c r="D1391" t="s">
        <v>5852</v>
      </c>
      <c r="E1391" t="s">
        <v>5853</v>
      </c>
      <c r="F1391">
        <v>3</v>
      </c>
      <c r="I1391" t="str">
        <f>HYPERLINK("tel:+18184580346", "818-458-0346")</f>
        <v>818-458-0346</v>
      </c>
      <c r="J1391" t="s">
        <v>5854</v>
      </c>
      <c r="K1391" t="s">
        <v>9</v>
      </c>
      <c r="M1391">
        <v>8184580346</v>
      </c>
    </row>
    <row r="1392" spans="1:13" x14ac:dyDescent="0.25">
      <c r="A1392">
        <v>1247599422</v>
      </c>
      <c r="B1392" t="s">
        <v>5855</v>
      </c>
      <c r="C1392">
        <v>1690000</v>
      </c>
      <c r="D1392" t="s">
        <v>5856</v>
      </c>
      <c r="E1392" t="s">
        <v>5857</v>
      </c>
      <c r="F1392">
        <v>3</v>
      </c>
      <c r="I1392" t="str">
        <f>HYPERLINK("tel:+18184700432", "818-470-0432")</f>
        <v>818-470-0432</v>
      </c>
      <c r="J1392" t="s">
        <v>5858</v>
      </c>
      <c r="K1392" t="s">
        <v>117</v>
      </c>
      <c r="M1392">
        <v>8184700432</v>
      </c>
    </row>
    <row r="1393" spans="1:13" x14ac:dyDescent="0.25">
      <c r="A1393">
        <v>1252643622</v>
      </c>
      <c r="B1393" t="s">
        <v>5859</v>
      </c>
      <c r="C1393">
        <v>2495000</v>
      </c>
      <c r="D1393" t="s">
        <v>5860</v>
      </c>
      <c r="E1393" t="s">
        <v>5861</v>
      </c>
      <c r="F1393">
        <v>3</v>
      </c>
      <c r="I1393" t="str">
        <f>HYPERLINK("tel:+18184800776", "818-480-0776")</f>
        <v>818-480-0776</v>
      </c>
      <c r="J1393" t="s">
        <v>5862</v>
      </c>
      <c r="K1393" t="s">
        <v>168</v>
      </c>
      <c r="M1393">
        <v>8184800776</v>
      </c>
    </row>
    <row r="1394" spans="1:13" x14ac:dyDescent="0.25">
      <c r="A1394">
        <v>9532696245</v>
      </c>
      <c r="B1394" t="s">
        <v>5863</v>
      </c>
      <c r="C1394">
        <v>468000</v>
      </c>
      <c r="D1394" t="s">
        <v>5864</v>
      </c>
      <c r="E1394" t="s">
        <v>5865</v>
      </c>
      <c r="F1394">
        <v>3</v>
      </c>
      <c r="I1394" t="str">
        <f>HYPERLINK("tel:+18184802864", "818-480-2864")</f>
        <v>818-480-2864</v>
      </c>
      <c r="J1394" t="s">
        <v>5866</v>
      </c>
      <c r="K1394" t="s">
        <v>5867</v>
      </c>
      <c r="M1394">
        <v>8184802864</v>
      </c>
    </row>
    <row r="1395" spans="1:13" x14ac:dyDescent="0.25">
      <c r="A1395">
        <v>2094953126</v>
      </c>
      <c r="B1395" t="s">
        <v>5868</v>
      </c>
      <c r="C1395">
        <v>2649995</v>
      </c>
      <c r="D1395" t="s">
        <v>5869</v>
      </c>
      <c r="E1395" t="s">
        <v>5870</v>
      </c>
      <c r="F1395">
        <v>3</v>
      </c>
      <c r="I1395" t="str">
        <f>HYPERLINK("tel:+18184954545", "818-495-4545")</f>
        <v>818-495-4545</v>
      </c>
      <c r="J1395" t="s">
        <v>5871</v>
      </c>
      <c r="K1395" t="s">
        <v>4</v>
      </c>
      <c r="M1395">
        <v>8184954545</v>
      </c>
    </row>
    <row r="1396" spans="1:13" x14ac:dyDescent="0.25">
      <c r="A1396">
        <v>2985635045</v>
      </c>
      <c r="B1396" t="s">
        <v>5872</v>
      </c>
      <c r="C1396">
        <v>6795000</v>
      </c>
      <c r="D1396" t="s">
        <v>5873</v>
      </c>
      <c r="E1396" t="s">
        <v>5874</v>
      </c>
      <c r="F1396">
        <v>3</v>
      </c>
      <c r="I1396" t="str">
        <f>HYPERLINK("tel:+18185120683", "818-512-0683")</f>
        <v>818-512-0683</v>
      </c>
      <c r="J1396" t="s">
        <v>5875</v>
      </c>
      <c r="K1396" t="s">
        <v>168</v>
      </c>
      <c r="M1396">
        <v>8185120683</v>
      </c>
    </row>
    <row r="1397" spans="1:13" x14ac:dyDescent="0.25">
      <c r="A1397">
        <v>2810641850</v>
      </c>
      <c r="B1397" t="s">
        <v>5876</v>
      </c>
      <c r="C1397">
        <v>2050000</v>
      </c>
      <c r="D1397" t="s">
        <v>5877</v>
      </c>
      <c r="E1397" t="s">
        <v>5878</v>
      </c>
      <c r="F1397">
        <v>3</v>
      </c>
      <c r="I1397" t="str">
        <f>HYPERLINK("tel:+18185198634", "818-519-8634")</f>
        <v>818-519-8634</v>
      </c>
      <c r="J1397" t="s">
        <v>5879</v>
      </c>
      <c r="K1397" t="s">
        <v>58</v>
      </c>
      <c r="M1397">
        <v>8185198634</v>
      </c>
    </row>
    <row r="1398" spans="1:13" x14ac:dyDescent="0.25">
      <c r="A1398">
        <v>1485061859</v>
      </c>
      <c r="B1398" t="s">
        <v>5880</v>
      </c>
      <c r="C1398">
        <v>2000000</v>
      </c>
      <c r="D1398" t="s">
        <v>5881</v>
      </c>
      <c r="E1398" t="s">
        <v>5882</v>
      </c>
      <c r="F1398">
        <v>3</v>
      </c>
      <c r="I1398" t="str">
        <f>HYPERLINK("tel:+18185344364", "818-534-4364")</f>
        <v>818-534-4364</v>
      </c>
      <c r="J1398" t="s">
        <v>5883</v>
      </c>
      <c r="K1398" t="s">
        <v>34</v>
      </c>
      <c r="M1398">
        <v>8185344364</v>
      </c>
    </row>
    <row r="1399" spans="1:13" x14ac:dyDescent="0.25">
      <c r="A1399">
        <v>9402805417</v>
      </c>
      <c r="B1399" t="s">
        <v>5884</v>
      </c>
      <c r="C1399">
        <v>8500000</v>
      </c>
      <c r="D1399" t="s">
        <v>5885</v>
      </c>
      <c r="E1399" t="s">
        <v>5886</v>
      </c>
      <c r="F1399">
        <v>3</v>
      </c>
      <c r="I1399" t="str">
        <f>HYPERLINK("tel:+18185713352", "818-571-3352")</f>
        <v>818-571-3352</v>
      </c>
      <c r="J1399" t="s">
        <v>5887</v>
      </c>
      <c r="K1399" t="s">
        <v>63</v>
      </c>
      <c r="M1399">
        <v>8185713352</v>
      </c>
    </row>
    <row r="1400" spans="1:13" x14ac:dyDescent="0.25">
      <c r="A1400">
        <v>9084846994</v>
      </c>
      <c r="B1400" t="s">
        <v>5888</v>
      </c>
      <c r="C1400">
        <v>1188800</v>
      </c>
      <c r="D1400" t="s">
        <v>5889</v>
      </c>
      <c r="E1400" t="s">
        <v>5890</v>
      </c>
      <c r="F1400">
        <v>3</v>
      </c>
      <c r="I1400" t="str">
        <f>HYPERLINK("tel:+18185811234", "818-581-1234")</f>
        <v>818-581-1234</v>
      </c>
      <c r="J1400" t="s">
        <v>5891</v>
      </c>
      <c r="K1400" t="s">
        <v>734</v>
      </c>
      <c r="M1400">
        <v>8185811234</v>
      </c>
    </row>
    <row r="1401" spans="1:13" x14ac:dyDescent="0.25">
      <c r="A1401">
        <v>1298702401</v>
      </c>
      <c r="B1401" t="s">
        <v>5892</v>
      </c>
      <c r="C1401">
        <v>880000</v>
      </c>
      <c r="D1401" t="s">
        <v>5893</v>
      </c>
      <c r="E1401" t="s">
        <v>5894</v>
      </c>
      <c r="F1401">
        <v>3</v>
      </c>
      <c r="I1401" t="str">
        <f>HYPERLINK("tel:+18185817518", "818-581-7518")</f>
        <v>818-581-7518</v>
      </c>
      <c r="J1401" t="s">
        <v>5895</v>
      </c>
      <c r="K1401" t="s">
        <v>5896</v>
      </c>
      <c r="M1401">
        <v>8185817518</v>
      </c>
    </row>
    <row r="1402" spans="1:13" x14ac:dyDescent="0.25">
      <c r="A1402">
        <v>1621027061</v>
      </c>
      <c r="B1402" t="s">
        <v>5897</v>
      </c>
      <c r="C1402">
        <v>5650000</v>
      </c>
      <c r="D1402" t="s">
        <v>5898</v>
      </c>
      <c r="E1402" t="s">
        <v>5899</v>
      </c>
      <c r="F1402">
        <v>3</v>
      </c>
      <c r="I1402" t="str">
        <f>HYPERLINK("tel:+18185858833", "818-585-8833")</f>
        <v>818-585-8833</v>
      </c>
      <c r="J1402" t="s">
        <v>5900</v>
      </c>
      <c r="K1402" t="s">
        <v>5901</v>
      </c>
      <c r="M1402">
        <v>8185858833</v>
      </c>
    </row>
    <row r="1403" spans="1:13" x14ac:dyDescent="0.25">
      <c r="A1403">
        <v>9885335591</v>
      </c>
      <c r="B1403" t="s">
        <v>5902</v>
      </c>
      <c r="C1403">
        <v>289995</v>
      </c>
      <c r="D1403" t="s">
        <v>5903</v>
      </c>
      <c r="E1403" t="s">
        <v>5904</v>
      </c>
      <c r="F1403">
        <v>3</v>
      </c>
      <c r="I1403" t="str">
        <f>HYPERLINK("tel:+18185902989", "818-590-2989")</f>
        <v>818-590-2989</v>
      </c>
      <c r="J1403" t="s">
        <v>5905</v>
      </c>
      <c r="K1403" t="s">
        <v>5906</v>
      </c>
      <c r="M1403">
        <v>8185902989</v>
      </c>
    </row>
    <row r="1404" spans="1:13" x14ac:dyDescent="0.25">
      <c r="A1404">
        <v>1741772416</v>
      </c>
      <c r="B1404" t="s">
        <v>5907</v>
      </c>
      <c r="C1404">
        <v>1349950</v>
      </c>
      <c r="D1404" t="s">
        <v>5908</v>
      </c>
      <c r="E1404" t="s">
        <v>5909</v>
      </c>
      <c r="F1404">
        <v>3</v>
      </c>
      <c r="I1404" t="str">
        <f>HYPERLINK("tel:+18185906423", "818-590-6423")</f>
        <v>818-590-6423</v>
      </c>
      <c r="J1404" t="s">
        <v>5910</v>
      </c>
      <c r="K1404" t="s">
        <v>117</v>
      </c>
      <c r="M1404">
        <v>8185906423</v>
      </c>
    </row>
    <row r="1405" spans="1:13" x14ac:dyDescent="0.25">
      <c r="A1405">
        <v>1296349387</v>
      </c>
      <c r="B1405" t="s">
        <v>5911</v>
      </c>
      <c r="C1405">
        <v>449000</v>
      </c>
      <c r="D1405" t="s">
        <v>5912</v>
      </c>
      <c r="E1405" t="s">
        <v>5913</v>
      </c>
      <c r="F1405">
        <v>3</v>
      </c>
      <c r="I1405" t="str">
        <f>HYPERLINK("tel:+18185910201", "818-591-0201")</f>
        <v>818-591-0201</v>
      </c>
      <c r="J1405" t="s">
        <v>5914</v>
      </c>
      <c r="K1405" t="s">
        <v>5915</v>
      </c>
      <c r="M1405">
        <v>8185910201</v>
      </c>
    </row>
    <row r="1406" spans="1:13" x14ac:dyDescent="0.25">
      <c r="A1406">
        <v>1570005464</v>
      </c>
      <c r="B1406" t="s">
        <v>5916</v>
      </c>
      <c r="C1406">
        <v>1339000</v>
      </c>
      <c r="D1406" t="s">
        <v>5917</v>
      </c>
      <c r="E1406" t="s">
        <v>5918</v>
      </c>
      <c r="F1406">
        <v>3</v>
      </c>
      <c r="I1406" t="str">
        <f>HYPERLINK("tel:+18186008412", "818-600-8412")</f>
        <v>818-600-8412</v>
      </c>
      <c r="J1406" t="s">
        <v>5919</v>
      </c>
      <c r="K1406" t="s">
        <v>5920</v>
      </c>
      <c r="M1406">
        <v>8186008412</v>
      </c>
    </row>
    <row r="1407" spans="1:13" x14ac:dyDescent="0.25">
      <c r="A1407">
        <v>1248050465</v>
      </c>
      <c r="B1407" t="s">
        <v>5921</v>
      </c>
      <c r="C1407">
        <v>2679000</v>
      </c>
      <c r="D1407" t="s">
        <v>5922</v>
      </c>
      <c r="E1407" t="s">
        <v>5923</v>
      </c>
      <c r="F1407">
        <v>3</v>
      </c>
      <c r="I1407" t="str">
        <f>HYPERLINK("tel:+18186012260", "818-601-2260")</f>
        <v>818-601-2260</v>
      </c>
      <c r="J1407" t="s">
        <v>5924</v>
      </c>
      <c r="K1407" t="s">
        <v>431</v>
      </c>
      <c r="M1407">
        <v>8186012260</v>
      </c>
    </row>
    <row r="1408" spans="1:13" x14ac:dyDescent="0.25">
      <c r="A1408">
        <v>2076893665</v>
      </c>
      <c r="B1408" t="s">
        <v>5811</v>
      </c>
      <c r="C1408">
        <v>555000</v>
      </c>
      <c r="D1408" t="s">
        <v>5812</v>
      </c>
      <c r="E1408" t="s">
        <v>5925</v>
      </c>
      <c r="F1408">
        <v>3</v>
      </c>
      <c r="I1408" t="str">
        <f>HYPERLINK("tel:+18186054089", "818-605-4089")</f>
        <v>818-605-4089</v>
      </c>
      <c r="J1408" t="s">
        <v>5926</v>
      </c>
      <c r="K1408" t="s">
        <v>87</v>
      </c>
      <c r="M1408">
        <v>8186054089</v>
      </c>
    </row>
    <row r="1409" spans="1:13" x14ac:dyDescent="0.25">
      <c r="A1409">
        <v>2887737414</v>
      </c>
      <c r="B1409" t="s">
        <v>5927</v>
      </c>
      <c r="C1409">
        <v>2149900</v>
      </c>
      <c r="D1409" t="s">
        <v>5928</v>
      </c>
      <c r="E1409" t="s">
        <v>5929</v>
      </c>
      <c r="F1409">
        <v>3</v>
      </c>
      <c r="I1409" t="str">
        <f>HYPERLINK("tel:+18186061735", "818-606-1735")</f>
        <v>818-606-1735</v>
      </c>
      <c r="J1409" t="s">
        <v>5930</v>
      </c>
      <c r="K1409" t="s">
        <v>5931</v>
      </c>
      <c r="M1409">
        <v>8186061735</v>
      </c>
    </row>
    <row r="1410" spans="1:13" x14ac:dyDescent="0.25">
      <c r="A1410">
        <v>1337663226</v>
      </c>
      <c r="B1410" t="s">
        <v>5932</v>
      </c>
      <c r="C1410">
        <v>1400000</v>
      </c>
      <c r="D1410" t="s">
        <v>5933</v>
      </c>
      <c r="E1410" t="s">
        <v>5934</v>
      </c>
      <c r="F1410">
        <v>3</v>
      </c>
      <c r="I1410" t="str">
        <f>HYPERLINK("tel:+18186181818", "818-618-1818")</f>
        <v>818-618-1818</v>
      </c>
      <c r="J1410" t="s">
        <v>5935</v>
      </c>
      <c r="K1410" t="s">
        <v>9</v>
      </c>
      <c r="M1410">
        <v>8186181818</v>
      </c>
    </row>
    <row r="1411" spans="1:13" x14ac:dyDescent="0.25">
      <c r="A1411">
        <v>2319752663</v>
      </c>
      <c r="B1411" t="s">
        <v>5680</v>
      </c>
      <c r="C1411">
        <v>860000</v>
      </c>
      <c r="D1411" t="s">
        <v>5681</v>
      </c>
      <c r="E1411" t="s">
        <v>5936</v>
      </c>
      <c r="F1411">
        <v>3</v>
      </c>
      <c r="I1411" t="str">
        <f>HYPERLINK("tel:+18186209761", "818-620-9761")</f>
        <v>818-620-9761</v>
      </c>
      <c r="J1411" t="s">
        <v>5937</v>
      </c>
      <c r="K1411" t="s">
        <v>1568</v>
      </c>
      <c r="M1411">
        <v>8186209761</v>
      </c>
    </row>
    <row r="1412" spans="1:13" x14ac:dyDescent="0.25">
      <c r="A1412">
        <v>1944980452</v>
      </c>
      <c r="B1412" t="s">
        <v>5938</v>
      </c>
      <c r="C1412">
        <v>2095000</v>
      </c>
      <c r="D1412" t="s">
        <v>5939</v>
      </c>
      <c r="E1412" t="s">
        <v>5940</v>
      </c>
      <c r="F1412">
        <v>3</v>
      </c>
      <c r="I1412" t="str">
        <f>HYPERLINK("tel:+18186219141", "818-621-9141")</f>
        <v>818-621-9141</v>
      </c>
      <c r="J1412" t="s">
        <v>5941</v>
      </c>
      <c r="K1412" t="s">
        <v>107</v>
      </c>
      <c r="M1412">
        <v>8186219141</v>
      </c>
    </row>
    <row r="1413" spans="1:13" x14ac:dyDescent="0.25">
      <c r="A1413">
        <v>2637631152</v>
      </c>
      <c r="B1413" t="s">
        <v>5942</v>
      </c>
      <c r="C1413">
        <v>1695000</v>
      </c>
      <c r="D1413" t="s">
        <v>5943</v>
      </c>
      <c r="E1413" t="s">
        <v>5944</v>
      </c>
      <c r="F1413">
        <v>3</v>
      </c>
      <c r="I1413" t="str">
        <f>HYPERLINK("tel:+18186335521", "818-633-5521")</f>
        <v>818-633-5521</v>
      </c>
      <c r="J1413" t="s">
        <v>5945</v>
      </c>
      <c r="K1413" t="s">
        <v>63</v>
      </c>
      <c r="M1413">
        <v>8186335521</v>
      </c>
    </row>
    <row r="1414" spans="1:13" x14ac:dyDescent="0.25">
      <c r="A1414">
        <v>2773107374</v>
      </c>
      <c r="B1414" t="s">
        <v>5946</v>
      </c>
      <c r="C1414">
        <v>3350000</v>
      </c>
      <c r="D1414" t="s">
        <v>5947</v>
      </c>
      <c r="E1414" t="s">
        <v>5948</v>
      </c>
      <c r="F1414">
        <v>3</v>
      </c>
      <c r="I1414" t="str">
        <f>HYPERLINK("tel:+18186501603", "818-650-1603")</f>
        <v>818-650-1603</v>
      </c>
      <c r="J1414" t="s">
        <v>5949</v>
      </c>
      <c r="K1414" t="s">
        <v>168</v>
      </c>
      <c r="M1414">
        <v>8186501603</v>
      </c>
    </row>
    <row r="1415" spans="1:13" x14ac:dyDescent="0.25">
      <c r="A1415">
        <v>2046243298</v>
      </c>
      <c r="B1415" t="s">
        <v>5950</v>
      </c>
      <c r="C1415">
        <v>788000</v>
      </c>
      <c r="D1415" t="s">
        <v>5951</v>
      </c>
      <c r="E1415" t="s">
        <v>5952</v>
      </c>
      <c r="F1415">
        <v>3</v>
      </c>
      <c r="I1415" t="str">
        <f>HYPERLINK("tel:+18186945870", "818-694-5870")</f>
        <v>818-694-5870</v>
      </c>
      <c r="J1415" t="s">
        <v>5953</v>
      </c>
      <c r="K1415" t="s">
        <v>4</v>
      </c>
      <c r="M1415">
        <v>8186945870</v>
      </c>
    </row>
    <row r="1416" spans="1:13" x14ac:dyDescent="0.25">
      <c r="A1416">
        <v>1485061859</v>
      </c>
      <c r="B1416" t="s">
        <v>5880</v>
      </c>
      <c r="C1416">
        <v>2000000</v>
      </c>
      <c r="D1416" t="s">
        <v>5881</v>
      </c>
      <c r="E1416" t="s">
        <v>5954</v>
      </c>
      <c r="F1416">
        <v>3</v>
      </c>
      <c r="I1416" t="str">
        <f>HYPERLINK("tel:+18187316198", "818-731-6198")</f>
        <v>818-731-6198</v>
      </c>
      <c r="J1416" t="s">
        <v>5955</v>
      </c>
      <c r="K1416" t="s">
        <v>34</v>
      </c>
      <c r="M1416">
        <v>8187316198</v>
      </c>
    </row>
    <row r="1417" spans="1:13" x14ac:dyDescent="0.25">
      <c r="A1417">
        <v>2619970244</v>
      </c>
      <c r="B1417" t="s">
        <v>5956</v>
      </c>
      <c r="C1417">
        <v>550000</v>
      </c>
      <c r="D1417" t="s">
        <v>5957</v>
      </c>
      <c r="E1417" t="s">
        <v>5958</v>
      </c>
      <c r="F1417">
        <v>3</v>
      </c>
      <c r="I1417" t="str">
        <f>HYPERLINK("tel:+18187416969", "818-741-6969")</f>
        <v>818-741-6969</v>
      </c>
      <c r="J1417" t="s">
        <v>5959</v>
      </c>
      <c r="K1417" t="s">
        <v>5960</v>
      </c>
      <c r="M1417">
        <v>8187416969</v>
      </c>
    </row>
    <row r="1418" spans="1:13" x14ac:dyDescent="0.25">
      <c r="A1418">
        <v>9123430137</v>
      </c>
      <c r="B1418" t="s">
        <v>5961</v>
      </c>
      <c r="C1418">
        <v>395000</v>
      </c>
      <c r="D1418" t="s">
        <v>5962</v>
      </c>
      <c r="E1418" t="s">
        <v>5963</v>
      </c>
      <c r="F1418">
        <v>3</v>
      </c>
      <c r="I1418" t="str">
        <f>HYPERLINK("tel:+18187443537", "818-744-3537")</f>
        <v>818-744-3537</v>
      </c>
      <c r="J1418" t="s">
        <v>5964</v>
      </c>
      <c r="K1418" t="s">
        <v>5965</v>
      </c>
      <c r="M1418">
        <v>8187443537</v>
      </c>
    </row>
    <row r="1419" spans="1:13" x14ac:dyDescent="0.25">
      <c r="A1419">
        <v>1419138407</v>
      </c>
      <c r="B1419" t="s">
        <v>5966</v>
      </c>
      <c r="C1419">
        <v>4995000</v>
      </c>
      <c r="D1419" t="s">
        <v>5967</v>
      </c>
      <c r="E1419" t="s">
        <v>5968</v>
      </c>
      <c r="F1419">
        <v>3</v>
      </c>
      <c r="I1419" t="str">
        <f>HYPERLINK("tel:+18187485293", "818-748-5293")</f>
        <v>818-748-5293</v>
      </c>
      <c r="J1419" t="s">
        <v>5969</v>
      </c>
      <c r="K1419" t="s">
        <v>9</v>
      </c>
      <c r="M1419">
        <v>8187485293</v>
      </c>
    </row>
    <row r="1420" spans="1:13" x14ac:dyDescent="0.25">
      <c r="A1420">
        <v>1049721119</v>
      </c>
      <c r="B1420" t="s">
        <v>5970</v>
      </c>
      <c r="C1420">
        <v>1999000</v>
      </c>
      <c r="D1420" t="s">
        <v>5971</v>
      </c>
      <c r="E1420" t="s">
        <v>5972</v>
      </c>
      <c r="F1420">
        <v>3</v>
      </c>
      <c r="I1420" t="str">
        <f>HYPERLINK("tel:+18187702777", "818-770-2777")</f>
        <v>818-770-2777</v>
      </c>
      <c r="J1420" t="s">
        <v>5973</v>
      </c>
      <c r="K1420" t="s">
        <v>14</v>
      </c>
      <c r="M1420">
        <v>8187702777</v>
      </c>
    </row>
    <row r="1421" spans="1:13" x14ac:dyDescent="0.25">
      <c r="A1421">
        <v>2917292821</v>
      </c>
      <c r="B1421" t="s">
        <v>5974</v>
      </c>
      <c r="C1421">
        <v>6590000</v>
      </c>
      <c r="D1421" t="s">
        <v>5975</v>
      </c>
      <c r="E1421" t="s">
        <v>5976</v>
      </c>
      <c r="F1421">
        <v>3</v>
      </c>
      <c r="I1421" t="str">
        <f>HYPERLINK("tel:+18188000770", "818-800-0770")</f>
        <v>818-800-0770</v>
      </c>
      <c r="J1421" t="s">
        <v>5977</v>
      </c>
      <c r="K1421" t="s">
        <v>1581</v>
      </c>
      <c r="M1421">
        <v>8188000770</v>
      </c>
    </row>
    <row r="1422" spans="1:13" x14ac:dyDescent="0.25">
      <c r="A1422">
        <v>2127970751</v>
      </c>
      <c r="B1422" t="s">
        <v>5978</v>
      </c>
      <c r="C1422">
        <v>1799000</v>
      </c>
      <c r="D1422" t="s">
        <v>5979</v>
      </c>
      <c r="E1422" t="s">
        <v>5980</v>
      </c>
      <c r="F1422">
        <v>3</v>
      </c>
      <c r="I1422" t="str">
        <f>HYPERLINK("tel:+18188140631", "818-814-0631")</f>
        <v>818-814-0631</v>
      </c>
      <c r="J1422" t="s">
        <v>5981</v>
      </c>
      <c r="K1422" t="s">
        <v>5982</v>
      </c>
      <c r="M1422">
        <v>8188140631</v>
      </c>
    </row>
    <row r="1423" spans="1:13" x14ac:dyDescent="0.25">
      <c r="A1423">
        <v>9775637229</v>
      </c>
      <c r="B1423" t="s">
        <v>5983</v>
      </c>
      <c r="C1423">
        <v>980000</v>
      </c>
      <c r="D1423" t="s">
        <v>5984</v>
      </c>
      <c r="E1423" t="s">
        <v>5985</v>
      </c>
      <c r="F1423">
        <v>3</v>
      </c>
      <c r="I1423" t="str">
        <f>HYPERLINK("tel:+18188187688", "818-818-7688")</f>
        <v>818-818-7688</v>
      </c>
      <c r="J1423" t="s">
        <v>5986</v>
      </c>
      <c r="K1423" t="s">
        <v>2409</v>
      </c>
      <c r="M1423">
        <v>8188187688</v>
      </c>
    </row>
    <row r="1424" spans="1:13" x14ac:dyDescent="0.25">
      <c r="A1424">
        <v>9245911965</v>
      </c>
      <c r="B1424" t="s">
        <v>5987</v>
      </c>
      <c r="C1424">
        <v>199900</v>
      </c>
      <c r="D1424" t="s">
        <v>5988</v>
      </c>
      <c r="E1424" t="s">
        <v>5989</v>
      </c>
      <c r="F1424">
        <v>3</v>
      </c>
      <c r="I1424" t="str">
        <f>HYPERLINK("tel:+18188583958", "818-858-3958")</f>
        <v>818-858-3958</v>
      </c>
      <c r="J1424" t="s">
        <v>5990</v>
      </c>
      <c r="K1424" t="s">
        <v>2922</v>
      </c>
      <c r="M1424">
        <v>8188583958</v>
      </c>
    </row>
    <row r="1425" spans="1:13" x14ac:dyDescent="0.25">
      <c r="A1425">
        <v>2025866529</v>
      </c>
      <c r="B1425" t="s">
        <v>5991</v>
      </c>
      <c r="C1425">
        <v>5950000</v>
      </c>
      <c r="D1425" t="s">
        <v>5992</v>
      </c>
      <c r="E1425" t="s">
        <v>5993</v>
      </c>
      <c r="F1425">
        <v>3</v>
      </c>
      <c r="I1425" t="str">
        <f>HYPERLINK("tel:+18188809900", "818-880-9900")</f>
        <v>818-880-9900</v>
      </c>
      <c r="J1425" t="s">
        <v>5994</v>
      </c>
      <c r="K1425" t="s">
        <v>9</v>
      </c>
      <c r="M1425">
        <v>8188809900</v>
      </c>
    </row>
    <row r="1426" spans="1:13" x14ac:dyDescent="0.25">
      <c r="A1426">
        <v>1823655626</v>
      </c>
      <c r="B1426" t="s">
        <v>5995</v>
      </c>
      <c r="C1426">
        <v>699000</v>
      </c>
      <c r="D1426" t="s">
        <v>5996</v>
      </c>
      <c r="E1426" t="s">
        <v>5997</v>
      </c>
      <c r="F1426">
        <v>3</v>
      </c>
      <c r="I1426" t="str">
        <f>HYPERLINK("tel:+18189133695", "818-913-3695")</f>
        <v>818-913-3695</v>
      </c>
      <c r="J1426" t="s">
        <v>5998</v>
      </c>
      <c r="K1426" t="s">
        <v>3020</v>
      </c>
      <c r="M1426">
        <v>8189133695</v>
      </c>
    </row>
    <row r="1427" spans="1:13" x14ac:dyDescent="0.25">
      <c r="A1427">
        <v>2607550902</v>
      </c>
      <c r="B1427" t="s">
        <v>5999</v>
      </c>
      <c r="C1427">
        <v>495000</v>
      </c>
      <c r="D1427" t="s">
        <v>6000</v>
      </c>
      <c r="E1427" t="s">
        <v>6001</v>
      </c>
      <c r="F1427">
        <v>3</v>
      </c>
      <c r="I1427" t="str">
        <f>HYPERLINK("tel:+18189175453", "818-917-5453")</f>
        <v>818-917-5453</v>
      </c>
      <c r="J1427" t="s">
        <v>6002</v>
      </c>
      <c r="K1427" t="s">
        <v>168</v>
      </c>
      <c r="M1427">
        <v>8189175453</v>
      </c>
    </row>
    <row r="1428" spans="1:13" x14ac:dyDescent="0.25">
      <c r="A1428">
        <v>9531189383</v>
      </c>
      <c r="B1428" t="s">
        <v>6003</v>
      </c>
      <c r="C1428">
        <v>1945000</v>
      </c>
      <c r="D1428" t="s">
        <v>6004</v>
      </c>
      <c r="E1428" t="s">
        <v>6005</v>
      </c>
      <c r="F1428">
        <v>3</v>
      </c>
      <c r="I1428" t="str">
        <f>HYPERLINK("tel:+18189178459", "818-917-8459")</f>
        <v>818-917-8459</v>
      </c>
      <c r="J1428" t="s">
        <v>6006</v>
      </c>
      <c r="K1428" t="s">
        <v>3602</v>
      </c>
      <c r="M1428">
        <v>8189178459</v>
      </c>
    </row>
    <row r="1429" spans="1:13" x14ac:dyDescent="0.25">
      <c r="A1429">
        <v>2637597035</v>
      </c>
      <c r="B1429" t="s">
        <v>6007</v>
      </c>
      <c r="C1429">
        <v>2645000</v>
      </c>
      <c r="D1429" t="s">
        <v>6008</v>
      </c>
      <c r="E1429" t="s">
        <v>6009</v>
      </c>
      <c r="F1429">
        <v>3</v>
      </c>
      <c r="I1429" t="str">
        <f>HYPERLINK("tel:+18189181731", "818-918-1731")</f>
        <v>818-918-1731</v>
      </c>
      <c r="J1429" t="s">
        <v>6010</v>
      </c>
      <c r="K1429" t="s">
        <v>678</v>
      </c>
      <c r="M1429">
        <v>8189181731</v>
      </c>
    </row>
    <row r="1430" spans="1:13" x14ac:dyDescent="0.25">
      <c r="A1430">
        <v>2726682080</v>
      </c>
      <c r="B1430" t="s">
        <v>6011</v>
      </c>
      <c r="C1430">
        <v>1849998</v>
      </c>
      <c r="D1430" t="s">
        <v>6012</v>
      </c>
      <c r="E1430" t="s">
        <v>6013</v>
      </c>
      <c r="F1430">
        <v>3</v>
      </c>
      <c r="I1430" t="str">
        <f>HYPERLINK("tel:+18189196097", "818-919-6097")</f>
        <v>818-919-6097</v>
      </c>
      <c r="J1430" t="s">
        <v>6014</v>
      </c>
      <c r="K1430" t="s">
        <v>1581</v>
      </c>
      <c r="M1430">
        <v>8189196097</v>
      </c>
    </row>
    <row r="1431" spans="1:13" x14ac:dyDescent="0.25">
      <c r="A1431">
        <v>1490164145</v>
      </c>
      <c r="B1431" t="s">
        <v>6015</v>
      </c>
      <c r="C1431">
        <v>2299000</v>
      </c>
      <c r="D1431" t="s">
        <v>6016</v>
      </c>
      <c r="E1431" t="s">
        <v>6017</v>
      </c>
      <c r="F1431">
        <v>3</v>
      </c>
      <c r="I1431" t="str">
        <f>HYPERLINK("tel:+18189439143", "818-943-9143")</f>
        <v>818-943-9143</v>
      </c>
      <c r="J1431" t="s">
        <v>6018</v>
      </c>
      <c r="K1431" t="s">
        <v>6019</v>
      </c>
      <c r="M1431">
        <v>8189439143</v>
      </c>
    </row>
    <row r="1432" spans="1:13" x14ac:dyDescent="0.25">
      <c r="A1432">
        <v>2603494846</v>
      </c>
      <c r="B1432" t="s">
        <v>6020</v>
      </c>
      <c r="C1432">
        <v>1149000</v>
      </c>
      <c r="D1432" t="s">
        <v>6021</v>
      </c>
      <c r="E1432" t="s">
        <v>6022</v>
      </c>
      <c r="F1432">
        <v>3</v>
      </c>
      <c r="I1432" t="str">
        <f>HYPERLINK("tel:+18189843280", "818-984-3280")</f>
        <v>818-984-3280</v>
      </c>
      <c r="J1432" t="s">
        <v>6023</v>
      </c>
      <c r="K1432" t="s">
        <v>6024</v>
      </c>
      <c r="M1432">
        <v>8189843280</v>
      </c>
    </row>
    <row r="1433" spans="1:13" x14ac:dyDescent="0.25">
      <c r="A1433">
        <v>1527765481</v>
      </c>
      <c r="B1433" t="s">
        <v>6025</v>
      </c>
      <c r="C1433">
        <v>399999</v>
      </c>
      <c r="D1433" t="s">
        <v>6026</v>
      </c>
      <c r="E1433" t="s">
        <v>6027</v>
      </c>
      <c r="F1433">
        <v>3</v>
      </c>
      <c r="I1433" t="str">
        <f>HYPERLINK("tel:+18189991819", "818-999-1819")</f>
        <v>818-999-1819</v>
      </c>
      <c r="J1433" t="s">
        <v>6028</v>
      </c>
      <c r="K1433" t="s">
        <v>6029</v>
      </c>
      <c r="M1433">
        <v>8189991819</v>
      </c>
    </row>
    <row r="1434" spans="1:13" x14ac:dyDescent="0.25">
      <c r="A1434">
        <v>2886488042</v>
      </c>
      <c r="B1434" t="s">
        <v>6030</v>
      </c>
      <c r="C1434">
        <v>583200</v>
      </c>
      <c r="D1434" t="s">
        <v>6031</v>
      </c>
      <c r="E1434" t="s">
        <v>6032</v>
      </c>
      <c r="F1434">
        <v>3</v>
      </c>
      <c r="I1434" t="str">
        <f>HYPERLINK("tel:+18555257654", "855-525-7654")</f>
        <v>855-525-7654</v>
      </c>
      <c r="J1434" t="s">
        <v>6033</v>
      </c>
      <c r="K1434" t="s">
        <v>6034</v>
      </c>
      <c r="M1434">
        <v>8555257654</v>
      </c>
    </row>
    <row r="1435" spans="1:13" x14ac:dyDescent="0.25">
      <c r="A1435">
        <v>1734156407</v>
      </c>
      <c r="B1435" t="s">
        <v>6035</v>
      </c>
      <c r="C1435">
        <v>15500000</v>
      </c>
      <c r="D1435" t="s">
        <v>6036</v>
      </c>
      <c r="E1435" t="s">
        <v>6037</v>
      </c>
      <c r="F1435">
        <v>3</v>
      </c>
      <c r="I1435" t="str">
        <f>HYPERLINK("tel:+18582313911", "858-231-3911")</f>
        <v>858-231-3911</v>
      </c>
      <c r="J1435" t="s">
        <v>6038</v>
      </c>
      <c r="K1435" t="s">
        <v>168</v>
      </c>
      <c r="M1435">
        <v>8582313911</v>
      </c>
    </row>
    <row r="1436" spans="1:13" x14ac:dyDescent="0.25">
      <c r="A1436">
        <v>9072877671</v>
      </c>
      <c r="B1436" t="s">
        <v>6039</v>
      </c>
      <c r="C1436">
        <v>3790000</v>
      </c>
      <c r="D1436" t="s">
        <v>6040</v>
      </c>
      <c r="E1436" t="s">
        <v>6041</v>
      </c>
      <c r="F1436">
        <v>3</v>
      </c>
      <c r="I1436" t="str">
        <f>HYPERLINK("tel:+18587760545", "858-776-0545")</f>
        <v>858-776-0545</v>
      </c>
      <c r="J1436" t="s">
        <v>6042</v>
      </c>
      <c r="K1436" t="s">
        <v>5063</v>
      </c>
      <c r="M1436">
        <v>8587760545</v>
      </c>
    </row>
    <row r="1437" spans="1:13" x14ac:dyDescent="0.25">
      <c r="A1437">
        <v>2840767102</v>
      </c>
      <c r="B1437" t="s">
        <v>6043</v>
      </c>
      <c r="C1437">
        <v>3749000</v>
      </c>
      <c r="D1437" t="s">
        <v>6044</v>
      </c>
      <c r="E1437" t="s">
        <v>6045</v>
      </c>
      <c r="F1437">
        <v>3</v>
      </c>
      <c r="I1437" t="str">
        <f>HYPERLINK("tel:+18594947017", "859-494-7017")</f>
        <v>859-494-7017</v>
      </c>
      <c r="J1437" t="s">
        <v>6046</v>
      </c>
      <c r="K1437" t="s">
        <v>24</v>
      </c>
      <c r="M1437">
        <v>8594947017</v>
      </c>
    </row>
    <row r="1438" spans="1:13" x14ac:dyDescent="0.25">
      <c r="A1438">
        <v>9825308268</v>
      </c>
      <c r="B1438" t="s">
        <v>6047</v>
      </c>
      <c r="C1438">
        <v>2025000</v>
      </c>
      <c r="D1438" t="s">
        <v>6048</v>
      </c>
      <c r="E1438" t="s">
        <v>6049</v>
      </c>
      <c r="F1438">
        <v>3</v>
      </c>
      <c r="I1438" t="str">
        <f>HYPERLINK("tel:+18663226504", "866-322-6504")</f>
        <v>866-322-6504</v>
      </c>
      <c r="J1438" t="s">
        <v>6050</v>
      </c>
      <c r="K1438" t="s">
        <v>6051</v>
      </c>
      <c r="M1438">
        <v>8663226504</v>
      </c>
    </row>
    <row r="1439" spans="1:13" x14ac:dyDescent="0.25">
      <c r="A1439">
        <v>1956771011</v>
      </c>
      <c r="B1439" t="s">
        <v>6052</v>
      </c>
      <c r="C1439">
        <v>2790000</v>
      </c>
      <c r="D1439" t="s">
        <v>6053</v>
      </c>
      <c r="E1439" t="s">
        <v>6054</v>
      </c>
      <c r="F1439">
        <v>3</v>
      </c>
      <c r="I1439" t="str">
        <f>HYPERLINK("tel:+18882274633", "888-227-4633")</f>
        <v>888-227-4633</v>
      </c>
      <c r="J1439" t="s">
        <v>6055</v>
      </c>
      <c r="K1439" t="s">
        <v>6056</v>
      </c>
      <c r="M1439">
        <v>8882274633</v>
      </c>
    </row>
    <row r="1440" spans="1:13" x14ac:dyDescent="0.25">
      <c r="A1440">
        <v>1014881834</v>
      </c>
      <c r="B1440" t="s">
        <v>6057</v>
      </c>
      <c r="C1440">
        <v>1100000</v>
      </c>
      <c r="D1440" t="s">
        <v>6058</v>
      </c>
      <c r="E1440" t="s">
        <v>6059</v>
      </c>
      <c r="F1440">
        <v>3</v>
      </c>
      <c r="I1440" t="str">
        <f>HYPERLINK("tel:+18883336222", "888-333-6222")</f>
        <v>888-333-6222</v>
      </c>
      <c r="J1440" t="s">
        <v>6060</v>
      </c>
      <c r="K1440" t="s">
        <v>3188</v>
      </c>
      <c r="M1440">
        <v>8883336222</v>
      </c>
    </row>
    <row r="1441" spans="1:13" x14ac:dyDescent="0.25">
      <c r="A1441">
        <v>1909565731</v>
      </c>
      <c r="B1441" t="s">
        <v>3625</v>
      </c>
      <c r="C1441">
        <v>2040000</v>
      </c>
      <c r="D1441" t="s">
        <v>3626</v>
      </c>
      <c r="E1441" t="s">
        <v>6061</v>
      </c>
      <c r="F1441">
        <v>3</v>
      </c>
      <c r="I1441" t="str">
        <f>HYPERLINK("tel:+19092297542", "909-229-7542")</f>
        <v>909-229-7542</v>
      </c>
      <c r="J1441" t="s">
        <v>6062</v>
      </c>
      <c r="K1441" t="s">
        <v>1169</v>
      </c>
      <c r="M1441">
        <v>9092297542</v>
      </c>
    </row>
    <row r="1442" spans="1:13" x14ac:dyDescent="0.25">
      <c r="A1442">
        <v>1186751412</v>
      </c>
      <c r="B1442" t="s">
        <v>6063</v>
      </c>
      <c r="C1442">
        <v>30000</v>
      </c>
      <c r="D1442" t="s">
        <v>6064</v>
      </c>
      <c r="E1442" t="s">
        <v>6065</v>
      </c>
      <c r="F1442">
        <v>3</v>
      </c>
      <c r="I1442" t="str">
        <f>HYPERLINK("tel:+19092722742", "909-272-2742")</f>
        <v>909-272-2742</v>
      </c>
      <c r="J1442" t="s">
        <v>6066</v>
      </c>
      <c r="K1442" t="s">
        <v>450</v>
      </c>
      <c r="M1442">
        <v>9092722742</v>
      </c>
    </row>
    <row r="1443" spans="1:13" x14ac:dyDescent="0.25">
      <c r="A1443">
        <v>2330116784</v>
      </c>
      <c r="B1443" t="s">
        <v>5595</v>
      </c>
      <c r="C1443">
        <v>515000</v>
      </c>
      <c r="D1443" t="s">
        <v>5596</v>
      </c>
      <c r="E1443" t="s">
        <v>6067</v>
      </c>
      <c r="F1443">
        <v>3</v>
      </c>
      <c r="I1443" t="str">
        <f>HYPERLINK("tel:+19093153070", "909-315-3070")</f>
        <v>909-315-3070</v>
      </c>
      <c r="J1443" t="s">
        <v>6068</v>
      </c>
      <c r="K1443" t="s">
        <v>450</v>
      </c>
      <c r="M1443">
        <v>9093153070</v>
      </c>
    </row>
    <row r="1444" spans="1:13" x14ac:dyDescent="0.25">
      <c r="A1444">
        <v>9696804164</v>
      </c>
      <c r="B1444" t="s">
        <v>6069</v>
      </c>
      <c r="C1444">
        <v>129900</v>
      </c>
      <c r="D1444" t="s">
        <v>6070</v>
      </c>
      <c r="E1444" t="s">
        <v>6071</v>
      </c>
      <c r="F1444">
        <v>3</v>
      </c>
      <c r="I1444" t="str">
        <f>HYPERLINK("tel:+19094763552", "909-476-3552")</f>
        <v>909-476-3552</v>
      </c>
      <c r="J1444" t="s">
        <v>6072</v>
      </c>
      <c r="K1444" t="s">
        <v>5460</v>
      </c>
      <c r="M1444">
        <v>9094763552</v>
      </c>
    </row>
    <row r="1445" spans="1:13" x14ac:dyDescent="0.25">
      <c r="A1445">
        <v>9164405992</v>
      </c>
      <c r="B1445" t="s">
        <v>6073</v>
      </c>
      <c r="C1445">
        <v>649900</v>
      </c>
      <c r="D1445" t="s">
        <v>6074</v>
      </c>
      <c r="E1445" t="s">
        <v>6075</v>
      </c>
      <c r="F1445">
        <v>3</v>
      </c>
      <c r="I1445" t="str">
        <f>HYPERLINK("tel:+19094794771", "909-479-4771")</f>
        <v>909-479-4771</v>
      </c>
      <c r="J1445" t="s">
        <v>6076</v>
      </c>
      <c r="K1445" t="s">
        <v>6077</v>
      </c>
      <c r="M1445">
        <v>9094794771</v>
      </c>
    </row>
    <row r="1446" spans="1:13" x14ac:dyDescent="0.25">
      <c r="A1446">
        <v>1774335849</v>
      </c>
      <c r="B1446" t="s">
        <v>6078</v>
      </c>
      <c r="C1446">
        <v>2300000</v>
      </c>
      <c r="D1446" t="s">
        <v>6079</v>
      </c>
      <c r="E1446" t="s">
        <v>6080</v>
      </c>
      <c r="F1446">
        <v>3</v>
      </c>
      <c r="I1446" t="str">
        <f>HYPERLINK("tel:+19094892151", "909-489-2151")</f>
        <v>909-489-2151</v>
      </c>
      <c r="J1446" t="s">
        <v>6081</v>
      </c>
      <c r="K1446" t="s">
        <v>1238</v>
      </c>
      <c r="M1446">
        <v>9094892151</v>
      </c>
    </row>
    <row r="1447" spans="1:13" x14ac:dyDescent="0.25">
      <c r="A1447">
        <v>9557362270</v>
      </c>
      <c r="B1447" t="s">
        <v>6082</v>
      </c>
      <c r="C1447">
        <v>268000</v>
      </c>
      <c r="D1447" t="s">
        <v>6083</v>
      </c>
      <c r="E1447" t="s">
        <v>6084</v>
      </c>
      <c r="F1447">
        <v>3</v>
      </c>
      <c r="I1447" t="str">
        <f>HYPERLINK("tel:+19096129488", "909-612-9488")</f>
        <v>909-612-9488</v>
      </c>
      <c r="J1447" t="s">
        <v>6085</v>
      </c>
      <c r="K1447" t="s">
        <v>6086</v>
      </c>
      <c r="M1447">
        <v>9096129488</v>
      </c>
    </row>
    <row r="1448" spans="1:13" x14ac:dyDescent="0.25">
      <c r="A1448">
        <v>9557362270</v>
      </c>
      <c r="B1448" t="s">
        <v>6082</v>
      </c>
      <c r="C1448">
        <v>268000</v>
      </c>
      <c r="D1448" t="s">
        <v>6083</v>
      </c>
      <c r="E1448" t="s">
        <v>6087</v>
      </c>
      <c r="F1448">
        <v>3</v>
      </c>
      <c r="I1448" t="str">
        <f>HYPERLINK("tel:+19097626719", "909-762-6719")</f>
        <v>909-762-6719</v>
      </c>
      <c r="J1448" t="s">
        <v>6088</v>
      </c>
      <c r="K1448" t="s">
        <v>6086</v>
      </c>
      <c r="M1448">
        <v>9097626719</v>
      </c>
    </row>
    <row r="1449" spans="1:13" x14ac:dyDescent="0.25">
      <c r="A1449">
        <v>1172534258</v>
      </c>
      <c r="B1449" t="s">
        <v>3787</v>
      </c>
      <c r="C1449">
        <v>999900</v>
      </c>
      <c r="D1449" t="s">
        <v>3788</v>
      </c>
      <c r="E1449" t="s">
        <v>6089</v>
      </c>
      <c r="F1449">
        <v>3</v>
      </c>
      <c r="I1449" t="str">
        <f>HYPERLINK("tel:+19099466633", "909-946-6633")</f>
        <v>909-946-6633</v>
      </c>
      <c r="J1449" t="s">
        <v>6090</v>
      </c>
      <c r="K1449" t="s">
        <v>3791</v>
      </c>
      <c r="M1449">
        <v>9099466633</v>
      </c>
    </row>
    <row r="1450" spans="1:13" x14ac:dyDescent="0.25">
      <c r="A1450">
        <v>1190338481</v>
      </c>
      <c r="B1450" t="s">
        <v>6091</v>
      </c>
      <c r="C1450">
        <v>389000</v>
      </c>
      <c r="D1450" t="s">
        <v>6092</v>
      </c>
      <c r="E1450" t="s">
        <v>6093</v>
      </c>
      <c r="F1450">
        <v>3</v>
      </c>
      <c r="I1450" t="str">
        <f>HYPERLINK("tel:+19099575665", "909-957-5665")</f>
        <v>909-957-5665</v>
      </c>
      <c r="J1450" t="s">
        <v>6094</v>
      </c>
      <c r="K1450" t="s">
        <v>6095</v>
      </c>
      <c r="M1450">
        <v>9099575665</v>
      </c>
    </row>
    <row r="1451" spans="1:13" x14ac:dyDescent="0.25">
      <c r="A1451">
        <v>1021738768</v>
      </c>
      <c r="B1451" t="s">
        <v>6096</v>
      </c>
      <c r="C1451">
        <v>2230000</v>
      </c>
      <c r="D1451" t="s">
        <v>6097</v>
      </c>
      <c r="E1451" t="s">
        <v>6098</v>
      </c>
      <c r="F1451">
        <v>3</v>
      </c>
      <c r="I1451" t="str">
        <f>HYPERLINK("tel:+19099979765", "909-997-9765")</f>
        <v>909-997-9765</v>
      </c>
      <c r="J1451" t="s">
        <v>6099</v>
      </c>
      <c r="K1451" t="s">
        <v>6100</v>
      </c>
      <c r="M1451">
        <v>9099979765</v>
      </c>
    </row>
    <row r="1452" spans="1:13" x14ac:dyDescent="0.25">
      <c r="A1452">
        <v>2369022611</v>
      </c>
      <c r="B1452" t="s">
        <v>1942</v>
      </c>
      <c r="C1452">
        <v>995000</v>
      </c>
      <c r="D1452" t="s">
        <v>1943</v>
      </c>
      <c r="E1452" t="s">
        <v>6101</v>
      </c>
      <c r="F1452">
        <v>3</v>
      </c>
      <c r="I1452" t="str">
        <f>HYPERLINK("tel:+19165320497", "916-532-0497")</f>
        <v>916-532-0497</v>
      </c>
      <c r="J1452" t="s">
        <v>6102</v>
      </c>
      <c r="K1452" t="s">
        <v>24</v>
      </c>
      <c r="M1452">
        <v>9165320497</v>
      </c>
    </row>
    <row r="1453" spans="1:13" x14ac:dyDescent="0.25">
      <c r="A1453">
        <v>2632330981</v>
      </c>
      <c r="B1453" t="s">
        <v>6103</v>
      </c>
      <c r="C1453">
        <v>1725000</v>
      </c>
      <c r="D1453" t="s">
        <v>6104</v>
      </c>
      <c r="E1453" t="s">
        <v>6105</v>
      </c>
      <c r="F1453">
        <v>3</v>
      </c>
      <c r="I1453" t="str">
        <f>HYPERLINK("tel:+19176844678", "917-684-4678")</f>
        <v>917-684-4678</v>
      </c>
      <c r="J1453" t="s">
        <v>6106</v>
      </c>
      <c r="K1453" t="s">
        <v>306</v>
      </c>
      <c r="M1453">
        <v>9176844678</v>
      </c>
    </row>
    <row r="1454" spans="1:13" x14ac:dyDescent="0.25">
      <c r="A1454">
        <v>2334392646</v>
      </c>
      <c r="B1454" t="s">
        <v>6107</v>
      </c>
      <c r="C1454">
        <v>1850000</v>
      </c>
      <c r="D1454" t="s">
        <v>6108</v>
      </c>
      <c r="E1454" t="s">
        <v>6109</v>
      </c>
      <c r="F1454">
        <v>3</v>
      </c>
      <c r="I1454" t="str">
        <f>HYPERLINK("tel:+19179225277", "917-922-5277")</f>
        <v>917-922-5277</v>
      </c>
      <c r="J1454" t="s">
        <v>6110</v>
      </c>
      <c r="K1454" t="s">
        <v>431</v>
      </c>
      <c r="M1454">
        <v>9179225277</v>
      </c>
    </row>
    <row r="1455" spans="1:13" x14ac:dyDescent="0.25">
      <c r="A1455">
        <v>2001272660</v>
      </c>
      <c r="B1455" t="s">
        <v>4276</v>
      </c>
      <c r="C1455">
        <v>22900000</v>
      </c>
      <c r="D1455" t="s">
        <v>4277</v>
      </c>
      <c r="E1455" t="s">
        <v>6111</v>
      </c>
      <c r="F1455">
        <v>3</v>
      </c>
      <c r="I1455" t="str">
        <f>HYPERLINK("tel:+19492055474", "949-205-5474")</f>
        <v>949-205-5474</v>
      </c>
      <c r="J1455" t="s">
        <v>6112</v>
      </c>
      <c r="K1455" t="s">
        <v>4280</v>
      </c>
      <c r="M1455">
        <v>9492055474</v>
      </c>
    </row>
    <row r="1456" spans="1:13" x14ac:dyDescent="0.25">
      <c r="A1456">
        <v>2193974419</v>
      </c>
      <c r="B1456" t="s">
        <v>6113</v>
      </c>
      <c r="C1456">
        <v>819000</v>
      </c>
      <c r="D1456" t="s">
        <v>6114</v>
      </c>
      <c r="E1456" t="s">
        <v>6115</v>
      </c>
      <c r="F1456">
        <v>3</v>
      </c>
      <c r="I1456" t="str">
        <f>HYPERLINK("tel:+19492121433", "949-212-1433")</f>
        <v>949-212-1433</v>
      </c>
      <c r="J1456" t="s">
        <v>6116</v>
      </c>
      <c r="K1456" t="s">
        <v>6117</v>
      </c>
      <c r="M1456">
        <v>9492121433</v>
      </c>
    </row>
    <row r="1457" spans="1:13" x14ac:dyDescent="0.25">
      <c r="A1457">
        <v>9440722520</v>
      </c>
      <c r="B1457" t="s">
        <v>6118</v>
      </c>
      <c r="C1457">
        <v>195000</v>
      </c>
      <c r="D1457" t="s">
        <v>6119</v>
      </c>
      <c r="E1457" t="s">
        <v>6120</v>
      </c>
      <c r="F1457">
        <v>3</v>
      </c>
      <c r="I1457" t="str">
        <f>HYPERLINK("tel:+19492309348", "949-230-9348")</f>
        <v>949-230-9348</v>
      </c>
      <c r="J1457" t="s">
        <v>6121</v>
      </c>
      <c r="K1457" t="s">
        <v>744</v>
      </c>
      <c r="M1457">
        <v>9492309348</v>
      </c>
    </row>
    <row r="1458" spans="1:13" x14ac:dyDescent="0.25">
      <c r="A1458">
        <v>9322029012</v>
      </c>
      <c r="B1458" t="s">
        <v>2419</v>
      </c>
      <c r="C1458">
        <v>4180000</v>
      </c>
      <c r="D1458" t="s">
        <v>2420</v>
      </c>
      <c r="E1458" t="s">
        <v>6122</v>
      </c>
      <c r="F1458">
        <v>3</v>
      </c>
      <c r="I1458" t="str">
        <f>HYPERLINK("tel:+19492326843", "949-232-6843")</f>
        <v>949-232-6843</v>
      </c>
      <c r="J1458" t="s">
        <v>6123</v>
      </c>
      <c r="K1458" t="s">
        <v>450</v>
      </c>
      <c r="M1458">
        <v>9492326843</v>
      </c>
    </row>
    <row r="1459" spans="1:13" x14ac:dyDescent="0.25">
      <c r="A1459">
        <v>2051246289</v>
      </c>
      <c r="B1459" t="s">
        <v>6124</v>
      </c>
      <c r="C1459">
        <v>13500000</v>
      </c>
      <c r="D1459" t="s">
        <v>6125</v>
      </c>
      <c r="E1459" t="s">
        <v>6126</v>
      </c>
      <c r="F1459">
        <v>3</v>
      </c>
      <c r="I1459" t="str">
        <f>HYPERLINK("tel:+19492337949", "949-233-7949")</f>
        <v>949-233-7949</v>
      </c>
      <c r="J1459" t="s">
        <v>6127</v>
      </c>
      <c r="K1459" t="s">
        <v>24</v>
      </c>
      <c r="M1459">
        <v>9492337949</v>
      </c>
    </row>
    <row r="1460" spans="1:13" x14ac:dyDescent="0.25">
      <c r="A1460">
        <v>1187844262</v>
      </c>
      <c r="B1460" t="s">
        <v>6128</v>
      </c>
      <c r="C1460">
        <v>1825000</v>
      </c>
      <c r="D1460" t="s">
        <v>6129</v>
      </c>
      <c r="E1460" t="s">
        <v>6130</v>
      </c>
      <c r="F1460">
        <v>3</v>
      </c>
      <c r="I1460" t="str">
        <f>HYPERLINK("tel:+19492353011", "949-235-3011")</f>
        <v>949-235-3011</v>
      </c>
      <c r="J1460" t="s">
        <v>6131</v>
      </c>
      <c r="K1460" t="s">
        <v>158</v>
      </c>
      <c r="M1460">
        <v>9492353011</v>
      </c>
    </row>
    <row r="1461" spans="1:13" x14ac:dyDescent="0.25">
      <c r="A1461">
        <v>2268533728</v>
      </c>
      <c r="B1461" t="s">
        <v>6132</v>
      </c>
      <c r="C1461">
        <v>3199000</v>
      </c>
      <c r="D1461" t="s">
        <v>6133</v>
      </c>
      <c r="E1461" t="s">
        <v>6134</v>
      </c>
      <c r="F1461">
        <v>3</v>
      </c>
      <c r="I1461" t="str">
        <f>HYPERLINK("tel:+19492353566", "949-235-3566")</f>
        <v>949-235-3566</v>
      </c>
      <c r="J1461" t="s">
        <v>6135</v>
      </c>
      <c r="K1461" t="s">
        <v>495</v>
      </c>
      <c r="M1461">
        <v>9492353566</v>
      </c>
    </row>
    <row r="1462" spans="1:13" x14ac:dyDescent="0.25">
      <c r="A1462">
        <v>1965311026</v>
      </c>
      <c r="B1462" t="s">
        <v>6136</v>
      </c>
      <c r="C1462">
        <v>8995000</v>
      </c>
      <c r="D1462" t="s">
        <v>6137</v>
      </c>
      <c r="E1462" t="s">
        <v>6138</v>
      </c>
      <c r="F1462">
        <v>3</v>
      </c>
      <c r="I1462" t="str">
        <f>HYPERLINK("tel:+19492386000", "949-238-6000")</f>
        <v>949-238-6000</v>
      </c>
      <c r="J1462" t="s">
        <v>6139</v>
      </c>
      <c r="K1462" t="s">
        <v>2356</v>
      </c>
      <c r="M1462">
        <v>9492386000</v>
      </c>
    </row>
    <row r="1463" spans="1:13" x14ac:dyDescent="0.25">
      <c r="A1463">
        <v>1834743759</v>
      </c>
      <c r="B1463" t="s">
        <v>6140</v>
      </c>
      <c r="C1463">
        <v>2088000</v>
      </c>
      <c r="D1463" t="s">
        <v>6141</v>
      </c>
      <c r="E1463" t="s">
        <v>6142</v>
      </c>
      <c r="F1463">
        <v>3</v>
      </c>
      <c r="I1463" t="str">
        <f>HYPERLINK("tel:+19492415322", "949-241-5322")</f>
        <v>949-241-5322</v>
      </c>
      <c r="J1463" t="s">
        <v>6143</v>
      </c>
      <c r="K1463" t="s">
        <v>3824</v>
      </c>
      <c r="M1463">
        <v>9492415322</v>
      </c>
    </row>
    <row r="1464" spans="1:13" x14ac:dyDescent="0.25">
      <c r="A1464">
        <v>1479054858</v>
      </c>
      <c r="B1464" t="s">
        <v>6144</v>
      </c>
      <c r="C1464">
        <v>2495000</v>
      </c>
      <c r="D1464" t="s">
        <v>6145</v>
      </c>
      <c r="E1464" t="s">
        <v>6146</v>
      </c>
      <c r="F1464">
        <v>3</v>
      </c>
      <c r="I1464" t="str">
        <f>HYPERLINK("tel:+19492419059", "949-241-9059")</f>
        <v>949-241-9059</v>
      </c>
      <c r="J1464" t="s">
        <v>6147</v>
      </c>
      <c r="K1464" t="s">
        <v>6148</v>
      </c>
      <c r="M1464">
        <v>9492419059</v>
      </c>
    </row>
    <row r="1465" spans="1:13" x14ac:dyDescent="0.25">
      <c r="A1465">
        <v>1427339910</v>
      </c>
      <c r="B1465" t="s">
        <v>6149</v>
      </c>
      <c r="C1465">
        <v>1455000</v>
      </c>
      <c r="D1465" t="s">
        <v>6150</v>
      </c>
      <c r="E1465" t="s">
        <v>6151</v>
      </c>
      <c r="F1465">
        <v>3</v>
      </c>
      <c r="I1465" t="str">
        <f>HYPERLINK("tel:+19492447438", "949-244-7438")</f>
        <v>949-244-7438</v>
      </c>
      <c r="J1465" t="s">
        <v>6152</v>
      </c>
      <c r="K1465" t="s">
        <v>6153</v>
      </c>
      <c r="M1465">
        <v>9492447438</v>
      </c>
    </row>
    <row r="1466" spans="1:13" x14ac:dyDescent="0.25">
      <c r="A1466">
        <v>1983869465</v>
      </c>
      <c r="B1466" t="s">
        <v>6154</v>
      </c>
      <c r="C1466">
        <v>13499000</v>
      </c>
      <c r="D1466" t="s">
        <v>6155</v>
      </c>
      <c r="E1466" t="s">
        <v>6156</v>
      </c>
      <c r="F1466">
        <v>3</v>
      </c>
      <c r="I1466" t="str">
        <f>HYPERLINK("tel:+19492463221", "949-246-3221")</f>
        <v>949-246-3221</v>
      </c>
      <c r="J1466" t="s">
        <v>6157</v>
      </c>
      <c r="K1466" t="s">
        <v>168</v>
      </c>
      <c r="M1466">
        <v>9492463221</v>
      </c>
    </row>
    <row r="1467" spans="1:13" x14ac:dyDescent="0.25">
      <c r="A1467">
        <v>2246277492</v>
      </c>
      <c r="B1467" t="s">
        <v>6158</v>
      </c>
      <c r="C1467">
        <v>340000</v>
      </c>
      <c r="D1467" t="s">
        <v>6159</v>
      </c>
      <c r="E1467" t="s">
        <v>6160</v>
      </c>
      <c r="F1467">
        <v>3</v>
      </c>
      <c r="I1467" t="str">
        <f>HYPERLINK("tel:+19492544663", "949-254-4663")</f>
        <v>949-254-4663</v>
      </c>
      <c r="J1467" t="s">
        <v>6161</v>
      </c>
      <c r="K1467" t="s">
        <v>6162</v>
      </c>
      <c r="M1467">
        <v>9492544663</v>
      </c>
    </row>
    <row r="1468" spans="1:13" x14ac:dyDescent="0.25">
      <c r="A1468">
        <v>2585667021</v>
      </c>
      <c r="B1468" t="s">
        <v>6163</v>
      </c>
      <c r="C1468">
        <v>8900000</v>
      </c>
      <c r="D1468" t="s">
        <v>6164</v>
      </c>
      <c r="E1468" t="s">
        <v>6165</v>
      </c>
      <c r="F1468">
        <v>3</v>
      </c>
      <c r="I1468" t="str">
        <f>HYPERLINK("tel:+19492751140", "949-275-1140")</f>
        <v>949-275-1140</v>
      </c>
      <c r="J1468" t="s">
        <v>6166</v>
      </c>
      <c r="K1468" t="s">
        <v>24</v>
      </c>
      <c r="M1468">
        <v>9492751140</v>
      </c>
    </row>
    <row r="1469" spans="1:13" x14ac:dyDescent="0.25">
      <c r="A1469">
        <v>2195395510</v>
      </c>
      <c r="B1469" t="s">
        <v>6167</v>
      </c>
      <c r="C1469">
        <v>549900</v>
      </c>
      <c r="D1469" t="s">
        <v>6168</v>
      </c>
      <c r="E1469" t="s">
        <v>6169</v>
      </c>
      <c r="F1469">
        <v>3</v>
      </c>
      <c r="I1469" t="str">
        <f>HYPERLINK("tel:+19492801558", "949-280-1558")</f>
        <v>949-280-1558</v>
      </c>
      <c r="J1469" t="s">
        <v>6170</v>
      </c>
      <c r="K1469" t="s">
        <v>4</v>
      </c>
      <c r="M1469">
        <v>9492801558</v>
      </c>
    </row>
    <row r="1470" spans="1:13" x14ac:dyDescent="0.25">
      <c r="A1470">
        <v>1594076878</v>
      </c>
      <c r="B1470" t="s">
        <v>6171</v>
      </c>
      <c r="C1470">
        <v>2950000</v>
      </c>
      <c r="D1470" t="s">
        <v>6172</v>
      </c>
      <c r="E1470" t="s">
        <v>6173</v>
      </c>
      <c r="F1470">
        <v>3</v>
      </c>
      <c r="I1470" t="str">
        <f>HYPERLINK("tel:+19492805563", "949-280-5563")</f>
        <v>949-280-5563</v>
      </c>
      <c r="J1470" t="s">
        <v>6174</v>
      </c>
      <c r="K1470" t="s">
        <v>168</v>
      </c>
      <c r="M1470">
        <v>9492805563</v>
      </c>
    </row>
    <row r="1471" spans="1:13" x14ac:dyDescent="0.25">
      <c r="A1471">
        <v>1945778323</v>
      </c>
      <c r="B1471" t="s">
        <v>6175</v>
      </c>
      <c r="C1471">
        <v>1615000</v>
      </c>
      <c r="D1471" t="s">
        <v>6176</v>
      </c>
      <c r="E1471" t="s">
        <v>6177</v>
      </c>
      <c r="F1471">
        <v>3</v>
      </c>
      <c r="I1471" t="str">
        <f>HYPERLINK("tel:+19492831696", "949-283-1696")</f>
        <v>949-283-1696</v>
      </c>
      <c r="J1471" t="s">
        <v>6178</v>
      </c>
      <c r="K1471" t="s">
        <v>6179</v>
      </c>
      <c r="M1471">
        <v>9492831696</v>
      </c>
    </row>
    <row r="1472" spans="1:13" x14ac:dyDescent="0.25">
      <c r="A1472">
        <v>2591196901</v>
      </c>
      <c r="B1472" t="s">
        <v>6180</v>
      </c>
      <c r="C1472">
        <v>550000</v>
      </c>
      <c r="D1472" t="s">
        <v>6181</v>
      </c>
      <c r="E1472" t="s">
        <v>6182</v>
      </c>
      <c r="F1472">
        <v>3</v>
      </c>
      <c r="I1472" t="str">
        <f>HYPERLINK("tel:+19492850486", "949-285-0486")</f>
        <v>949-285-0486</v>
      </c>
      <c r="J1472" t="s">
        <v>6183</v>
      </c>
      <c r="K1472" t="s">
        <v>556</v>
      </c>
      <c r="M1472">
        <v>9492850486</v>
      </c>
    </row>
    <row r="1473" spans="1:13" x14ac:dyDescent="0.25">
      <c r="A1473">
        <v>9056636152</v>
      </c>
      <c r="B1473" t="s">
        <v>6184</v>
      </c>
      <c r="C1473">
        <v>1699900</v>
      </c>
      <c r="D1473" t="s">
        <v>6185</v>
      </c>
      <c r="E1473" t="s">
        <v>6186</v>
      </c>
      <c r="F1473">
        <v>3</v>
      </c>
      <c r="I1473" t="str">
        <f>HYPERLINK("tel:+19492878816", "949-287-8816")</f>
        <v>949-287-8816</v>
      </c>
      <c r="J1473" t="s">
        <v>6187</v>
      </c>
      <c r="K1473" t="s">
        <v>2409</v>
      </c>
      <c r="M1473">
        <v>9492878816</v>
      </c>
    </row>
    <row r="1474" spans="1:13" x14ac:dyDescent="0.25">
      <c r="A1474">
        <v>1142711078</v>
      </c>
      <c r="B1474" t="s">
        <v>6188</v>
      </c>
      <c r="C1474">
        <v>3300000</v>
      </c>
      <c r="D1474" t="s">
        <v>6189</v>
      </c>
      <c r="E1474" t="s">
        <v>6190</v>
      </c>
      <c r="F1474">
        <v>3</v>
      </c>
      <c r="I1474" t="str">
        <f>HYPERLINK("tel:+19492900199", "949-290-0199")</f>
        <v>949-290-0199</v>
      </c>
      <c r="J1474" t="s">
        <v>6191</v>
      </c>
      <c r="K1474" t="s">
        <v>6192</v>
      </c>
      <c r="M1474">
        <v>9492900199</v>
      </c>
    </row>
    <row r="1475" spans="1:13" x14ac:dyDescent="0.25">
      <c r="A1475">
        <v>1983869465</v>
      </c>
      <c r="B1475" t="s">
        <v>6154</v>
      </c>
      <c r="C1475">
        <v>13499000</v>
      </c>
      <c r="D1475" t="s">
        <v>6155</v>
      </c>
      <c r="E1475" t="s">
        <v>6193</v>
      </c>
      <c r="F1475">
        <v>3</v>
      </c>
      <c r="I1475" t="str">
        <f>HYPERLINK("tel:+19492900227", "949-290-0227")</f>
        <v>949-290-0227</v>
      </c>
      <c r="J1475" t="s">
        <v>6194</v>
      </c>
      <c r="K1475" t="s">
        <v>168</v>
      </c>
      <c r="M1475">
        <v>9492900227</v>
      </c>
    </row>
    <row r="1476" spans="1:13" x14ac:dyDescent="0.25">
      <c r="A1476">
        <v>1574586790</v>
      </c>
      <c r="B1476" t="s">
        <v>6195</v>
      </c>
      <c r="C1476">
        <v>1450000</v>
      </c>
      <c r="D1476" t="s">
        <v>6196</v>
      </c>
      <c r="E1476" t="s">
        <v>6197</v>
      </c>
      <c r="F1476">
        <v>3</v>
      </c>
      <c r="I1476" t="str">
        <f>HYPERLINK("tel:+19492913478", "949-291-3478")</f>
        <v>949-291-3478</v>
      </c>
      <c r="J1476" t="s">
        <v>6198</v>
      </c>
      <c r="K1476" t="s">
        <v>158</v>
      </c>
      <c r="M1476">
        <v>9492913478</v>
      </c>
    </row>
    <row r="1477" spans="1:13" x14ac:dyDescent="0.25">
      <c r="A1477">
        <v>2214351860</v>
      </c>
      <c r="B1477" t="s">
        <v>6199</v>
      </c>
      <c r="C1477">
        <v>150000</v>
      </c>
      <c r="D1477" t="s">
        <v>6200</v>
      </c>
      <c r="E1477" t="s">
        <v>6201</v>
      </c>
      <c r="F1477">
        <v>3</v>
      </c>
      <c r="I1477" t="str">
        <f>HYPERLINK("tel:+19492918241", "949-291-8241")</f>
        <v>949-291-8241</v>
      </c>
      <c r="J1477" t="s">
        <v>6202</v>
      </c>
      <c r="K1477" t="s">
        <v>158</v>
      </c>
      <c r="M1477">
        <v>9492918241</v>
      </c>
    </row>
    <row r="1478" spans="1:13" x14ac:dyDescent="0.25">
      <c r="A1478">
        <v>2476714703</v>
      </c>
      <c r="B1478" t="s">
        <v>6203</v>
      </c>
      <c r="C1478">
        <v>1780000</v>
      </c>
      <c r="D1478" t="s">
        <v>6204</v>
      </c>
      <c r="E1478" t="s">
        <v>6205</v>
      </c>
      <c r="F1478">
        <v>3</v>
      </c>
      <c r="I1478" t="str">
        <f>HYPERLINK("tel:+19492921537", "949-292-1537")</f>
        <v>949-292-1537</v>
      </c>
      <c r="J1478" t="s">
        <v>6206</v>
      </c>
      <c r="K1478" t="s">
        <v>6207</v>
      </c>
      <c r="M1478">
        <v>9492921537</v>
      </c>
    </row>
    <row r="1479" spans="1:13" x14ac:dyDescent="0.25">
      <c r="A1479">
        <v>2581455051</v>
      </c>
      <c r="B1479" t="s">
        <v>6208</v>
      </c>
      <c r="C1479">
        <v>699900</v>
      </c>
      <c r="D1479" t="s">
        <v>6209</v>
      </c>
      <c r="E1479" t="s">
        <v>6210</v>
      </c>
      <c r="F1479">
        <v>3</v>
      </c>
      <c r="I1479" t="str">
        <f>HYPERLINK("tel:+19492926058", "949-292-6058")</f>
        <v>949-292-6058</v>
      </c>
      <c r="J1479" t="s">
        <v>6211</v>
      </c>
      <c r="K1479" t="s">
        <v>1248</v>
      </c>
      <c r="M1479">
        <v>9492926058</v>
      </c>
    </row>
    <row r="1480" spans="1:13" x14ac:dyDescent="0.25">
      <c r="A1480">
        <v>9688599619</v>
      </c>
      <c r="B1480" t="s">
        <v>6212</v>
      </c>
      <c r="C1480">
        <v>2099500</v>
      </c>
      <c r="D1480" t="s">
        <v>6213</v>
      </c>
      <c r="E1480" t="s">
        <v>6214</v>
      </c>
      <c r="F1480">
        <v>3</v>
      </c>
      <c r="I1480" t="str">
        <f>HYPERLINK("tel:+19492945234", "949-294-5234")</f>
        <v>949-294-5234</v>
      </c>
      <c r="J1480" t="s">
        <v>6215</v>
      </c>
      <c r="K1480" t="s">
        <v>2356</v>
      </c>
      <c r="M1480">
        <v>9492945234</v>
      </c>
    </row>
    <row r="1481" spans="1:13" x14ac:dyDescent="0.25">
      <c r="A1481">
        <v>1012780237</v>
      </c>
      <c r="B1481" t="s">
        <v>6216</v>
      </c>
      <c r="C1481">
        <v>1099990</v>
      </c>
      <c r="D1481" t="s">
        <v>6217</v>
      </c>
      <c r="E1481" t="s">
        <v>6218</v>
      </c>
      <c r="F1481">
        <v>3</v>
      </c>
      <c r="I1481" t="str">
        <f>HYPERLINK("tel:+19492957770", "949-295-7770")</f>
        <v>949-295-7770</v>
      </c>
      <c r="J1481" t="s">
        <v>6219</v>
      </c>
      <c r="K1481" t="s">
        <v>158</v>
      </c>
      <c r="M1481">
        <v>9492957770</v>
      </c>
    </row>
    <row r="1482" spans="1:13" x14ac:dyDescent="0.25">
      <c r="A1482">
        <v>2588655816</v>
      </c>
      <c r="B1482" t="s">
        <v>6220</v>
      </c>
      <c r="C1482">
        <v>2998000</v>
      </c>
      <c r="D1482" t="s">
        <v>6221</v>
      </c>
      <c r="E1482" t="s">
        <v>6222</v>
      </c>
      <c r="F1482">
        <v>3</v>
      </c>
      <c r="I1482" t="str">
        <f>HYPERLINK("tel:+19492980518", "949-298-0518")</f>
        <v>949-298-0518</v>
      </c>
      <c r="J1482" t="s">
        <v>6223</v>
      </c>
      <c r="K1482" t="s">
        <v>450</v>
      </c>
      <c r="M1482">
        <v>9492980518</v>
      </c>
    </row>
    <row r="1483" spans="1:13" x14ac:dyDescent="0.25">
      <c r="A1483">
        <v>1335382055</v>
      </c>
      <c r="B1483" t="s">
        <v>6224</v>
      </c>
      <c r="C1483">
        <v>4999995</v>
      </c>
      <c r="D1483" t="s">
        <v>6225</v>
      </c>
      <c r="E1483" t="s">
        <v>6226</v>
      </c>
      <c r="F1483">
        <v>3</v>
      </c>
      <c r="I1483" t="str">
        <f>HYPERLINK("tel:+19493007412", "949-300-7412")</f>
        <v>949-300-7412</v>
      </c>
      <c r="J1483" t="s">
        <v>6227</v>
      </c>
      <c r="K1483" t="s">
        <v>4</v>
      </c>
      <c r="M1483">
        <v>9493007412</v>
      </c>
    </row>
    <row r="1484" spans="1:13" x14ac:dyDescent="0.25">
      <c r="A1484">
        <v>2106177511</v>
      </c>
      <c r="B1484" t="s">
        <v>6228</v>
      </c>
      <c r="C1484">
        <v>1098000</v>
      </c>
      <c r="D1484" t="s">
        <v>6229</v>
      </c>
      <c r="E1484" t="s">
        <v>6230</v>
      </c>
      <c r="F1484">
        <v>3</v>
      </c>
      <c r="I1484" t="str">
        <f>HYPERLINK("tel:+19493021490", "949-302-1490")</f>
        <v>949-302-1490</v>
      </c>
      <c r="J1484" t="s">
        <v>6231</v>
      </c>
      <c r="K1484" t="s">
        <v>168</v>
      </c>
      <c r="M1484">
        <v>9493021490</v>
      </c>
    </row>
    <row r="1485" spans="1:13" x14ac:dyDescent="0.25">
      <c r="A1485">
        <v>1904112125</v>
      </c>
      <c r="B1485" t="s">
        <v>6232</v>
      </c>
      <c r="C1485">
        <v>1479000</v>
      </c>
      <c r="D1485" t="s">
        <v>6233</v>
      </c>
      <c r="E1485" t="s">
        <v>6234</v>
      </c>
      <c r="F1485">
        <v>3</v>
      </c>
      <c r="I1485" t="str">
        <f>HYPERLINK("tel:+19493038461", "949-303-8461")</f>
        <v>949-303-8461</v>
      </c>
      <c r="J1485" t="s">
        <v>6235</v>
      </c>
      <c r="K1485" t="s">
        <v>158</v>
      </c>
      <c r="M1485">
        <v>9493038461</v>
      </c>
    </row>
    <row r="1486" spans="1:13" x14ac:dyDescent="0.25">
      <c r="A1486">
        <v>1645894483</v>
      </c>
      <c r="B1486" t="s">
        <v>6236</v>
      </c>
      <c r="C1486">
        <v>3320000</v>
      </c>
      <c r="D1486" t="s">
        <v>6237</v>
      </c>
      <c r="E1486" t="s">
        <v>6238</v>
      </c>
      <c r="F1486">
        <v>3</v>
      </c>
      <c r="I1486" t="str">
        <f>HYPERLINK("tel:+19493063083", "949-306-3083")</f>
        <v>949-306-3083</v>
      </c>
      <c r="J1486" t="s">
        <v>6239</v>
      </c>
      <c r="K1486" t="s">
        <v>608</v>
      </c>
      <c r="M1486">
        <v>9493063083</v>
      </c>
    </row>
    <row r="1487" spans="1:13" x14ac:dyDescent="0.25">
      <c r="A1487">
        <v>9117811193</v>
      </c>
      <c r="B1487" t="s">
        <v>6240</v>
      </c>
      <c r="C1487">
        <v>389000</v>
      </c>
      <c r="D1487" t="s">
        <v>6241</v>
      </c>
      <c r="E1487" t="s">
        <v>6242</v>
      </c>
      <c r="F1487">
        <v>3</v>
      </c>
      <c r="I1487" t="str">
        <f>HYPERLINK("tel:+19493074330", "949-307-4330")</f>
        <v>949-307-4330</v>
      </c>
      <c r="J1487" t="s">
        <v>6243</v>
      </c>
      <c r="K1487" t="s">
        <v>2373</v>
      </c>
      <c r="M1487">
        <v>9493074330</v>
      </c>
    </row>
    <row r="1488" spans="1:13" x14ac:dyDescent="0.25">
      <c r="A1488">
        <v>2108561309</v>
      </c>
      <c r="B1488" t="s">
        <v>6244</v>
      </c>
      <c r="C1488">
        <v>3795000</v>
      </c>
      <c r="D1488" t="s">
        <v>6245</v>
      </c>
      <c r="E1488" t="s">
        <v>6246</v>
      </c>
      <c r="F1488">
        <v>3</v>
      </c>
      <c r="I1488" t="str">
        <f>HYPERLINK("tel:+19493103417", "949-310-3417")</f>
        <v>949-310-3417</v>
      </c>
      <c r="J1488" t="s">
        <v>6247</v>
      </c>
      <c r="K1488" t="s">
        <v>744</v>
      </c>
      <c r="M1488">
        <v>9493103417</v>
      </c>
    </row>
    <row r="1489" spans="1:13" x14ac:dyDescent="0.25">
      <c r="A1489">
        <v>9034904530</v>
      </c>
      <c r="B1489" t="s">
        <v>6248</v>
      </c>
      <c r="C1489">
        <v>429900</v>
      </c>
      <c r="D1489" t="s">
        <v>6249</v>
      </c>
      <c r="E1489" t="s">
        <v>6250</v>
      </c>
      <c r="F1489">
        <v>3</v>
      </c>
      <c r="I1489" t="str">
        <f>HYPERLINK("tel:+19493150038", "949-315-0038")</f>
        <v>949-315-0038</v>
      </c>
      <c r="J1489" t="s">
        <v>6251</v>
      </c>
      <c r="K1489" t="s">
        <v>1090</v>
      </c>
      <c r="M1489">
        <v>9493150038</v>
      </c>
    </row>
    <row r="1490" spans="1:13" x14ac:dyDescent="0.25">
      <c r="A1490">
        <v>2227615846</v>
      </c>
      <c r="B1490" t="s">
        <v>6252</v>
      </c>
      <c r="C1490">
        <v>10795000</v>
      </c>
      <c r="D1490" t="s">
        <v>6253</v>
      </c>
      <c r="E1490" t="s">
        <v>6254</v>
      </c>
      <c r="F1490">
        <v>3</v>
      </c>
      <c r="I1490" t="str">
        <f>HYPERLINK("tel:+19493151111", "949-315-1111")</f>
        <v>949-315-1111</v>
      </c>
      <c r="J1490" t="s">
        <v>6255</v>
      </c>
      <c r="K1490" t="s">
        <v>953</v>
      </c>
      <c r="M1490">
        <v>9493151111</v>
      </c>
    </row>
    <row r="1491" spans="1:13" x14ac:dyDescent="0.25">
      <c r="A1491">
        <v>2955461768</v>
      </c>
      <c r="B1491" t="s">
        <v>6256</v>
      </c>
      <c r="C1491">
        <v>12500000</v>
      </c>
      <c r="D1491" t="s">
        <v>6257</v>
      </c>
      <c r="E1491" t="s">
        <v>6258</v>
      </c>
      <c r="F1491">
        <v>3</v>
      </c>
      <c r="I1491" t="str">
        <f>HYPERLINK("tel:+19493155255", "949-315-5255")</f>
        <v>949-315-5255</v>
      </c>
      <c r="J1491" t="s">
        <v>6259</v>
      </c>
      <c r="K1491" t="s">
        <v>1238</v>
      </c>
      <c r="M1491">
        <v>9493155255</v>
      </c>
    </row>
    <row r="1492" spans="1:13" x14ac:dyDescent="0.25">
      <c r="A1492">
        <v>2211356551</v>
      </c>
      <c r="B1492" t="s">
        <v>6260</v>
      </c>
      <c r="C1492">
        <v>448000</v>
      </c>
      <c r="D1492" t="s">
        <v>6261</v>
      </c>
      <c r="E1492" t="s">
        <v>6262</v>
      </c>
      <c r="F1492">
        <v>3</v>
      </c>
      <c r="I1492" t="str">
        <f>HYPERLINK("tel:+19493225444", "949-322-5444")</f>
        <v>949-322-5444</v>
      </c>
      <c r="J1492" t="s">
        <v>6263</v>
      </c>
      <c r="K1492" t="s">
        <v>431</v>
      </c>
      <c r="M1492">
        <v>9493225444</v>
      </c>
    </row>
    <row r="1493" spans="1:13" x14ac:dyDescent="0.25">
      <c r="A1493">
        <v>9382241231</v>
      </c>
      <c r="B1493" t="s">
        <v>6264</v>
      </c>
      <c r="C1493">
        <v>195000</v>
      </c>
      <c r="D1493" t="s">
        <v>6265</v>
      </c>
      <c r="E1493" t="s">
        <v>6266</v>
      </c>
      <c r="F1493">
        <v>3</v>
      </c>
      <c r="I1493" t="str">
        <f>HYPERLINK("tel:+19493227467", "949-322-7467")</f>
        <v>949-322-7467</v>
      </c>
      <c r="J1493" t="s">
        <v>6267</v>
      </c>
      <c r="K1493" t="s">
        <v>6268</v>
      </c>
      <c r="M1493">
        <v>9493227467</v>
      </c>
    </row>
    <row r="1494" spans="1:13" x14ac:dyDescent="0.25">
      <c r="A1494">
        <v>1195538717</v>
      </c>
      <c r="B1494" t="s">
        <v>6269</v>
      </c>
      <c r="C1494">
        <v>899000</v>
      </c>
      <c r="D1494" t="s">
        <v>6270</v>
      </c>
      <c r="E1494" t="s">
        <v>6271</v>
      </c>
      <c r="F1494">
        <v>3</v>
      </c>
      <c r="I1494" t="str">
        <f>HYPERLINK("tel:+19493263398", "949-326-3398")</f>
        <v>949-326-3398</v>
      </c>
      <c r="J1494" t="s">
        <v>6272</v>
      </c>
      <c r="K1494" t="s">
        <v>450</v>
      </c>
      <c r="M1494">
        <v>9493263398</v>
      </c>
    </row>
    <row r="1495" spans="1:13" x14ac:dyDescent="0.25">
      <c r="A1495">
        <v>2690939885</v>
      </c>
      <c r="B1495" t="s">
        <v>6273</v>
      </c>
      <c r="C1495">
        <v>13990000</v>
      </c>
      <c r="D1495" t="s">
        <v>6274</v>
      </c>
      <c r="E1495" t="s">
        <v>6275</v>
      </c>
      <c r="F1495">
        <v>3</v>
      </c>
      <c r="I1495" t="str">
        <f>HYPERLINK("tel:+19493339195", "949-333-9195")</f>
        <v>949-333-9195</v>
      </c>
      <c r="J1495" t="s">
        <v>6276</v>
      </c>
      <c r="K1495" t="s">
        <v>6277</v>
      </c>
      <c r="M1495">
        <v>9493339195</v>
      </c>
    </row>
    <row r="1496" spans="1:13" x14ac:dyDescent="0.25">
      <c r="A1496">
        <v>2345253054</v>
      </c>
      <c r="B1496" t="s">
        <v>6278</v>
      </c>
      <c r="C1496">
        <v>1495000</v>
      </c>
      <c r="D1496" t="s">
        <v>6279</v>
      </c>
      <c r="E1496" t="s">
        <v>6280</v>
      </c>
      <c r="F1496">
        <v>3</v>
      </c>
      <c r="I1496" t="str">
        <f>HYPERLINK("tel:+19493381727", "949-338-1727")</f>
        <v>949-338-1727</v>
      </c>
      <c r="J1496" t="s">
        <v>6281</v>
      </c>
      <c r="K1496" t="s">
        <v>6282</v>
      </c>
      <c r="M1496">
        <v>9493381727</v>
      </c>
    </row>
    <row r="1497" spans="1:13" x14ac:dyDescent="0.25">
      <c r="A1497">
        <v>9817449296</v>
      </c>
      <c r="B1497" t="s">
        <v>6283</v>
      </c>
      <c r="C1497">
        <v>774800</v>
      </c>
      <c r="D1497" t="s">
        <v>6284</v>
      </c>
      <c r="E1497" t="s">
        <v>6285</v>
      </c>
      <c r="F1497">
        <v>3</v>
      </c>
      <c r="I1497" t="str">
        <f>HYPERLINK("tel:+19493382027", "949-338-2027")</f>
        <v>949-338-2027</v>
      </c>
      <c r="J1497" t="s">
        <v>6286</v>
      </c>
      <c r="K1497" t="s">
        <v>158</v>
      </c>
      <c r="M1497">
        <v>9493382027</v>
      </c>
    </row>
    <row r="1498" spans="1:13" x14ac:dyDescent="0.25">
      <c r="A1498">
        <v>1292462050</v>
      </c>
      <c r="B1498" t="s">
        <v>6287</v>
      </c>
      <c r="C1498">
        <v>115000</v>
      </c>
      <c r="D1498" t="s">
        <v>6288</v>
      </c>
      <c r="E1498" t="s">
        <v>6289</v>
      </c>
      <c r="F1498">
        <v>3</v>
      </c>
      <c r="I1498" t="str">
        <f>HYPERLINK("tel:+19493385361", "949-338-5361")</f>
        <v>949-338-5361</v>
      </c>
      <c r="J1498" t="s">
        <v>6290</v>
      </c>
      <c r="K1498" t="s">
        <v>6291</v>
      </c>
      <c r="M1498">
        <v>9493385361</v>
      </c>
    </row>
    <row r="1499" spans="1:13" x14ac:dyDescent="0.25">
      <c r="A1499">
        <v>1131807841</v>
      </c>
      <c r="B1499" t="s">
        <v>6292</v>
      </c>
      <c r="C1499">
        <v>3500000</v>
      </c>
      <c r="D1499" t="s">
        <v>6293</v>
      </c>
      <c r="E1499" t="s">
        <v>6294</v>
      </c>
      <c r="F1499">
        <v>3</v>
      </c>
      <c r="I1499" t="str">
        <f>HYPERLINK("tel:+19493394733", "949-339-4733")</f>
        <v>949-339-4733</v>
      </c>
      <c r="J1499" t="s">
        <v>6295</v>
      </c>
      <c r="K1499" t="s">
        <v>6296</v>
      </c>
      <c r="M1499">
        <v>9493394733</v>
      </c>
    </row>
    <row r="1500" spans="1:13" x14ac:dyDescent="0.25">
      <c r="A1500">
        <v>9588447730</v>
      </c>
      <c r="B1500" t="s">
        <v>6297</v>
      </c>
      <c r="C1500">
        <v>1679900</v>
      </c>
      <c r="D1500" t="s">
        <v>6298</v>
      </c>
      <c r="E1500" t="s">
        <v>6299</v>
      </c>
      <c r="F1500">
        <v>3</v>
      </c>
      <c r="I1500" t="str">
        <f>HYPERLINK("tel:+19493500808", "949-350-0808")</f>
        <v>949-350-0808</v>
      </c>
      <c r="J1500" t="s">
        <v>6300</v>
      </c>
      <c r="K1500" t="s">
        <v>6301</v>
      </c>
      <c r="M1500">
        <v>9493500808</v>
      </c>
    </row>
    <row r="1501" spans="1:13" x14ac:dyDescent="0.25">
      <c r="A1501">
        <v>1328312898</v>
      </c>
      <c r="B1501" t="s">
        <v>6302</v>
      </c>
      <c r="C1501">
        <v>855000</v>
      </c>
      <c r="D1501" t="s">
        <v>6303</v>
      </c>
      <c r="E1501" t="s">
        <v>6304</v>
      </c>
      <c r="F1501">
        <v>3</v>
      </c>
      <c r="I1501" t="str">
        <f>HYPERLINK("tel:+19493509555", "949-350-9555")</f>
        <v>949-350-9555</v>
      </c>
      <c r="J1501" t="s">
        <v>6305</v>
      </c>
      <c r="K1501" t="s">
        <v>6306</v>
      </c>
      <c r="M1501">
        <v>9493509555</v>
      </c>
    </row>
    <row r="1502" spans="1:13" x14ac:dyDescent="0.25">
      <c r="A1502">
        <v>9477930095</v>
      </c>
      <c r="B1502" t="s">
        <v>6307</v>
      </c>
      <c r="C1502">
        <v>1150000</v>
      </c>
      <c r="D1502" t="s">
        <v>6308</v>
      </c>
      <c r="E1502" t="s">
        <v>6309</v>
      </c>
      <c r="F1502">
        <v>3</v>
      </c>
      <c r="I1502" t="str">
        <f>HYPERLINK("tel:+19493539494", "949-353-9494")</f>
        <v>949-353-9494</v>
      </c>
      <c r="J1502" t="s">
        <v>6310</v>
      </c>
      <c r="K1502" t="s">
        <v>6162</v>
      </c>
      <c r="M1502">
        <v>9493539494</v>
      </c>
    </row>
    <row r="1503" spans="1:13" x14ac:dyDescent="0.25">
      <c r="A1503">
        <v>1688606053</v>
      </c>
      <c r="B1503" t="s">
        <v>6311</v>
      </c>
      <c r="C1503">
        <v>539000</v>
      </c>
      <c r="D1503" t="s">
        <v>6312</v>
      </c>
      <c r="E1503" t="s">
        <v>6313</v>
      </c>
      <c r="F1503">
        <v>3</v>
      </c>
      <c r="I1503" t="str">
        <f>HYPERLINK("tel:+19493544430", "949-354-4430")</f>
        <v>949-354-4430</v>
      </c>
      <c r="J1503" t="s">
        <v>6314</v>
      </c>
      <c r="K1503" t="s">
        <v>6315</v>
      </c>
      <c r="M1503">
        <v>9493544430</v>
      </c>
    </row>
    <row r="1504" spans="1:13" x14ac:dyDescent="0.25">
      <c r="A1504">
        <v>1131807841</v>
      </c>
      <c r="B1504" t="s">
        <v>6292</v>
      </c>
      <c r="C1504">
        <v>3500000</v>
      </c>
      <c r="D1504" t="s">
        <v>6293</v>
      </c>
      <c r="E1504" t="s">
        <v>6316</v>
      </c>
      <c r="F1504">
        <v>3</v>
      </c>
      <c r="I1504" t="str">
        <f>HYPERLINK("tel:+19493633162", "949-363-3162")</f>
        <v>949-363-3162</v>
      </c>
      <c r="J1504" t="s">
        <v>6317</v>
      </c>
      <c r="K1504" t="s">
        <v>6296</v>
      </c>
      <c r="M1504">
        <v>9493633162</v>
      </c>
    </row>
    <row r="1505" spans="1:13" x14ac:dyDescent="0.25">
      <c r="A1505">
        <v>9136918211</v>
      </c>
      <c r="B1505" t="s">
        <v>6318</v>
      </c>
      <c r="C1505">
        <v>849900</v>
      </c>
      <c r="D1505" t="s">
        <v>6319</v>
      </c>
      <c r="E1505" t="s">
        <v>6320</v>
      </c>
      <c r="F1505">
        <v>3</v>
      </c>
      <c r="I1505" t="str">
        <f>HYPERLINK("tel:+19493656457", "949-365-6457")</f>
        <v>949-365-6457</v>
      </c>
      <c r="J1505" t="s">
        <v>6321</v>
      </c>
      <c r="K1505" t="s">
        <v>1248</v>
      </c>
      <c r="M1505">
        <v>9493656457</v>
      </c>
    </row>
    <row r="1506" spans="1:13" x14ac:dyDescent="0.25">
      <c r="A1506">
        <v>2781152783</v>
      </c>
      <c r="B1506" t="s">
        <v>6322</v>
      </c>
      <c r="C1506">
        <v>1199995</v>
      </c>
      <c r="D1506" t="s">
        <v>6323</v>
      </c>
      <c r="E1506" t="s">
        <v>6324</v>
      </c>
      <c r="F1506">
        <v>3</v>
      </c>
      <c r="I1506" t="str">
        <f>HYPERLINK("tel:+19493708303", "949-370-8303")</f>
        <v>949-370-8303</v>
      </c>
      <c r="J1506" t="s">
        <v>6325</v>
      </c>
      <c r="K1506" t="s">
        <v>495</v>
      </c>
      <c r="M1506">
        <v>9493708303</v>
      </c>
    </row>
    <row r="1507" spans="1:13" x14ac:dyDescent="0.25">
      <c r="A1507">
        <v>2128413907</v>
      </c>
      <c r="B1507" t="s">
        <v>6326</v>
      </c>
      <c r="C1507">
        <v>3195000</v>
      </c>
      <c r="D1507" t="s">
        <v>6327</v>
      </c>
      <c r="E1507" t="s">
        <v>6328</v>
      </c>
      <c r="F1507">
        <v>3</v>
      </c>
      <c r="I1507" t="str">
        <f>HYPERLINK("tel:+19493952417", "949-395-2417")</f>
        <v>949-395-2417</v>
      </c>
      <c r="J1507" t="s">
        <v>6329</v>
      </c>
      <c r="K1507" t="s">
        <v>24</v>
      </c>
      <c r="M1507">
        <v>9493952417</v>
      </c>
    </row>
    <row r="1508" spans="1:13" x14ac:dyDescent="0.25">
      <c r="A1508">
        <v>2102002503</v>
      </c>
      <c r="B1508" t="s">
        <v>6330</v>
      </c>
      <c r="C1508">
        <v>8995000</v>
      </c>
      <c r="D1508" t="s">
        <v>6331</v>
      </c>
      <c r="E1508" t="s">
        <v>6332</v>
      </c>
      <c r="F1508">
        <v>3</v>
      </c>
      <c r="I1508" t="str">
        <f>HYPERLINK("tel:+19493958408", "949-395-8408")</f>
        <v>949-395-8408</v>
      </c>
      <c r="J1508" t="s">
        <v>6333</v>
      </c>
      <c r="K1508" t="s">
        <v>744</v>
      </c>
      <c r="M1508">
        <v>9493958408</v>
      </c>
    </row>
    <row r="1509" spans="1:13" x14ac:dyDescent="0.25">
      <c r="A1509">
        <v>1930084286</v>
      </c>
      <c r="B1509" t="s">
        <v>6334</v>
      </c>
      <c r="C1509">
        <v>7499000</v>
      </c>
      <c r="D1509" t="s">
        <v>6335</v>
      </c>
      <c r="E1509" t="s">
        <v>6336</v>
      </c>
      <c r="F1509">
        <v>3</v>
      </c>
      <c r="I1509" t="str">
        <f>HYPERLINK("tel:+19494000987", "949-400-0987")</f>
        <v>949-400-0987</v>
      </c>
      <c r="J1509" t="s">
        <v>6337</v>
      </c>
      <c r="K1509" t="s">
        <v>158</v>
      </c>
      <c r="M1509">
        <v>9494000987</v>
      </c>
    </row>
    <row r="1510" spans="1:13" x14ac:dyDescent="0.25">
      <c r="A1510">
        <v>1793863598</v>
      </c>
      <c r="B1510" t="s">
        <v>6338</v>
      </c>
      <c r="C1510">
        <v>985000</v>
      </c>
      <c r="D1510" t="s">
        <v>6339</v>
      </c>
      <c r="E1510" t="s">
        <v>6340</v>
      </c>
      <c r="F1510">
        <v>3</v>
      </c>
      <c r="I1510" t="str">
        <f>HYPERLINK("tel:+19494001282", "949-400-1282")</f>
        <v>949-400-1282</v>
      </c>
      <c r="J1510" t="s">
        <v>6341</v>
      </c>
      <c r="K1510" t="s">
        <v>158</v>
      </c>
      <c r="M1510">
        <v>9494001282</v>
      </c>
    </row>
    <row r="1511" spans="1:13" x14ac:dyDescent="0.25">
      <c r="A1511">
        <v>2823593675</v>
      </c>
      <c r="B1511" t="s">
        <v>6342</v>
      </c>
      <c r="C1511">
        <v>1299000</v>
      </c>
      <c r="D1511" t="s">
        <v>6343</v>
      </c>
      <c r="E1511" t="s">
        <v>6344</v>
      </c>
      <c r="F1511">
        <v>3</v>
      </c>
      <c r="I1511" t="str">
        <f>HYPERLINK("tel:+19494134865", "949-413-4865")</f>
        <v>949-413-4865</v>
      </c>
      <c r="J1511" t="s">
        <v>6345</v>
      </c>
      <c r="K1511" t="s">
        <v>500</v>
      </c>
      <c r="M1511">
        <v>9494134865</v>
      </c>
    </row>
    <row r="1512" spans="1:13" x14ac:dyDescent="0.25">
      <c r="A1512">
        <v>2289947123</v>
      </c>
      <c r="B1512" t="s">
        <v>6346</v>
      </c>
      <c r="C1512">
        <v>9998800</v>
      </c>
      <c r="D1512" t="s">
        <v>6347</v>
      </c>
      <c r="E1512" t="s">
        <v>6348</v>
      </c>
      <c r="F1512">
        <v>3</v>
      </c>
      <c r="I1512" t="str">
        <f>HYPERLINK("tel:+19494134899", "949-413-4899")</f>
        <v>949-413-4899</v>
      </c>
      <c r="J1512" t="s">
        <v>6349</v>
      </c>
      <c r="K1512" t="s">
        <v>6350</v>
      </c>
      <c r="M1512">
        <v>9494134899</v>
      </c>
    </row>
    <row r="1513" spans="1:13" x14ac:dyDescent="0.25">
      <c r="A1513">
        <v>1718104507</v>
      </c>
      <c r="B1513" t="s">
        <v>6351</v>
      </c>
      <c r="C1513">
        <v>1880000</v>
      </c>
      <c r="D1513" t="s">
        <v>6352</v>
      </c>
      <c r="E1513" t="s">
        <v>6353</v>
      </c>
      <c r="F1513">
        <v>3</v>
      </c>
      <c r="I1513" t="str">
        <f>HYPERLINK("tel:+19494197225", "949-419-7225")</f>
        <v>949-419-7225</v>
      </c>
      <c r="J1513" t="s">
        <v>6354</v>
      </c>
      <c r="K1513" t="s">
        <v>1610</v>
      </c>
      <c r="M1513">
        <v>9494197225</v>
      </c>
    </row>
    <row r="1514" spans="1:13" x14ac:dyDescent="0.25">
      <c r="A1514">
        <v>9966666547</v>
      </c>
      <c r="B1514" t="s">
        <v>6355</v>
      </c>
      <c r="C1514">
        <v>6400000</v>
      </c>
      <c r="D1514" t="s">
        <v>6356</v>
      </c>
      <c r="E1514" t="s">
        <v>6357</v>
      </c>
      <c r="F1514">
        <v>3</v>
      </c>
      <c r="I1514" t="str">
        <f>HYPERLINK("tel:+19494221108", "949-422-1108")</f>
        <v>949-422-1108</v>
      </c>
      <c r="J1514" t="s">
        <v>6358</v>
      </c>
      <c r="K1514" t="s">
        <v>6359</v>
      </c>
      <c r="M1514">
        <v>9494221108</v>
      </c>
    </row>
    <row r="1515" spans="1:13" x14ac:dyDescent="0.25">
      <c r="A1515">
        <v>2679648762</v>
      </c>
      <c r="B1515" t="s">
        <v>6360</v>
      </c>
      <c r="C1515">
        <v>1649000</v>
      </c>
      <c r="D1515" t="s">
        <v>6361</v>
      </c>
      <c r="E1515" t="s">
        <v>6362</v>
      </c>
      <c r="F1515">
        <v>3</v>
      </c>
      <c r="I1515" t="str">
        <f>HYPERLINK("tel:+19494221602", "949-422-1602")</f>
        <v>949-422-1602</v>
      </c>
      <c r="J1515" t="s">
        <v>6363</v>
      </c>
      <c r="K1515" t="s">
        <v>2319</v>
      </c>
      <c r="M1515">
        <v>9494221602</v>
      </c>
    </row>
    <row r="1516" spans="1:13" x14ac:dyDescent="0.25">
      <c r="A1516">
        <v>1315271805</v>
      </c>
      <c r="B1516" t="s">
        <v>3835</v>
      </c>
      <c r="C1516">
        <v>2895000</v>
      </c>
      <c r="D1516" t="s">
        <v>3836</v>
      </c>
      <c r="E1516" t="s">
        <v>6364</v>
      </c>
      <c r="F1516">
        <v>3</v>
      </c>
      <c r="I1516" t="str">
        <f>HYPERLINK("tel:+19494226409", "949-422-6409")</f>
        <v>949-422-6409</v>
      </c>
      <c r="J1516" t="s">
        <v>6365</v>
      </c>
      <c r="K1516" t="s">
        <v>3839</v>
      </c>
      <c r="M1516">
        <v>9494226409</v>
      </c>
    </row>
    <row r="1517" spans="1:13" x14ac:dyDescent="0.25">
      <c r="A1517">
        <v>9360909241</v>
      </c>
      <c r="B1517" t="s">
        <v>6366</v>
      </c>
      <c r="C1517">
        <v>1375000</v>
      </c>
      <c r="D1517" t="s">
        <v>6367</v>
      </c>
      <c r="E1517" t="s">
        <v>6368</v>
      </c>
      <c r="F1517">
        <v>3</v>
      </c>
      <c r="I1517" t="str">
        <f>HYPERLINK("tel:+19494360505", "949-436-0505")</f>
        <v>949-436-0505</v>
      </c>
      <c r="J1517" t="s">
        <v>6369</v>
      </c>
      <c r="K1517" t="s">
        <v>219</v>
      </c>
      <c r="M1517">
        <v>9494360505</v>
      </c>
    </row>
    <row r="1518" spans="1:13" x14ac:dyDescent="0.25">
      <c r="A1518">
        <v>1718104507</v>
      </c>
      <c r="B1518" t="s">
        <v>6351</v>
      </c>
      <c r="C1518">
        <v>1880000</v>
      </c>
      <c r="D1518" t="s">
        <v>6352</v>
      </c>
      <c r="E1518" t="s">
        <v>6370</v>
      </c>
      <c r="F1518">
        <v>3</v>
      </c>
      <c r="I1518" t="str">
        <f>HYPERLINK("tel:+19494444156", "949-444-4156")</f>
        <v>949-444-4156</v>
      </c>
      <c r="J1518" t="s">
        <v>6371</v>
      </c>
      <c r="K1518" t="s">
        <v>1610</v>
      </c>
      <c r="M1518">
        <v>9494444156</v>
      </c>
    </row>
    <row r="1519" spans="1:13" x14ac:dyDescent="0.25">
      <c r="A1519">
        <v>2855976498</v>
      </c>
      <c r="B1519" t="s">
        <v>6372</v>
      </c>
      <c r="C1519">
        <v>1899999</v>
      </c>
      <c r="D1519" t="s">
        <v>6373</v>
      </c>
      <c r="E1519" t="s">
        <v>6374</v>
      </c>
      <c r="F1519">
        <v>3</v>
      </c>
      <c r="I1519" t="str">
        <f>HYPERLINK("tel:+19494455562", "949-445-5562")</f>
        <v>949-445-5562</v>
      </c>
      <c r="J1519" t="s">
        <v>6375</v>
      </c>
      <c r="K1519" t="s">
        <v>3232</v>
      </c>
      <c r="M1519">
        <v>9494455562</v>
      </c>
    </row>
    <row r="1520" spans="1:13" x14ac:dyDescent="0.25">
      <c r="A1520">
        <v>1092119428</v>
      </c>
      <c r="B1520" t="s">
        <v>5311</v>
      </c>
      <c r="C1520">
        <v>1950000</v>
      </c>
      <c r="D1520" t="s">
        <v>5312</v>
      </c>
      <c r="E1520" t="s">
        <v>6376</v>
      </c>
      <c r="F1520">
        <v>3</v>
      </c>
      <c r="I1520" t="str">
        <f>HYPERLINK("tel:+19494480961", "949-448-0961")</f>
        <v>949-448-0961</v>
      </c>
      <c r="J1520" t="s">
        <v>6377</v>
      </c>
      <c r="K1520" t="s">
        <v>5315</v>
      </c>
      <c r="M1520">
        <v>9494480961</v>
      </c>
    </row>
    <row r="1521" spans="1:13" x14ac:dyDescent="0.25">
      <c r="A1521">
        <v>2607584195</v>
      </c>
      <c r="B1521" t="s">
        <v>6378</v>
      </c>
      <c r="C1521">
        <v>1950000</v>
      </c>
      <c r="D1521" t="s">
        <v>6379</v>
      </c>
      <c r="E1521" t="s">
        <v>6380</v>
      </c>
      <c r="F1521">
        <v>3</v>
      </c>
      <c r="I1521" t="str">
        <f>HYPERLINK("tel:+19494631085", "949-463-1085")</f>
        <v>949-463-1085</v>
      </c>
      <c r="J1521" t="s">
        <v>6381</v>
      </c>
      <c r="K1521" t="s">
        <v>6382</v>
      </c>
      <c r="M1521">
        <v>9494631085</v>
      </c>
    </row>
    <row r="1522" spans="1:13" x14ac:dyDescent="0.25">
      <c r="A1522">
        <v>9215123769</v>
      </c>
      <c r="B1522" t="s">
        <v>6383</v>
      </c>
      <c r="C1522">
        <v>287000</v>
      </c>
      <c r="D1522" t="s">
        <v>6384</v>
      </c>
      <c r="E1522" t="s">
        <v>6385</v>
      </c>
      <c r="F1522">
        <v>3</v>
      </c>
      <c r="I1522" t="str">
        <f>HYPERLINK("tel:+19494637523", "949-463-7523")</f>
        <v>949-463-7523</v>
      </c>
      <c r="J1522" t="s">
        <v>6386</v>
      </c>
      <c r="K1522" t="s">
        <v>505</v>
      </c>
      <c r="M1522">
        <v>9494637523</v>
      </c>
    </row>
    <row r="1523" spans="1:13" x14ac:dyDescent="0.25">
      <c r="A1523">
        <v>2004415320</v>
      </c>
      <c r="B1523" t="s">
        <v>6387</v>
      </c>
      <c r="C1523">
        <v>1039000</v>
      </c>
      <c r="D1523" t="s">
        <v>6388</v>
      </c>
      <c r="E1523" t="s">
        <v>6389</v>
      </c>
      <c r="F1523">
        <v>3</v>
      </c>
      <c r="I1523" t="str">
        <f>HYPERLINK("tel:+19494787827", "949-478-7827")</f>
        <v>949-478-7827</v>
      </c>
      <c r="J1523" t="s">
        <v>6390</v>
      </c>
      <c r="K1523" t="s">
        <v>2737</v>
      </c>
      <c r="M1523">
        <v>9494787827</v>
      </c>
    </row>
    <row r="1524" spans="1:13" x14ac:dyDescent="0.25">
      <c r="A1524">
        <v>2144672007</v>
      </c>
      <c r="B1524" t="s">
        <v>6391</v>
      </c>
      <c r="C1524">
        <v>1899000</v>
      </c>
      <c r="D1524" t="s">
        <v>6392</v>
      </c>
      <c r="E1524" t="s">
        <v>6393</v>
      </c>
      <c r="F1524">
        <v>3</v>
      </c>
      <c r="I1524" t="str">
        <f>HYPERLINK("tel:+19494825505", "949-482-5505")</f>
        <v>949-482-5505</v>
      </c>
      <c r="J1524" t="s">
        <v>6394</v>
      </c>
      <c r="K1524" t="s">
        <v>158</v>
      </c>
      <c r="M1524">
        <v>9494825505</v>
      </c>
    </row>
    <row r="1525" spans="1:13" x14ac:dyDescent="0.25">
      <c r="A1525">
        <v>9522147895</v>
      </c>
      <c r="B1525" t="s">
        <v>6395</v>
      </c>
      <c r="C1525">
        <v>890000</v>
      </c>
      <c r="D1525" t="s">
        <v>6396</v>
      </c>
      <c r="E1525" t="s">
        <v>6397</v>
      </c>
      <c r="F1525">
        <v>3</v>
      </c>
      <c r="I1525" t="str">
        <f>HYPERLINK("tel:+19494962677", "949-496-2677")</f>
        <v>949-496-2677</v>
      </c>
      <c r="J1525" t="s">
        <v>6398</v>
      </c>
      <c r="K1525" t="s">
        <v>6399</v>
      </c>
      <c r="M1525">
        <v>9494962677</v>
      </c>
    </row>
    <row r="1526" spans="1:13" x14ac:dyDescent="0.25">
      <c r="A1526">
        <v>2207161643</v>
      </c>
      <c r="B1526" t="s">
        <v>1210</v>
      </c>
      <c r="C1526">
        <v>3800000</v>
      </c>
      <c r="D1526" t="s">
        <v>1211</v>
      </c>
      <c r="E1526" t="s">
        <v>6400</v>
      </c>
      <c r="F1526">
        <v>3</v>
      </c>
      <c r="I1526" t="str">
        <f>HYPERLINK("tel:+19495001807", "949-500-1807")</f>
        <v>949-500-1807</v>
      </c>
      <c r="J1526" t="s">
        <v>6401</v>
      </c>
      <c r="K1526" t="s">
        <v>168</v>
      </c>
      <c r="M1526">
        <v>9495001807</v>
      </c>
    </row>
    <row r="1527" spans="1:13" x14ac:dyDescent="0.25">
      <c r="A1527">
        <v>2759102717</v>
      </c>
      <c r="B1527" t="s">
        <v>6402</v>
      </c>
      <c r="C1527">
        <v>12000000</v>
      </c>
      <c r="D1527" t="s">
        <v>6403</v>
      </c>
      <c r="E1527" t="s">
        <v>6404</v>
      </c>
      <c r="F1527">
        <v>3</v>
      </c>
      <c r="I1527" t="str">
        <f>HYPERLINK("tel:+19495005641", "949-500-5641")</f>
        <v>949-500-5641</v>
      </c>
      <c r="J1527" t="s">
        <v>6405</v>
      </c>
      <c r="K1527" t="s">
        <v>219</v>
      </c>
      <c r="M1527">
        <v>9495005641</v>
      </c>
    </row>
    <row r="1528" spans="1:13" x14ac:dyDescent="0.25">
      <c r="A1528">
        <v>2068550282</v>
      </c>
      <c r="B1528" t="s">
        <v>6406</v>
      </c>
      <c r="C1528">
        <v>4795000</v>
      </c>
      <c r="D1528" t="s">
        <v>6407</v>
      </c>
      <c r="E1528" t="s">
        <v>6408</v>
      </c>
      <c r="F1528">
        <v>3</v>
      </c>
      <c r="I1528" t="str">
        <f>HYPERLINK("tel:+19495006597", "949-500-6597")</f>
        <v>949-500-6597</v>
      </c>
      <c r="J1528" t="s">
        <v>6409</v>
      </c>
      <c r="K1528" t="s">
        <v>617</v>
      </c>
      <c r="M1528">
        <v>9495006597</v>
      </c>
    </row>
    <row r="1529" spans="1:13" x14ac:dyDescent="0.25">
      <c r="A1529">
        <v>1007454356</v>
      </c>
      <c r="B1529" t="s">
        <v>6410</v>
      </c>
      <c r="C1529">
        <v>8988000</v>
      </c>
      <c r="D1529" t="s">
        <v>6411</v>
      </c>
      <c r="E1529" t="s">
        <v>6412</v>
      </c>
      <c r="F1529">
        <v>3</v>
      </c>
      <c r="I1529" t="str">
        <f>HYPERLINK("tel:+19495145334", "949-514-5334")</f>
        <v>949-514-5334</v>
      </c>
      <c r="J1529" t="s">
        <v>6413</v>
      </c>
      <c r="K1529" t="s">
        <v>6414</v>
      </c>
      <c r="M1529">
        <v>9495145334</v>
      </c>
    </row>
    <row r="1530" spans="1:13" x14ac:dyDescent="0.25">
      <c r="A1530">
        <v>1281558689</v>
      </c>
      <c r="B1530" t="s">
        <v>6415</v>
      </c>
      <c r="C1530">
        <v>1024900</v>
      </c>
      <c r="D1530" t="s">
        <v>6416</v>
      </c>
      <c r="E1530" t="s">
        <v>6417</v>
      </c>
      <c r="F1530">
        <v>3</v>
      </c>
      <c r="I1530" t="str">
        <f>HYPERLINK("tel:+19495473055", "949-547-3055")</f>
        <v>949-547-3055</v>
      </c>
      <c r="J1530" t="s">
        <v>6418</v>
      </c>
      <c r="K1530" t="s">
        <v>2319</v>
      </c>
      <c r="M1530">
        <v>9495473055</v>
      </c>
    </row>
    <row r="1531" spans="1:13" x14ac:dyDescent="0.25">
      <c r="A1531">
        <v>2905677189</v>
      </c>
      <c r="B1531" t="s">
        <v>6419</v>
      </c>
      <c r="C1531">
        <v>989000</v>
      </c>
      <c r="D1531" t="s">
        <v>6420</v>
      </c>
      <c r="E1531" t="s">
        <v>6421</v>
      </c>
      <c r="F1531">
        <v>3</v>
      </c>
      <c r="I1531" t="str">
        <f>HYPERLINK("tel:+19495478288", "949-547-8288")</f>
        <v>949-547-8288</v>
      </c>
      <c r="J1531" t="s">
        <v>6422</v>
      </c>
      <c r="K1531" t="s">
        <v>450</v>
      </c>
      <c r="M1531">
        <v>9495478288</v>
      </c>
    </row>
    <row r="1532" spans="1:13" x14ac:dyDescent="0.25">
      <c r="A1532">
        <v>1500875977</v>
      </c>
      <c r="B1532" t="s">
        <v>6423</v>
      </c>
      <c r="C1532">
        <v>1245000</v>
      </c>
      <c r="D1532" t="s">
        <v>6424</v>
      </c>
      <c r="E1532" t="s">
        <v>6425</v>
      </c>
      <c r="F1532">
        <v>3</v>
      </c>
      <c r="I1532" t="str">
        <f>HYPERLINK("tel:+19495589960", "949-558-9960")</f>
        <v>949-558-9960</v>
      </c>
      <c r="J1532" t="s">
        <v>6426</v>
      </c>
      <c r="K1532" t="s">
        <v>431</v>
      </c>
      <c r="M1532">
        <v>9495589960</v>
      </c>
    </row>
    <row r="1533" spans="1:13" x14ac:dyDescent="0.25">
      <c r="A1533">
        <v>1777707271</v>
      </c>
      <c r="B1533" t="s">
        <v>6427</v>
      </c>
      <c r="C1533">
        <v>4498000</v>
      </c>
      <c r="D1533" t="s">
        <v>6428</v>
      </c>
      <c r="E1533" t="s">
        <v>6429</v>
      </c>
      <c r="F1533">
        <v>3</v>
      </c>
      <c r="I1533" t="str">
        <f>HYPERLINK("tel:+19495603647", "949-560-3647")</f>
        <v>949-560-3647</v>
      </c>
      <c r="J1533" t="s">
        <v>6430</v>
      </c>
      <c r="K1533" t="s">
        <v>431</v>
      </c>
      <c r="M1533">
        <v>9495603647</v>
      </c>
    </row>
    <row r="1534" spans="1:13" x14ac:dyDescent="0.25">
      <c r="A1534">
        <v>9728301636</v>
      </c>
      <c r="B1534" t="s">
        <v>6431</v>
      </c>
      <c r="C1534">
        <v>1450000</v>
      </c>
      <c r="D1534" t="s">
        <v>6432</v>
      </c>
      <c r="E1534" t="s">
        <v>6433</v>
      </c>
      <c r="F1534">
        <v>3</v>
      </c>
      <c r="I1534" t="str">
        <f>HYPERLINK("tel:+19495661136", "949-566-1136")</f>
        <v>949-566-1136</v>
      </c>
      <c r="J1534" t="s">
        <v>6434</v>
      </c>
      <c r="K1534" t="s">
        <v>617</v>
      </c>
      <c r="M1534">
        <v>9495661136</v>
      </c>
    </row>
    <row r="1535" spans="1:13" x14ac:dyDescent="0.25">
      <c r="A1535">
        <v>1129090392</v>
      </c>
      <c r="B1535" t="s">
        <v>6435</v>
      </c>
      <c r="C1535">
        <v>1990000</v>
      </c>
      <c r="D1535" t="s">
        <v>6436</v>
      </c>
      <c r="E1535" t="s">
        <v>6437</v>
      </c>
      <c r="F1535">
        <v>3</v>
      </c>
      <c r="I1535" t="str">
        <f>HYPERLINK("tel:+19495844466", "949-584-4466")</f>
        <v>949-584-4466</v>
      </c>
      <c r="J1535" t="s">
        <v>6438</v>
      </c>
      <c r="K1535" t="s">
        <v>431</v>
      </c>
      <c r="M1535">
        <v>9495844466</v>
      </c>
    </row>
    <row r="1536" spans="1:13" x14ac:dyDescent="0.25">
      <c r="A1536">
        <v>2463423417</v>
      </c>
      <c r="B1536" t="s">
        <v>6439</v>
      </c>
      <c r="C1536">
        <v>445000</v>
      </c>
      <c r="D1536" t="s">
        <v>6440</v>
      </c>
      <c r="E1536" t="s">
        <v>6441</v>
      </c>
      <c r="F1536">
        <v>3</v>
      </c>
      <c r="I1536" t="str">
        <f>HYPERLINK("tel:+19495845619", "949-584-5619")</f>
        <v>949-584-5619</v>
      </c>
      <c r="J1536" t="s">
        <v>6442</v>
      </c>
      <c r="K1536" t="s">
        <v>1248</v>
      </c>
      <c r="M1536">
        <v>9495845619</v>
      </c>
    </row>
    <row r="1537" spans="1:13" x14ac:dyDescent="0.25">
      <c r="A1537">
        <v>9573294559</v>
      </c>
      <c r="B1537" t="s">
        <v>6443</v>
      </c>
      <c r="C1537">
        <v>1899900</v>
      </c>
      <c r="D1537" t="s">
        <v>6444</v>
      </c>
      <c r="E1537" t="s">
        <v>6445</v>
      </c>
      <c r="F1537">
        <v>3</v>
      </c>
      <c r="I1537" t="str">
        <f>HYPERLINK("tel:+19496062135", "949-606-2135")</f>
        <v>949-606-2135</v>
      </c>
      <c r="J1537" t="s">
        <v>6446</v>
      </c>
      <c r="K1537" t="s">
        <v>6447</v>
      </c>
      <c r="M1537">
        <v>9496062135</v>
      </c>
    </row>
    <row r="1538" spans="1:13" x14ac:dyDescent="0.25">
      <c r="A1538">
        <v>2415424824</v>
      </c>
      <c r="B1538" t="s">
        <v>6448</v>
      </c>
      <c r="C1538">
        <v>1229999</v>
      </c>
      <c r="D1538" t="s">
        <v>6449</v>
      </c>
      <c r="E1538" t="s">
        <v>6450</v>
      </c>
      <c r="F1538">
        <v>3</v>
      </c>
      <c r="I1538" t="str">
        <f>HYPERLINK("tel:+19496066343", "949-606-6343")</f>
        <v>949-606-6343</v>
      </c>
      <c r="J1538" t="s">
        <v>6451</v>
      </c>
      <c r="K1538" t="s">
        <v>450</v>
      </c>
      <c r="M1538">
        <v>9496066343</v>
      </c>
    </row>
    <row r="1539" spans="1:13" x14ac:dyDescent="0.25">
      <c r="A1539">
        <v>1155859444</v>
      </c>
      <c r="B1539" t="s">
        <v>6452</v>
      </c>
      <c r="C1539">
        <v>870000</v>
      </c>
      <c r="D1539" t="s">
        <v>6453</v>
      </c>
      <c r="E1539" t="s">
        <v>6454</v>
      </c>
      <c r="F1539">
        <v>3</v>
      </c>
      <c r="I1539" t="str">
        <f>HYPERLINK("tel:+19496320044", "949-632-0044")</f>
        <v>949-632-0044</v>
      </c>
      <c r="J1539" t="s">
        <v>6455</v>
      </c>
      <c r="K1539" t="s">
        <v>377</v>
      </c>
      <c r="M1539">
        <v>9496320044</v>
      </c>
    </row>
    <row r="1540" spans="1:13" x14ac:dyDescent="0.25">
      <c r="A1540">
        <v>1209949264</v>
      </c>
      <c r="B1540" t="s">
        <v>6456</v>
      </c>
      <c r="C1540">
        <v>1299000</v>
      </c>
      <c r="D1540" t="s">
        <v>6457</v>
      </c>
      <c r="E1540" t="s">
        <v>6458</v>
      </c>
      <c r="F1540">
        <v>3</v>
      </c>
      <c r="I1540" t="str">
        <f>HYPERLINK("tel:+19496330006", "949-633-0006")</f>
        <v>949-633-0006</v>
      </c>
      <c r="J1540" t="s">
        <v>6459</v>
      </c>
      <c r="K1540" t="s">
        <v>944</v>
      </c>
      <c r="M1540">
        <v>9496330006</v>
      </c>
    </row>
    <row r="1541" spans="1:13" x14ac:dyDescent="0.25">
      <c r="A1541">
        <v>9385970692</v>
      </c>
      <c r="B1541" t="s">
        <v>6460</v>
      </c>
      <c r="C1541">
        <v>1585000</v>
      </c>
      <c r="D1541" t="s">
        <v>6461</v>
      </c>
      <c r="E1541" t="s">
        <v>6462</v>
      </c>
      <c r="F1541">
        <v>3</v>
      </c>
      <c r="I1541" t="str">
        <f>HYPERLINK("tel:+19496334722", "949-633-4722")</f>
        <v>949-633-4722</v>
      </c>
      <c r="J1541" t="s">
        <v>6463</v>
      </c>
      <c r="K1541" t="s">
        <v>1248</v>
      </c>
      <c r="M1541">
        <v>9496334722</v>
      </c>
    </row>
    <row r="1542" spans="1:13" x14ac:dyDescent="0.25">
      <c r="A1542">
        <v>1343295030</v>
      </c>
      <c r="B1542" t="s">
        <v>6464</v>
      </c>
      <c r="C1542">
        <v>3290000</v>
      </c>
      <c r="D1542" t="s">
        <v>6465</v>
      </c>
      <c r="E1542" t="s">
        <v>6466</v>
      </c>
      <c r="F1542">
        <v>3</v>
      </c>
      <c r="I1542" t="str">
        <f>HYPERLINK("tel:+19496336900", "949-633-6900")</f>
        <v>949-633-6900</v>
      </c>
      <c r="J1542" t="s">
        <v>6467</v>
      </c>
      <c r="K1542" t="s">
        <v>431</v>
      </c>
      <c r="M1542">
        <v>9496336900</v>
      </c>
    </row>
    <row r="1543" spans="1:13" x14ac:dyDescent="0.25">
      <c r="A1543">
        <v>2068550282</v>
      </c>
      <c r="B1543" t="s">
        <v>6406</v>
      </c>
      <c r="C1543">
        <v>4795000</v>
      </c>
      <c r="D1543" t="s">
        <v>6407</v>
      </c>
      <c r="E1543" t="s">
        <v>6468</v>
      </c>
      <c r="F1543">
        <v>3</v>
      </c>
      <c r="I1543" t="str">
        <f>HYPERLINK("tel:+19496338335", "949-633-8335")</f>
        <v>949-633-8335</v>
      </c>
      <c r="J1543" t="s">
        <v>6469</v>
      </c>
      <c r="K1543" t="s">
        <v>617</v>
      </c>
      <c r="M1543">
        <v>9496338335</v>
      </c>
    </row>
    <row r="1544" spans="1:13" x14ac:dyDescent="0.25">
      <c r="A1544">
        <v>2837087739</v>
      </c>
      <c r="B1544" t="s">
        <v>6470</v>
      </c>
      <c r="C1544">
        <v>1890000</v>
      </c>
      <c r="D1544" t="s">
        <v>6471</v>
      </c>
      <c r="E1544" t="s">
        <v>6472</v>
      </c>
      <c r="F1544">
        <v>3</v>
      </c>
      <c r="I1544" t="str">
        <f>HYPERLINK("tel:+19496442144", "949-644-2144")</f>
        <v>949-644-2144</v>
      </c>
      <c r="J1544" t="s">
        <v>6473</v>
      </c>
      <c r="K1544" t="s">
        <v>6474</v>
      </c>
      <c r="M1544">
        <v>9496442144</v>
      </c>
    </row>
    <row r="1545" spans="1:13" x14ac:dyDescent="0.25">
      <c r="A1545">
        <v>1610260415</v>
      </c>
      <c r="B1545" t="s">
        <v>6475</v>
      </c>
      <c r="C1545">
        <v>3480000</v>
      </c>
      <c r="D1545" t="s">
        <v>6476</v>
      </c>
      <c r="E1545" t="s">
        <v>6477</v>
      </c>
      <c r="F1545">
        <v>3</v>
      </c>
      <c r="I1545" t="str">
        <f>HYPERLINK("tel:+19496542626", "949-654-2626")</f>
        <v>949-654-2626</v>
      </c>
      <c r="J1545" t="s">
        <v>6478</v>
      </c>
      <c r="K1545" t="s">
        <v>6479</v>
      </c>
      <c r="M1545">
        <v>9496542626</v>
      </c>
    </row>
    <row r="1546" spans="1:13" x14ac:dyDescent="0.25">
      <c r="A1546">
        <v>2950965643</v>
      </c>
      <c r="B1546" t="s">
        <v>6480</v>
      </c>
      <c r="C1546">
        <v>880000</v>
      </c>
      <c r="D1546" t="s">
        <v>6481</v>
      </c>
      <c r="E1546" t="s">
        <v>6482</v>
      </c>
      <c r="F1546">
        <v>3</v>
      </c>
      <c r="I1546" t="str">
        <f>HYPERLINK("tel:+19496640510", "949-664-0510")</f>
        <v>949-664-0510</v>
      </c>
      <c r="J1546" t="s">
        <v>6483</v>
      </c>
      <c r="K1546" t="s">
        <v>556</v>
      </c>
      <c r="M1546">
        <v>9496640510</v>
      </c>
    </row>
    <row r="1547" spans="1:13" x14ac:dyDescent="0.25">
      <c r="A1547">
        <v>1274972036</v>
      </c>
      <c r="B1547" t="s">
        <v>6484</v>
      </c>
      <c r="C1547">
        <v>4095000</v>
      </c>
      <c r="D1547" t="s">
        <v>6485</v>
      </c>
      <c r="E1547" t="s">
        <v>6486</v>
      </c>
      <c r="F1547">
        <v>3</v>
      </c>
      <c r="I1547" t="str">
        <f>HYPERLINK("tel:+19496673300", "949-667-3300")</f>
        <v>949-667-3300</v>
      </c>
      <c r="J1547" t="s">
        <v>6487</v>
      </c>
      <c r="K1547" t="s">
        <v>24</v>
      </c>
      <c r="M1547">
        <v>9496673300</v>
      </c>
    </row>
    <row r="1548" spans="1:13" x14ac:dyDescent="0.25">
      <c r="A1548">
        <v>1301205882</v>
      </c>
      <c r="B1548" t="s">
        <v>6488</v>
      </c>
      <c r="C1548">
        <v>185500</v>
      </c>
      <c r="D1548" t="s">
        <v>6489</v>
      </c>
      <c r="E1548" t="s">
        <v>6490</v>
      </c>
      <c r="F1548">
        <v>3</v>
      </c>
      <c r="I1548" t="str">
        <f>HYPERLINK("tel:+19496728454", "949-672-8454")</f>
        <v>949-672-8454</v>
      </c>
      <c r="J1548" t="s">
        <v>6491</v>
      </c>
      <c r="K1548" t="s">
        <v>2319</v>
      </c>
      <c r="M1548">
        <v>9496728454</v>
      </c>
    </row>
    <row r="1549" spans="1:13" x14ac:dyDescent="0.25">
      <c r="A1549">
        <v>2521762410</v>
      </c>
      <c r="B1549" t="s">
        <v>6492</v>
      </c>
      <c r="C1549">
        <v>995000</v>
      </c>
      <c r="D1549" t="s">
        <v>6493</v>
      </c>
      <c r="E1549" t="s">
        <v>6494</v>
      </c>
      <c r="F1549">
        <v>3</v>
      </c>
      <c r="I1549" t="str">
        <f>HYPERLINK("tel:+19496775554", "949-677-5554")</f>
        <v>949-677-5554</v>
      </c>
      <c r="J1549" t="s">
        <v>6495</v>
      </c>
      <c r="K1549" t="s">
        <v>168</v>
      </c>
      <c r="M1549">
        <v>9496775554</v>
      </c>
    </row>
    <row r="1550" spans="1:13" x14ac:dyDescent="0.25">
      <c r="A1550">
        <v>1153206835</v>
      </c>
      <c r="B1550" t="s">
        <v>6496</v>
      </c>
      <c r="C1550">
        <v>699000</v>
      </c>
      <c r="D1550" t="s">
        <v>6497</v>
      </c>
      <c r="E1550" t="s">
        <v>6498</v>
      </c>
      <c r="F1550">
        <v>3</v>
      </c>
      <c r="I1550" t="str">
        <f>HYPERLINK("tel:+19496782400", "949-678-2400")</f>
        <v>949-678-2400</v>
      </c>
      <c r="J1550" t="s">
        <v>6499</v>
      </c>
      <c r="K1550" t="s">
        <v>6500</v>
      </c>
      <c r="M1550">
        <v>9496782400</v>
      </c>
    </row>
    <row r="1551" spans="1:13" x14ac:dyDescent="0.25">
      <c r="A1551">
        <v>1515936769</v>
      </c>
      <c r="B1551" t="s">
        <v>6501</v>
      </c>
      <c r="C1551">
        <v>1329000</v>
      </c>
      <c r="D1551" t="s">
        <v>6502</v>
      </c>
      <c r="E1551" t="s">
        <v>6503</v>
      </c>
      <c r="F1551">
        <v>3</v>
      </c>
      <c r="I1551" t="str">
        <f>HYPERLINK("tel:+19496832201", "949-683-2201")</f>
        <v>949-683-2201</v>
      </c>
      <c r="J1551" t="s">
        <v>6504</v>
      </c>
      <c r="K1551" t="s">
        <v>6505</v>
      </c>
      <c r="M1551">
        <v>9496832201</v>
      </c>
    </row>
    <row r="1552" spans="1:13" x14ac:dyDescent="0.25">
      <c r="A1552">
        <v>1398374093</v>
      </c>
      <c r="B1552" t="s">
        <v>6506</v>
      </c>
      <c r="C1552">
        <v>4975000</v>
      </c>
      <c r="D1552" t="s">
        <v>6507</v>
      </c>
      <c r="E1552" t="s">
        <v>6508</v>
      </c>
      <c r="F1552">
        <v>3</v>
      </c>
      <c r="I1552" t="str">
        <f>HYPERLINK("tel:+19496837232", "949-683-7232")</f>
        <v>949-683-7232</v>
      </c>
      <c r="J1552" t="s">
        <v>6509</v>
      </c>
      <c r="K1552" t="s">
        <v>6510</v>
      </c>
      <c r="M1552">
        <v>9496837232</v>
      </c>
    </row>
    <row r="1553" spans="1:13" x14ac:dyDescent="0.25">
      <c r="A1553">
        <v>1498537609</v>
      </c>
      <c r="B1553" t="s">
        <v>6511</v>
      </c>
      <c r="C1553">
        <v>1049000</v>
      </c>
      <c r="D1553" t="s">
        <v>6512</v>
      </c>
      <c r="E1553" t="s">
        <v>6513</v>
      </c>
      <c r="F1553">
        <v>3</v>
      </c>
      <c r="I1553" t="str">
        <f>HYPERLINK("tel:+19496891558", "949-689-1558")</f>
        <v>949-689-1558</v>
      </c>
      <c r="J1553" t="s">
        <v>6514</v>
      </c>
      <c r="K1553" t="s">
        <v>24</v>
      </c>
      <c r="M1553">
        <v>9496891558</v>
      </c>
    </row>
    <row r="1554" spans="1:13" x14ac:dyDescent="0.25">
      <c r="A1554">
        <v>1441625331</v>
      </c>
      <c r="B1554" t="s">
        <v>6515</v>
      </c>
      <c r="C1554">
        <v>1699000</v>
      </c>
      <c r="D1554" t="s">
        <v>6516</v>
      </c>
      <c r="E1554" t="s">
        <v>6517</v>
      </c>
      <c r="F1554">
        <v>3</v>
      </c>
      <c r="I1554" t="str">
        <f>HYPERLINK("tel:+19496896392", "949-689-6392")</f>
        <v>949-689-6392</v>
      </c>
      <c r="J1554" t="s">
        <v>6518</v>
      </c>
      <c r="K1554" t="s">
        <v>1238</v>
      </c>
      <c r="M1554">
        <v>9496896392</v>
      </c>
    </row>
    <row r="1555" spans="1:13" x14ac:dyDescent="0.25">
      <c r="A1555">
        <v>1044642343</v>
      </c>
      <c r="B1555" t="s">
        <v>6519</v>
      </c>
      <c r="C1555">
        <v>1449000</v>
      </c>
      <c r="D1555" t="s">
        <v>6520</v>
      </c>
      <c r="E1555" t="s">
        <v>6521</v>
      </c>
      <c r="F1555">
        <v>3</v>
      </c>
      <c r="I1555" t="str">
        <f>HYPERLINK("tel:+19496897078", "949-689-7078")</f>
        <v>949-689-7078</v>
      </c>
      <c r="J1555" t="s">
        <v>6522</v>
      </c>
      <c r="K1555" t="s">
        <v>6523</v>
      </c>
      <c r="M1555">
        <v>9496897078</v>
      </c>
    </row>
    <row r="1556" spans="1:13" x14ac:dyDescent="0.25">
      <c r="A1556">
        <v>1176996450</v>
      </c>
      <c r="B1556" t="s">
        <v>5581</v>
      </c>
      <c r="C1556">
        <v>795000</v>
      </c>
      <c r="D1556" t="s">
        <v>5582</v>
      </c>
      <c r="E1556" t="s">
        <v>6524</v>
      </c>
      <c r="F1556">
        <v>3</v>
      </c>
      <c r="I1556" t="str">
        <f>HYPERLINK("tel:+19496971809", "949-697-1809")</f>
        <v>949-697-1809</v>
      </c>
      <c r="J1556" t="s">
        <v>6525</v>
      </c>
      <c r="K1556" t="s">
        <v>5585</v>
      </c>
      <c r="M1556">
        <v>9496971809</v>
      </c>
    </row>
    <row r="1557" spans="1:13" x14ac:dyDescent="0.25">
      <c r="A1557">
        <v>2828405998</v>
      </c>
      <c r="B1557" t="s">
        <v>6526</v>
      </c>
      <c r="C1557">
        <v>955000</v>
      </c>
      <c r="D1557" t="s">
        <v>6527</v>
      </c>
      <c r="E1557" t="s">
        <v>6528</v>
      </c>
      <c r="F1557">
        <v>3</v>
      </c>
      <c r="I1557" t="str">
        <f>HYPERLINK("tel:+19496978795", "949-697-8795")</f>
        <v>949-697-8795</v>
      </c>
      <c r="J1557" t="s">
        <v>6529</v>
      </c>
      <c r="K1557" t="s">
        <v>6530</v>
      </c>
      <c r="M1557">
        <v>9496978795</v>
      </c>
    </row>
    <row r="1558" spans="1:13" x14ac:dyDescent="0.25">
      <c r="A1558">
        <v>2888995007</v>
      </c>
      <c r="B1558" t="s">
        <v>6531</v>
      </c>
      <c r="C1558">
        <v>39950000</v>
      </c>
      <c r="D1558" t="s">
        <v>6532</v>
      </c>
      <c r="E1558" t="s">
        <v>6533</v>
      </c>
      <c r="F1558">
        <v>3</v>
      </c>
      <c r="I1558" t="str">
        <f>HYPERLINK("tel:+19496978855", "949-697-8855")</f>
        <v>949-697-8855</v>
      </c>
      <c r="J1558" t="s">
        <v>6534</v>
      </c>
      <c r="K1558" t="s">
        <v>168</v>
      </c>
      <c r="M1558">
        <v>9496978855</v>
      </c>
    </row>
    <row r="1559" spans="1:13" x14ac:dyDescent="0.25">
      <c r="A1559">
        <v>2520127600</v>
      </c>
      <c r="B1559" t="s">
        <v>6535</v>
      </c>
      <c r="C1559">
        <v>1270000</v>
      </c>
      <c r="D1559" t="s">
        <v>6536</v>
      </c>
      <c r="E1559" t="s">
        <v>6537</v>
      </c>
      <c r="F1559">
        <v>3</v>
      </c>
      <c r="I1559" t="str">
        <f>HYPERLINK("tel:+19496979620", "949-697-9620")</f>
        <v>949-697-9620</v>
      </c>
      <c r="J1559" t="s">
        <v>6538</v>
      </c>
      <c r="K1559" t="s">
        <v>158</v>
      </c>
      <c r="M1559">
        <v>9496979620</v>
      </c>
    </row>
    <row r="1560" spans="1:13" x14ac:dyDescent="0.25">
      <c r="A1560">
        <v>2745873000</v>
      </c>
      <c r="B1560" t="s">
        <v>6539</v>
      </c>
      <c r="C1560">
        <v>899000</v>
      </c>
      <c r="D1560" t="s">
        <v>6540</v>
      </c>
      <c r="E1560" t="s">
        <v>6541</v>
      </c>
      <c r="F1560">
        <v>3</v>
      </c>
      <c r="I1560" t="str">
        <f>HYPERLINK("tel:+19497177215", "949-717-7215")</f>
        <v>949-717-7215</v>
      </c>
      <c r="J1560" t="s">
        <v>6542</v>
      </c>
      <c r="K1560" t="s">
        <v>3839</v>
      </c>
      <c r="M1560">
        <v>9497177215</v>
      </c>
    </row>
    <row r="1561" spans="1:13" x14ac:dyDescent="0.25">
      <c r="A1561">
        <v>9448264518</v>
      </c>
      <c r="B1561" t="s">
        <v>6543</v>
      </c>
      <c r="C1561">
        <v>635000</v>
      </c>
      <c r="D1561" t="s">
        <v>6544</v>
      </c>
      <c r="E1561" t="s">
        <v>6545</v>
      </c>
      <c r="F1561">
        <v>3</v>
      </c>
      <c r="I1561" t="str">
        <f>HYPERLINK("tel:+19497492946", "949-749-2946")</f>
        <v>949-749-2946</v>
      </c>
      <c r="J1561" t="s">
        <v>6546</v>
      </c>
      <c r="K1561" t="s">
        <v>158</v>
      </c>
      <c r="M1561">
        <v>9497492946</v>
      </c>
    </row>
    <row r="1562" spans="1:13" x14ac:dyDescent="0.25">
      <c r="A1562">
        <v>9544301155</v>
      </c>
      <c r="B1562" t="s">
        <v>6547</v>
      </c>
      <c r="C1562">
        <v>1380000</v>
      </c>
      <c r="D1562" t="s">
        <v>6548</v>
      </c>
      <c r="E1562" t="s">
        <v>6549</v>
      </c>
      <c r="F1562">
        <v>3</v>
      </c>
      <c r="I1562" t="str">
        <f>HYPERLINK("tel:+19497873393", "949-787-3393")</f>
        <v>949-787-3393</v>
      </c>
      <c r="J1562" t="s">
        <v>6550</v>
      </c>
      <c r="K1562" t="s">
        <v>158</v>
      </c>
      <c r="M1562">
        <v>9497873393</v>
      </c>
    </row>
    <row r="1563" spans="1:13" x14ac:dyDescent="0.25">
      <c r="A1563">
        <v>9693824674</v>
      </c>
      <c r="B1563" t="s">
        <v>6551</v>
      </c>
      <c r="C1563">
        <v>2280000</v>
      </c>
      <c r="D1563" t="s">
        <v>6552</v>
      </c>
      <c r="E1563" t="s">
        <v>6553</v>
      </c>
      <c r="F1563">
        <v>3</v>
      </c>
      <c r="I1563" t="str">
        <f>HYPERLINK("tel:+19498000888", "949-800-0888")</f>
        <v>949-800-0888</v>
      </c>
      <c r="J1563" t="s">
        <v>6554</v>
      </c>
      <c r="K1563" t="s">
        <v>450</v>
      </c>
      <c r="M1563">
        <v>9498000888</v>
      </c>
    </row>
    <row r="1564" spans="1:13" x14ac:dyDescent="0.25">
      <c r="A1564">
        <v>1793620775</v>
      </c>
      <c r="B1564" t="s">
        <v>6555</v>
      </c>
      <c r="C1564">
        <v>14200000</v>
      </c>
      <c r="D1564" t="s">
        <v>6556</v>
      </c>
      <c r="E1564" t="s">
        <v>6557</v>
      </c>
      <c r="F1564">
        <v>3</v>
      </c>
      <c r="I1564" t="str">
        <f>HYPERLINK("tel:+19498093615", "949-809-3615")</f>
        <v>949-809-3615</v>
      </c>
      <c r="J1564" t="s">
        <v>6558</v>
      </c>
      <c r="K1564" t="s">
        <v>100</v>
      </c>
      <c r="M1564">
        <v>9498093615</v>
      </c>
    </row>
    <row r="1565" spans="1:13" x14ac:dyDescent="0.25">
      <c r="A1565">
        <v>1301907976</v>
      </c>
      <c r="B1565" t="s">
        <v>6559</v>
      </c>
      <c r="C1565">
        <v>989000</v>
      </c>
      <c r="D1565" t="s">
        <v>6560</v>
      </c>
      <c r="E1565" t="s">
        <v>6561</v>
      </c>
      <c r="F1565">
        <v>3</v>
      </c>
      <c r="I1565" t="str">
        <f>HYPERLINK("tel:+19498611663", "949-861-1663")</f>
        <v>949-861-1663</v>
      </c>
      <c r="J1565" t="s">
        <v>6562</v>
      </c>
      <c r="K1565" t="s">
        <v>2423</v>
      </c>
      <c r="M1565">
        <v>9498611663</v>
      </c>
    </row>
    <row r="1566" spans="1:13" x14ac:dyDescent="0.25">
      <c r="A1566">
        <v>2857383921</v>
      </c>
      <c r="B1566" t="s">
        <v>6563</v>
      </c>
      <c r="C1566">
        <v>2288000</v>
      </c>
      <c r="D1566" t="s">
        <v>6564</v>
      </c>
      <c r="E1566" t="s">
        <v>6565</v>
      </c>
      <c r="F1566">
        <v>3</v>
      </c>
      <c r="I1566" t="str">
        <f>HYPERLINK("tel:+19498618001", "949-861-8001")</f>
        <v>949-861-8001</v>
      </c>
      <c r="J1566" t="s">
        <v>6566</v>
      </c>
      <c r="K1566" t="s">
        <v>377</v>
      </c>
      <c r="M1566">
        <v>9498618001</v>
      </c>
    </row>
    <row r="1567" spans="1:13" x14ac:dyDescent="0.25">
      <c r="A1567">
        <v>1857837271</v>
      </c>
      <c r="B1567" t="s">
        <v>6567</v>
      </c>
      <c r="C1567">
        <v>2099000</v>
      </c>
      <c r="D1567" t="s">
        <v>6568</v>
      </c>
      <c r="E1567" t="s">
        <v>6569</v>
      </c>
      <c r="F1567">
        <v>3</v>
      </c>
      <c r="I1567" t="str">
        <f>HYPERLINK("tel:+19498677994", "949-867-7994")</f>
        <v>949-867-7994</v>
      </c>
      <c r="J1567" t="s">
        <v>6570</v>
      </c>
      <c r="K1567" t="s">
        <v>6571</v>
      </c>
      <c r="M1567">
        <v>9498677994</v>
      </c>
    </row>
    <row r="1568" spans="1:13" x14ac:dyDescent="0.25">
      <c r="A1568">
        <v>2483420647</v>
      </c>
      <c r="B1568" t="s">
        <v>6572</v>
      </c>
      <c r="C1568">
        <v>720000</v>
      </c>
      <c r="D1568" t="s">
        <v>6573</v>
      </c>
      <c r="E1568" t="s">
        <v>6574</v>
      </c>
      <c r="F1568">
        <v>3</v>
      </c>
      <c r="I1568" t="str">
        <f>HYPERLINK("tel:+19498740300", "949-874-0300")</f>
        <v>949-874-0300</v>
      </c>
      <c r="J1568" t="s">
        <v>6575</v>
      </c>
      <c r="K1568" t="s">
        <v>431</v>
      </c>
      <c r="M1568">
        <v>9498740300</v>
      </c>
    </row>
    <row r="1569" spans="1:13" x14ac:dyDescent="0.25">
      <c r="A1569">
        <v>2148136118</v>
      </c>
      <c r="B1569" t="s">
        <v>6576</v>
      </c>
      <c r="C1569">
        <v>599000</v>
      </c>
      <c r="D1569" t="s">
        <v>6577</v>
      </c>
      <c r="E1569" t="s">
        <v>6578</v>
      </c>
      <c r="F1569">
        <v>3</v>
      </c>
      <c r="I1569" t="str">
        <f>HYPERLINK("tel:+19498743961", "949-874-3961")</f>
        <v>949-874-3961</v>
      </c>
      <c r="J1569" t="s">
        <v>6579</v>
      </c>
      <c r="K1569" t="s">
        <v>431</v>
      </c>
      <c r="M1569">
        <v>9498743961</v>
      </c>
    </row>
    <row r="1570" spans="1:13" x14ac:dyDescent="0.25">
      <c r="A1570">
        <v>2195043148</v>
      </c>
      <c r="B1570" t="s">
        <v>6580</v>
      </c>
      <c r="C1570">
        <v>570000</v>
      </c>
      <c r="D1570" t="s">
        <v>6581</v>
      </c>
      <c r="E1570" t="s">
        <v>6582</v>
      </c>
      <c r="F1570">
        <v>3</v>
      </c>
      <c r="I1570" t="str">
        <f>HYPERLINK("tel:+19498757355", "949-875-7355")</f>
        <v>949-875-7355</v>
      </c>
      <c r="J1570" t="s">
        <v>6583</v>
      </c>
      <c r="K1570" t="s">
        <v>6584</v>
      </c>
      <c r="M1570">
        <v>9498757355</v>
      </c>
    </row>
    <row r="1571" spans="1:13" x14ac:dyDescent="0.25">
      <c r="A1571">
        <v>2515926698</v>
      </c>
      <c r="B1571" t="s">
        <v>6585</v>
      </c>
      <c r="C1571">
        <v>1160000</v>
      </c>
      <c r="D1571" t="s">
        <v>6586</v>
      </c>
      <c r="E1571" t="s">
        <v>6587</v>
      </c>
      <c r="F1571">
        <v>3</v>
      </c>
      <c r="I1571" t="str">
        <f>HYPERLINK("tel:+19498929215", "949-892-9215")</f>
        <v>949-892-9215</v>
      </c>
      <c r="J1571" t="s">
        <v>6588</v>
      </c>
      <c r="M1571">
        <v>9498929215</v>
      </c>
    </row>
    <row r="1572" spans="1:13" x14ac:dyDescent="0.25">
      <c r="A1572">
        <v>2902588181</v>
      </c>
      <c r="B1572" t="s">
        <v>6589</v>
      </c>
      <c r="C1572">
        <v>143900</v>
      </c>
      <c r="D1572" t="s">
        <v>6590</v>
      </c>
      <c r="E1572" t="s">
        <v>6591</v>
      </c>
      <c r="F1572">
        <v>3</v>
      </c>
      <c r="I1572" t="str">
        <f>HYPERLINK("tel:+19499039816", "949-903-9816")</f>
        <v>949-903-9816</v>
      </c>
      <c r="J1572" t="s">
        <v>6592</v>
      </c>
      <c r="K1572" t="s">
        <v>6593</v>
      </c>
      <c r="M1572">
        <v>9499039816</v>
      </c>
    </row>
    <row r="1573" spans="1:13" x14ac:dyDescent="0.25">
      <c r="A1573">
        <v>1072431638</v>
      </c>
      <c r="B1573" t="s">
        <v>6594</v>
      </c>
      <c r="C1573">
        <v>3895000</v>
      </c>
      <c r="D1573" t="s">
        <v>6595</v>
      </c>
      <c r="E1573" t="s">
        <v>6596</v>
      </c>
      <c r="F1573">
        <v>3</v>
      </c>
      <c r="I1573" t="str">
        <f>HYPERLINK("tel:+19499228608", "949-922-8608")</f>
        <v>949-922-8608</v>
      </c>
      <c r="J1573" t="s">
        <v>6597</v>
      </c>
      <c r="K1573" t="s">
        <v>608</v>
      </c>
      <c r="M1573">
        <v>9499228608</v>
      </c>
    </row>
    <row r="1574" spans="1:13" x14ac:dyDescent="0.25">
      <c r="A1574">
        <v>1139439103</v>
      </c>
      <c r="B1574" t="s">
        <v>6598</v>
      </c>
      <c r="C1574">
        <v>30000</v>
      </c>
      <c r="D1574" t="s">
        <v>6599</v>
      </c>
      <c r="E1574" t="s">
        <v>6600</v>
      </c>
      <c r="F1574">
        <v>3</v>
      </c>
      <c r="I1574" t="str">
        <f>HYPERLINK("tel:+19499292095", "949-929-2095")</f>
        <v>949-929-2095</v>
      </c>
      <c r="J1574" t="s">
        <v>6601</v>
      </c>
      <c r="K1574" t="s">
        <v>6602</v>
      </c>
      <c r="M1574">
        <v>9499292095</v>
      </c>
    </row>
    <row r="1575" spans="1:13" x14ac:dyDescent="0.25">
      <c r="A1575">
        <v>9056379617</v>
      </c>
      <c r="B1575" t="s">
        <v>6603</v>
      </c>
      <c r="C1575">
        <v>7795000</v>
      </c>
      <c r="D1575" t="s">
        <v>6604</v>
      </c>
      <c r="E1575" t="s">
        <v>6605</v>
      </c>
      <c r="F1575">
        <v>3</v>
      </c>
      <c r="I1575" t="str">
        <f>HYPERLINK("tel:+19499295433", "949-929-5433")</f>
        <v>949-929-5433</v>
      </c>
      <c r="J1575" t="s">
        <v>6606</v>
      </c>
      <c r="K1575" t="s">
        <v>387</v>
      </c>
      <c r="M1575">
        <v>9499295433</v>
      </c>
    </row>
    <row r="1576" spans="1:13" x14ac:dyDescent="0.25">
      <c r="A1576">
        <v>1211210008</v>
      </c>
      <c r="B1576" t="s">
        <v>6607</v>
      </c>
      <c r="C1576">
        <v>5500000</v>
      </c>
      <c r="D1576" t="s">
        <v>6608</v>
      </c>
      <c r="E1576" t="s">
        <v>6609</v>
      </c>
      <c r="F1576">
        <v>3</v>
      </c>
      <c r="I1576" t="str">
        <f>HYPERLINK("tel:+19499298707", "949-929-8707")</f>
        <v>949-929-8707</v>
      </c>
      <c r="J1576" t="s">
        <v>6610</v>
      </c>
      <c r="K1576" t="s">
        <v>158</v>
      </c>
      <c r="M1576">
        <v>9499298707</v>
      </c>
    </row>
    <row r="1577" spans="1:13" x14ac:dyDescent="0.25">
      <c r="A1577">
        <v>9194512757</v>
      </c>
      <c r="B1577" t="s">
        <v>5019</v>
      </c>
      <c r="C1577">
        <v>939000</v>
      </c>
      <c r="D1577" t="s">
        <v>5020</v>
      </c>
      <c r="E1577" t="s">
        <v>6611</v>
      </c>
      <c r="F1577">
        <v>3</v>
      </c>
      <c r="I1577" t="str">
        <f>HYPERLINK("tel:+19499334283", "949-933-4283")</f>
        <v>949-933-4283</v>
      </c>
      <c r="J1577" t="s">
        <v>6612</v>
      </c>
      <c r="K1577" t="s">
        <v>24</v>
      </c>
      <c r="M1577">
        <v>9499334283</v>
      </c>
    </row>
    <row r="1578" spans="1:13" x14ac:dyDescent="0.25">
      <c r="A1578">
        <v>1769476052</v>
      </c>
      <c r="B1578" t="s">
        <v>6613</v>
      </c>
      <c r="C1578">
        <v>479000</v>
      </c>
      <c r="D1578" t="s">
        <v>6614</v>
      </c>
      <c r="E1578" t="s">
        <v>6615</v>
      </c>
      <c r="F1578">
        <v>3</v>
      </c>
      <c r="I1578" t="str">
        <f>HYPERLINK("tel:+19499393833", "949-939-3833")</f>
        <v>949-939-3833</v>
      </c>
      <c r="J1578" t="s">
        <v>6616</v>
      </c>
      <c r="K1578" t="s">
        <v>6617</v>
      </c>
      <c r="M1578">
        <v>9499393833</v>
      </c>
    </row>
    <row r="1579" spans="1:13" x14ac:dyDescent="0.25">
      <c r="A1579">
        <v>1404431686</v>
      </c>
      <c r="B1579" t="s">
        <v>5383</v>
      </c>
      <c r="C1579">
        <v>196500</v>
      </c>
      <c r="D1579" t="s">
        <v>5384</v>
      </c>
      <c r="E1579" t="s">
        <v>6618</v>
      </c>
      <c r="F1579">
        <v>3</v>
      </c>
      <c r="I1579" t="str">
        <f>HYPERLINK("tel:+19499398488", "949-939-8488")</f>
        <v>949-939-8488</v>
      </c>
      <c r="J1579" t="s">
        <v>6619</v>
      </c>
      <c r="K1579" t="s">
        <v>5387</v>
      </c>
      <c r="M1579">
        <v>9499398488</v>
      </c>
    </row>
    <row r="1580" spans="1:13" x14ac:dyDescent="0.25">
      <c r="A1580">
        <v>2640885423</v>
      </c>
      <c r="B1580" t="s">
        <v>6620</v>
      </c>
      <c r="C1580">
        <v>4500000</v>
      </c>
      <c r="D1580" t="s">
        <v>6621</v>
      </c>
      <c r="E1580" t="s">
        <v>6622</v>
      </c>
      <c r="F1580">
        <v>3</v>
      </c>
      <c r="I1580" t="str">
        <f>HYPERLINK("tel:+19499439777", "949-943-9777")</f>
        <v>949-943-9777</v>
      </c>
      <c r="J1580" t="s">
        <v>6623</v>
      </c>
      <c r="K1580" t="s">
        <v>29</v>
      </c>
      <c r="M1580">
        <v>9499439777</v>
      </c>
    </row>
    <row r="1581" spans="1:13" x14ac:dyDescent="0.25">
      <c r="A1581">
        <v>2585667021</v>
      </c>
      <c r="B1581" t="s">
        <v>6163</v>
      </c>
      <c r="C1581">
        <v>8900000</v>
      </c>
      <c r="D1581" t="s">
        <v>6164</v>
      </c>
      <c r="E1581" t="s">
        <v>6624</v>
      </c>
      <c r="F1581">
        <v>3</v>
      </c>
      <c r="I1581" t="str">
        <f>HYPERLINK("tel:+19499454855", "949-945-4855")</f>
        <v>949-945-4855</v>
      </c>
      <c r="J1581" t="s">
        <v>6625</v>
      </c>
      <c r="K1581" t="s">
        <v>168</v>
      </c>
      <c r="M1581">
        <v>9499454855</v>
      </c>
    </row>
    <row r="1582" spans="1:13" x14ac:dyDescent="0.25">
      <c r="A1582">
        <v>2489300442</v>
      </c>
      <c r="B1582" t="s">
        <v>6626</v>
      </c>
      <c r="C1582">
        <v>850000</v>
      </c>
      <c r="D1582" t="s">
        <v>6627</v>
      </c>
      <c r="E1582" t="s">
        <v>6628</v>
      </c>
      <c r="F1582">
        <v>3</v>
      </c>
      <c r="I1582" t="str">
        <f>HYPERLINK("tel:+19499794131", "949-979-4131")</f>
        <v>949-979-4131</v>
      </c>
      <c r="J1582" t="s">
        <v>6629</v>
      </c>
      <c r="K1582" t="s">
        <v>6630</v>
      </c>
      <c r="M1582">
        <v>9499794131</v>
      </c>
    </row>
    <row r="1583" spans="1:13" x14ac:dyDescent="0.25">
      <c r="A1583">
        <v>1898029033</v>
      </c>
      <c r="B1583" t="s">
        <v>6631</v>
      </c>
      <c r="C1583">
        <v>879900</v>
      </c>
      <c r="D1583" t="s">
        <v>6632</v>
      </c>
      <c r="E1583" t="s">
        <v>6633</v>
      </c>
      <c r="F1583">
        <v>3</v>
      </c>
      <c r="I1583" t="str">
        <f>HYPERLINK("tel:+19512021111", "951-202-1111")</f>
        <v>951-202-1111</v>
      </c>
      <c r="J1583" t="s">
        <v>6634</v>
      </c>
      <c r="K1583" t="s">
        <v>6635</v>
      </c>
      <c r="M1583">
        <v>9512021111</v>
      </c>
    </row>
    <row r="1584" spans="1:13" x14ac:dyDescent="0.25">
      <c r="A1584">
        <v>9181796527</v>
      </c>
      <c r="B1584" t="s">
        <v>6636</v>
      </c>
      <c r="C1584">
        <v>1929000</v>
      </c>
      <c r="D1584" t="s">
        <v>6637</v>
      </c>
      <c r="E1584" t="s">
        <v>6638</v>
      </c>
      <c r="F1584">
        <v>3</v>
      </c>
      <c r="I1584" t="str">
        <f>HYPERLINK("tel:+19512024787", "951-202-4787")</f>
        <v>951-202-4787</v>
      </c>
      <c r="J1584" t="s">
        <v>6639</v>
      </c>
      <c r="K1584" t="s">
        <v>6640</v>
      </c>
      <c r="M1584">
        <v>9512024787</v>
      </c>
    </row>
    <row r="1585" spans="1:13" x14ac:dyDescent="0.25">
      <c r="A1585">
        <v>1430417912</v>
      </c>
      <c r="B1585" t="s">
        <v>6641</v>
      </c>
      <c r="C1585">
        <v>699000</v>
      </c>
      <c r="D1585" t="s">
        <v>6642</v>
      </c>
      <c r="E1585" t="s">
        <v>6643</v>
      </c>
      <c r="F1585">
        <v>3</v>
      </c>
      <c r="I1585" t="str">
        <f>HYPERLINK("tel:+19513001400", "951-300-1400")</f>
        <v>951-300-1400</v>
      </c>
      <c r="J1585" t="s">
        <v>6644</v>
      </c>
      <c r="K1585" t="s">
        <v>1029</v>
      </c>
      <c r="M1585">
        <v>9513001400</v>
      </c>
    </row>
    <row r="1586" spans="1:13" x14ac:dyDescent="0.25">
      <c r="A1586">
        <v>1891261856</v>
      </c>
      <c r="B1586" t="s">
        <v>6645</v>
      </c>
      <c r="C1586">
        <v>7750000</v>
      </c>
      <c r="D1586" t="s">
        <v>6646</v>
      </c>
      <c r="E1586" t="s">
        <v>6647</v>
      </c>
      <c r="F1586">
        <v>3</v>
      </c>
      <c r="I1586" t="str">
        <f>HYPERLINK("tel:+19515005271", "951-500-5271")</f>
        <v>951-500-5271</v>
      </c>
      <c r="J1586" t="s">
        <v>6648</v>
      </c>
      <c r="K1586" t="s">
        <v>107</v>
      </c>
      <c r="M1586">
        <v>9515005271</v>
      </c>
    </row>
    <row r="1587" spans="1:13" x14ac:dyDescent="0.25">
      <c r="A1587">
        <v>9610834152</v>
      </c>
      <c r="B1587" t="s">
        <v>6649</v>
      </c>
      <c r="C1587">
        <v>1195000</v>
      </c>
      <c r="D1587" t="s">
        <v>6650</v>
      </c>
      <c r="E1587" t="s">
        <v>6651</v>
      </c>
      <c r="F1587">
        <v>3</v>
      </c>
      <c r="I1587" t="str">
        <f>HYPERLINK("tel:+19515533263", "951-553-3263")</f>
        <v>951-553-3263</v>
      </c>
      <c r="J1587" t="s">
        <v>6652</v>
      </c>
      <c r="K1587" t="s">
        <v>19</v>
      </c>
      <c r="M1587">
        <v>9515533263</v>
      </c>
    </row>
    <row r="1588" spans="1:13" x14ac:dyDescent="0.25">
      <c r="A1588">
        <v>9983256048</v>
      </c>
      <c r="B1588" t="s">
        <v>6653</v>
      </c>
      <c r="C1588">
        <v>850000</v>
      </c>
      <c r="D1588" t="s">
        <v>6654</v>
      </c>
      <c r="E1588" t="s">
        <v>6655</v>
      </c>
      <c r="F1588">
        <v>3</v>
      </c>
      <c r="I1588" t="str">
        <f>HYPERLINK("tel:+19517331989", "951-733-1989")</f>
        <v>951-733-1989</v>
      </c>
      <c r="J1588" t="s">
        <v>6656</v>
      </c>
      <c r="K1588" t="s">
        <v>6657</v>
      </c>
      <c r="M1588">
        <v>9517331989</v>
      </c>
    </row>
    <row r="1589" spans="1:13" x14ac:dyDescent="0.25">
      <c r="A1589">
        <v>2816738792</v>
      </c>
      <c r="B1589" t="s">
        <v>6658</v>
      </c>
      <c r="C1589">
        <v>5450000</v>
      </c>
      <c r="D1589" t="s">
        <v>6659</v>
      </c>
      <c r="E1589" t="s">
        <v>6660</v>
      </c>
      <c r="F1589">
        <v>3</v>
      </c>
      <c r="I1589" t="str">
        <f>HYPERLINK("tel:+19519023006", "951-902-3006")</f>
        <v>951-902-3006</v>
      </c>
      <c r="J1589" t="s">
        <v>6661</v>
      </c>
      <c r="K1589" t="s">
        <v>173</v>
      </c>
      <c r="M1589">
        <v>9519023006</v>
      </c>
    </row>
    <row r="1590" spans="1:13" x14ac:dyDescent="0.25">
      <c r="A1590">
        <v>9127296811</v>
      </c>
      <c r="B1590" t="s">
        <v>6662</v>
      </c>
      <c r="C1590">
        <v>499990</v>
      </c>
      <c r="D1590" t="s">
        <v>6663</v>
      </c>
      <c r="E1590" t="s">
        <v>6664</v>
      </c>
      <c r="F1590">
        <v>3</v>
      </c>
      <c r="I1590" t="str">
        <f>HYPERLINK("tel:+19706190314", "970-619-0314")</f>
        <v>970-619-0314</v>
      </c>
      <c r="J1590" t="s">
        <v>6665</v>
      </c>
      <c r="K1590" t="s">
        <v>6666</v>
      </c>
      <c r="M1590">
        <v>9706190314</v>
      </c>
    </row>
    <row r="1591" spans="1:13" x14ac:dyDescent="0.25">
      <c r="A1591">
        <v>9122380878</v>
      </c>
      <c r="B1591" t="s">
        <v>6667</v>
      </c>
      <c r="C1591">
        <v>1199000</v>
      </c>
      <c r="D1591" t="s">
        <v>6668</v>
      </c>
      <c r="E1591" t="s">
        <v>6669</v>
      </c>
      <c r="F1591">
        <v>3</v>
      </c>
      <c r="I1591" t="str">
        <f>HYPERLINK("tel:+19732704242", "973-270-4242")</f>
        <v>973-270-4242</v>
      </c>
      <c r="J1591" t="s">
        <v>6670</v>
      </c>
      <c r="K1591" t="s">
        <v>6024</v>
      </c>
      <c r="M1591">
        <v>9732704242</v>
      </c>
    </row>
    <row r="1592" spans="1:13" x14ac:dyDescent="0.25">
      <c r="A1592">
        <v>1469223131</v>
      </c>
      <c r="B1592" t="s">
        <v>6671</v>
      </c>
      <c r="C1592">
        <v>780000</v>
      </c>
      <c r="D1592" t="s">
        <v>6672</v>
      </c>
      <c r="E1592" t="s">
        <v>6673</v>
      </c>
      <c r="F1592">
        <v>2</v>
      </c>
      <c r="I1592" t="str">
        <f>HYPERLINK("tel:+12027461115", "202-746-1115")</f>
        <v>202-746-1115</v>
      </c>
      <c r="J1592" t="s">
        <v>6674</v>
      </c>
      <c r="K1592" t="s">
        <v>6675</v>
      </c>
      <c r="M1592">
        <v>2027461115</v>
      </c>
    </row>
    <row r="1593" spans="1:13" x14ac:dyDescent="0.25">
      <c r="A1593">
        <v>2287573782</v>
      </c>
      <c r="B1593" t="s">
        <v>6676</v>
      </c>
      <c r="C1593">
        <v>2500000</v>
      </c>
      <c r="D1593" t="s">
        <v>6677</v>
      </c>
      <c r="E1593" t="s">
        <v>6678</v>
      </c>
      <c r="F1593">
        <v>2</v>
      </c>
      <c r="I1593" t="str">
        <f>HYPERLINK("tel:+12067954693", "206-795-4693")</f>
        <v>206-795-4693</v>
      </c>
      <c r="J1593" t="s">
        <v>6679</v>
      </c>
      <c r="K1593" t="s">
        <v>2438</v>
      </c>
      <c r="M1593">
        <v>2067954693</v>
      </c>
    </row>
    <row r="1594" spans="1:13" x14ac:dyDescent="0.25">
      <c r="A1594">
        <v>9769182033</v>
      </c>
      <c r="B1594" t="s">
        <v>6680</v>
      </c>
      <c r="C1594">
        <v>275000</v>
      </c>
      <c r="D1594" t="s">
        <v>6681</v>
      </c>
      <c r="E1594" t="s">
        <v>6682</v>
      </c>
      <c r="F1594">
        <v>2</v>
      </c>
      <c r="I1594" t="str">
        <f>HYPERLINK("tel:+12128148121", "212-814-8121")</f>
        <v>212-814-8121</v>
      </c>
      <c r="J1594" t="s">
        <v>6683</v>
      </c>
      <c r="K1594" t="s">
        <v>6684</v>
      </c>
      <c r="M1594">
        <v>2128148121</v>
      </c>
    </row>
    <row r="1595" spans="1:13" x14ac:dyDescent="0.25">
      <c r="A1595">
        <v>1817750672</v>
      </c>
      <c r="B1595" t="s">
        <v>6685</v>
      </c>
      <c r="C1595">
        <v>1190000</v>
      </c>
      <c r="D1595" t="s">
        <v>6686</v>
      </c>
      <c r="E1595" t="s">
        <v>6687</v>
      </c>
      <c r="F1595">
        <v>2</v>
      </c>
      <c r="I1595" t="str">
        <f>HYPERLINK("tel:+12132160334", "213-216-0334")</f>
        <v>213-216-0334</v>
      </c>
      <c r="J1595" t="s">
        <v>6688</v>
      </c>
      <c r="K1595" t="s">
        <v>4764</v>
      </c>
      <c r="M1595">
        <v>2132160334</v>
      </c>
    </row>
    <row r="1596" spans="1:13" x14ac:dyDescent="0.25">
      <c r="A1596">
        <v>2217345150</v>
      </c>
      <c r="B1596" t="s">
        <v>6689</v>
      </c>
      <c r="C1596">
        <v>1299999</v>
      </c>
      <c r="D1596" t="s">
        <v>6690</v>
      </c>
      <c r="E1596" t="s">
        <v>6691</v>
      </c>
      <c r="F1596">
        <v>2</v>
      </c>
      <c r="I1596" t="str">
        <f>HYPERLINK("tel:+12132206650", "213-220-6650")</f>
        <v>213-220-6650</v>
      </c>
      <c r="J1596" t="s">
        <v>6692</v>
      </c>
      <c r="K1596" t="s">
        <v>4</v>
      </c>
      <c r="M1596">
        <v>2132206650</v>
      </c>
    </row>
    <row r="1597" spans="1:13" x14ac:dyDescent="0.25">
      <c r="A1597">
        <v>1497039971</v>
      </c>
      <c r="B1597" t="s">
        <v>6693</v>
      </c>
      <c r="C1597">
        <v>3999000</v>
      </c>
      <c r="D1597" t="s">
        <v>6694</v>
      </c>
      <c r="E1597" t="s">
        <v>6695</v>
      </c>
      <c r="F1597">
        <v>2</v>
      </c>
      <c r="I1597" t="str">
        <f>HYPERLINK("tel:+12132227574", "213-222-7574")</f>
        <v>213-222-7574</v>
      </c>
      <c r="J1597" t="s">
        <v>6696</v>
      </c>
      <c r="K1597" t="s">
        <v>6697</v>
      </c>
      <c r="M1597">
        <v>2132227574</v>
      </c>
    </row>
    <row r="1598" spans="1:13" x14ac:dyDescent="0.25">
      <c r="A1598">
        <v>9555369763</v>
      </c>
      <c r="B1598" t="s">
        <v>6698</v>
      </c>
      <c r="C1598">
        <v>2995000</v>
      </c>
      <c r="D1598" t="s">
        <v>6699</v>
      </c>
      <c r="E1598" t="s">
        <v>6700</v>
      </c>
      <c r="F1598">
        <v>2</v>
      </c>
      <c r="I1598" t="str">
        <f>HYPERLINK("tel:+12132334375", "213-233-4375")</f>
        <v>213-233-4375</v>
      </c>
      <c r="J1598" t="s">
        <v>6701</v>
      </c>
      <c r="K1598" t="s">
        <v>1721</v>
      </c>
      <c r="M1598">
        <v>2132334375</v>
      </c>
    </row>
    <row r="1599" spans="1:13" x14ac:dyDescent="0.25">
      <c r="A1599">
        <v>2471544367</v>
      </c>
      <c r="B1599" t="s">
        <v>6702</v>
      </c>
      <c r="C1599">
        <v>959000</v>
      </c>
      <c r="D1599" t="s">
        <v>6703</v>
      </c>
      <c r="E1599" t="s">
        <v>6704</v>
      </c>
      <c r="F1599">
        <v>2</v>
      </c>
      <c r="I1599" t="str">
        <f>HYPERLINK("tel:+12132470727", "213-247-0727")</f>
        <v>213-247-0727</v>
      </c>
      <c r="J1599" t="s">
        <v>6705</v>
      </c>
      <c r="K1599" t="s">
        <v>2922</v>
      </c>
      <c r="M1599">
        <v>2132470727</v>
      </c>
    </row>
    <row r="1600" spans="1:13" x14ac:dyDescent="0.25">
      <c r="A1600">
        <v>1412194558</v>
      </c>
      <c r="B1600" t="s">
        <v>6706</v>
      </c>
      <c r="C1600">
        <v>935000</v>
      </c>
      <c r="D1600" t="s">
        <v>6707</v>
      </c>
      <c r="E1600" t="s">
        <v>6708</v>
      </c>
      <c r="F1600">
        <v>2</v>
      </c>
      <c r="I1600" t="str">
        <f>HYPERLINK("tel:+12132474210", "213-247-4210")</f>
        <v>213-247-4210</v>
      </c>
      <c r="J1600" t="s">
        <v>6709</v>
      </c>
      <c r="K1600" t="s">
        <v>6710</v>
      </c>
      <c r="M1600">
        <v>2132474210</v>
      </c>
    </row>
    <row r="1601" spans="1:13" x14ac:dyDescent="0.25">
      <c r="A1601">
        <v>2498835877</v>
      </c>
      <c r="B1601" t="s">
        <v>6711</v>
      </c>
      <c r="C1601">
        <v>2149000</v>
      </c>
      <c r="D1601" t="s">
        <v>6712</v>
      </c>
      <c r="E1601" t="s">
        <v>6713</v>
      </c>
      <c r="F1601">
        <v>2</v>
      </c>
      <c r="I1601" t="str">
        <f>HYPERLINK("tel:+12132504404", "213-250-4404")</f>
        <v>213-250-4404</v>
      </c>
      <c r="J1601" t="s">
        <v>6714</v>
      </c>
      <c r="K1601" t="s">
        <v>6715</v>
      </c>
      <c r="M1601">
        <v>2132504404</v>
      </c>
    </row>
    <row r="1602" spans="1:13" x14ac:dyDescent="0.25">
      <c r="A1602">
        <v>9401071723</v>
      </c>
      <c r="B1602" t="s">
        <v>6716</v>
      </c>
      <c r="C1602">
        <v>60000</v>
      </c>
      <c r="D1602" t="s">
        <v>6717</v>
      </c>
      <c r="E1602" t="s">
        <v>6718</v>
      </c>
      <c r="F1602">
        <v>2</v>
      </c>
      <c r="I1602" t="str">
        <f>HYPERLINK("tel:+12132903424", "213-290-3424")</f>
        <v>213-290-3424</v>
      </c>
      <c r="J1602" t="s">
        <v>6719</v>
      </c>
      <c r="K1602" t="s">
        <v>6720</v>
      </c>
      <c r="M1602">
        <v>2132903424</v>
      </c>
    </row>
    <row r="1603" spans="1:13" x14ac:dyDescent="0.25">
      <c r="A1603">
        <v>2684018324</v>
      </c>
      <c r="B1603" t="s">
        <v>6721</v>
      </c>
      <c r="C1603">
        <v>1025000</v>
      </c>
      <c r="D1603" t="s">
        <v>6722</v>
      </c>
      <c r="E1603" t="s">
        <v>6723</v>
      </c>
      <c r="F1603">
        <v>2</v>
      </c>
      <c r="I1603" t="str">
        <f>HYPERLINK("tel:+12133052997", "213-305-2997")</f>
        <v>213-305-2997</v>
      </c>
      <c r="J1603" t="s">
        <v>6724</v>
      </c>
      <c r="K1603" t="s">
        <v>6725</v>
      </c>
      <c r="M1603">
        <v>2133052997</v>
      </c>
    </row>
    <row r="1604" spans="1:13" x14ac:dyDescent="0.25">
      <c r="A1604">
        <v>1434908963</v>
      </c>
      <c r="B1604" t="s">
        <v>6726</v>
      </c>
      <c r="C1604">
        <v>495000</v>
      </c>
      <c r="D1604" t="s">
        <v>6727</v>
      </c>
      <c r="E1604" t="s">
        <v>6728</v>
      </c>
      <c r="F1604">
        <v>2</v>
      </c>
      <c r="I1604" t="str">
        <f>HYPERLINK("tel:+12133264152", "213-326-4152")</f>
        <v>213-326-4152</v>
      </c>
      <c r="J1604" t="s">
        <v>6729</v>
      </c>
      <c r="K1604" t="s">
        <v>6730</v>
      </c>
      <c r="M1604">
        <v>2133264152</v>
      </c>
    </row>
    <row r="1605" spans="1:13" x14ac:dyDescent="0.25">
      <c r="A1605">
        <v>9524673909</v>
      </c>
      <c r="B1605" t="s">
        <v>6731</v>
      </c>
      <c r="C1605">
        <v>799000</v>
      </c>
      <c r="D1605" t="s">
        <v>6732</v>
      </c>
      <c r="E1605" t="s">
        <v>6733</v>
      </c>
      <c r="F1605">
        <v>2</v>
      </c>
      <c r="I1605" t="str">
        <f>HYPERLINK("tel:+12133447856", "213-344-7856")</f>
        <v>213-344-7856</v>
      </c>
      <c r="J1605" t="s">
        <v>6734</v>
      </c>
      <c r="K1605" t="s">
        <v>4993</v>
      </c>
      <c r="M1605">
        <v>2133447856</v>
      </c>
    </row>
    <row r="1606" spans="1:13" x14ac:dyDescent="0.25">
      <c r="A1606">
        <v>1534957104</v>
      </c>
      <c r="B1606" t="s">
        <v>6735</v>
      </c>
      <c r="C1606">
        <v>5495000</v>
      </c>
      <c r="D1606" t="s">
        <v>6736</v>
      </c>
      <c r="E1606" t="s">
        <v>6737</v>
      </c>
      <c r="F1606">
        <v>2</v>
      </c>
      <c r="I1606" t="str">
        <f>HYPERLINK("tel:+12133448090", "213-344-8090")</f>
        <v>213-344-8090</v>
      </c>
      <c r="J1606" t="s">
        <v>6738</v>
      </c>
      <c r="K1606" t="s">
        <v>168</v>
      </c>
      <c r="M1606">
        <v>2133448090</v>
      </c>
    </row>
    <row r="1607" spans="1:13" x14ac:dyDescent="0.25">
      <c r="A1607">
        <v>2259127271</v>
      </c>
      <c r="B1607" t="s">
        <v>6739</v>
      </c>
      <c r="C1607">
        <v>849900</v>
      </c>
      <c r="D1607" t="s">
        <v>6740</v>
      </c>
      <c r="E1607" t="s">
        <v>6741</v>
      </c>
      <c r="F1607">
        <v>2</v>
      </c>
      <c r="I1607" t="str">
        <f>HYPERLINK("tel:+12133527042", "213-352-7042")</f>
        <v>213-352-7042</v>
      </c>
      <c r="J1607" t="s">
        <v>6742</v>
      </c>
      <c r="K1607" t="s">
        <v>6743</v>
      </c>
      <c r="M1607">
        <v>2133527042</v>
      </c>
    </row>
    <row r="1608" spans="1:13" x14ac:dyDescent="0.25">
      <c r="A1608">
        <v>2537620032</v>
      </c>
      <c r="B1608" t="s">
        <v>4724</v>
      </c>
      <c r="C1608">
        <v>1995000</v>
      </c>
      <c r="D1608" t="s">
        <v>4725</v>
      </c>
      <c r="E1608" t="s">
        <v>6744</v>
      </c>
      <c r="F1608">
        <v>2</v>
      </c>
      <c r="I1608" t="str">
        <f>HYPERLINK("tel:+12133590328", "213-359-0328")</f>
        <v>213-359-0328</v>
      </c>
      <c r="J1608" t="s">
        <v>6745</v>
      </c>
      <c r="K1608" t="s">
        <v>63</v>
      </c>
      <c r="M1608">
        <v>2133590328</v>
      </c>
    </row>
    <row r="1609" spans="1:13" x14ac:dyDescent="0.25">
      <c r="A1609">
        <v>1716404520</v>
      </c>
      <c r="B1609" t="s">
        <v>6746</v>
      </c>
      <c r="C1609">
        <v>549000</v>
      </c>
      <c r="D1609" t="s">
        <v>6747</v>
      </c>
      <c r="E1609" t="s">
        <v>6748</v>
      </c>
      <c r="F1609">
        <v>2</v>
      </c>
      <c r="I1609" t="str">
        <f>HYPERLINK("tel:+12133841002", "213-384-1002")</f>
        <v>213-384-1002</v>
      </c>
      <c r="J1609" t="s">
        <v>6749</v>
      </c>
      <c r="K1609" t="s">
        <v>6750</v>
      </c>
      <c r="M1609">
        <v>2133841002</v>
      </c>
    </row>
    <row r="1610" spans="1:13" x14ac:dyDescent="0.25">
      <c r="A1610">
        <v>2601887149</v>
      </c>
      <c r="B1610" t="s">
        <v>6751</v>
      </c>
      <c r="C1610">
        <v>2180000</v>
      </c>
      <c r="D1610" t="s">
        <v>6752</v>
      </c>
      <c r="E1610" t="s">
        <v>6753</v>
      </c>
      <c r="F1610">
        <v>2</v>
      </c>
      <c r="I1610" t="str">
        <f>HYPERLINK("tel:+12133853600", "213-385-3600")</f>
        <v>213-385-3600</v>
      </c>
      <c r="J1610" t="s">
        <v>6754</v>
      </c>
      <c r="K1610" t="s">
        <v>6755</v>
      </c>
      <c r="M1610">
        <v>2133853600</v>
      </c>
    </row>
    <row r="1611" spans="1:13" x14ac:dyDescent="0.25">
      <c r="A1611">
        <v>1056399243</v>
      </c>
      <c r="B1611" t="s">
        <v>6756</v>
      </c>
      <c r="C1611">
        <v>2199000</v>
      </c>
      <c r="D1611" t="s">
        <v>6757</v>
      </c>
      <c r="E1611" t="s">
        <v>6758</v>
      </c>
      <c r="F1611">
        <v>2</v>
      </c>
      <c r="I1611" t="str">
        <f>HYPERLINK("tel:+12134004857", "213-400-4857")</f>
        <v>213-400-4857</v>
      </c>
      <c r="J1611" t="s">
        <v>6759</v>
      </c>
      <c r="K1611" t="s">
        <v>707</v>
      </c>
      <c r="M1611">
        <v>2134004857</v>
      </c>
    </row>
    <row r="1612" spans="1:13" x14ac:dyDescent="0.25">
      <c r="A1612">
        <v>1955072522</v>
      </c>
      <c r="B1612" t="s">
        <v>6760</v>
      </c>
      <c r="C1612">
        <v>795000</v>
      </c>
      <c r="D1612" t="s">
        <v>6761</v>
      </c>
      <c r="E1612" t="s">
        <v>6762</v>
      </c>
      <c r="F1612">
        <v>2</v>
      </c>
      <c r="I1612" t="str">
        <f>HYPERLINK("tel:+12134276891", "213-427-6891")</f>
        <v>213-427-6891</v>
      </c>
      <c r="J1612" t="s">
        <v>6763</v>
      </c>
      <c r="K1612" t="s">
        <v>6762</v>
      </c>
      <c r="M1612">
        <v>2134276891</v>
      </c>
    </row>
    <row r="1613" spans="1:13" x14ac:dyDescent="0.25">
      <c r="A1613">
        <v>2575364134</v>
      </c>
      <c r="B1613" t="s">
        <v>6764</v>
      </c>
      <c r="C1613">
        <v>1349000</v>
      </c>
      <c r="D1613" t="s">
        <v>6765</v>
      </c>
      <c r="E1613" t="s">
        <v>6766</v>
      </c>
      <c r="F1613">
        <v>2</v>
      </c>
      <c r="I1613" t="str">
        <f>HYPERLINK("tel:+12134401286", "213-440-1286")</f>
        <v>213-440-1286</v>
      </c>
      <c r="J1613" t="s">
        <v>6767</v>
      </c>
      <c r="K1613" t="s">
        <v>24</v>
      </c>
      <c r="M1613">
        <v>2134401286</v>
      </c>
    </row>
    <row r="1614" spans="1:13" x14ac:dyDescent="0.25">
      <c r="A1614">
        <v>1827552226</v>
      </c>
      <c r="B1614" t="s">
        <v>6768</v>
      </c>
      <c r="C1614">
        <v>1995000</v>
      </c>
      <c r="D1614" t="s">
        <v>6769</v>
      </c>
      <c r="E1614" t="s">
        <v>6770</v>
      </c>
      <c r="F1614">
        <v>2</v>
      </c>
      <c r="I1614" t="str">
        <f>HYPERLINK("tel:+12134530434", "213-453-0434")</f>
        <v>213-453-0434</v>
      </c>
      <c r="J1614" t="s">
        <v>6771</v>
      </c>
      <c r="K1614" t="s">
        <v>6772</v>
      </c>
      <c r="M1614">
        <v>2134530434</v>
      </c>
    </row>
    <row r="1615" spans="1:13" x14ac:dyDescent="0.25">
      <c r="A1615">
        <v>9327564069</v>
      </c>
      <c r="B1615" t="s">
        <v>6773</v>
      </c>
      <c r="C1615">
        <v>399000</v>
      </c>
      <c r="D1615" t="s">
        <v>6774</v>
      </c>
      <c r="E1615" t="s">
        <v>6775</v>
      </c>
      <c r="F1615">
        <v>2</v>
      </c>
      <c r="I1615" t="str">
        <f>HYPERLINK("tel:+12134582739", "213-458-2739")</f>
        <v>213-458-2739</v>
      </c>
      <c r="J1615" t="s">
        <v>6776</v>
      </c>
      <c r="K1615" t="s">
        <v>6777</v>
      </c>
      <c r="M1615">
        <v>2134582739</v>
      </c>
    </row>
    <row r="1616" spans="1:13" x14ac:dyDescent="0.25">
      <c r="A1616">
        <v>1311424609</v>
      </c>
      <c r="B1616" t="s">
        <v>6778</v>
      </c>
      <c r="C1616">
        <v>1450000</v>
      </c>
      <c r="D1616" t="s">
        <v>6779</v>
      </c>
      <c r="E1616" t="s">
        <v>6780</v>
      </c>
      <c r="F1616">
        <v>2</v>
      </c>
      <c r="I1616" t="str">
        <f>HYPERLINK("tel:+12134796893", "213-479-6893")</f>
        <v>213-479-6893</v>
      </c>
      <c r="J1616" t="s">
        <v>6781</v>
      </c>
      <c r="K1616" t="s">
        <v>6782</v>
      </c>
      <c r="M1616">
        <v>2134796893</v>
      </c>
    </row>
    <row r="1617" spans="1:13" x14ac:dyDescent="0.25">
      <c r="A1617">
        <v>2931286076</v>
      </c>
      <c r="B1617" t="s">
        <v>6783</v>
      </c>
      <c r="C1617">
        <v>1395000</v>
      </c>
      <c r="D1617" t="s">
        <v>6784</v>
      </c>
      <c r="E1617" t="s">
        <v>6785</v>
      </c>
      <c r="F1617">
        <v>2</v>
      </c>
      <c r="I1617" t="str">
        <f>HYPERLINK("tel:+12134934146", "213-493-4146")</f>
        <v>213-493-4146</v>
      </c>
      <c r="J1617" t="s">
        <v>6786</v>
      </c>
      <c r="K1617" t="s">
        <v>24</v>
      </c>
      <c r="M1617">
        <v>2134934146</v>
      </c>
    </row>
    <row r="1618" spans="1:13" x14ac:dyDescent="0.25">
      <c r="A1618">
        <v>9244262915</v>
      </c>
      <c r="B1618" t="s">
        <v>6787</v>
      </c>
      <c r="C1618">
        <v>939000</v>
      </c>
      <c r="D1618" t="s">
        <v>6788</v>
      </c>
      <c r="E1618" t="s">
        <v>6789</v>
      </c>
      <c r="F1618">
        <v>2</v>
      </c>
      <c r="I1618" t="str">
        <f>HYPERLINK("tel:+12135003558", "213-500-3558")</f>
        <v>213-500-3558</v>
      </c>
      <c r="J1618" t="s">
        <v>6790</v>
      </c>
      <c r="K1618" t="s">
        <v>6791</v>
      </c>
      <c r="M1618">
        <v>2135003558</v>
      </c>
    </row>
    <row r="1619" spans="1:13" x14ac:dyDescent="0.25">
      <c r="A1619">
        <v>2910685193</v>
      </c>
      <c r="B1619" t="s">
        <v>6792</v>
      </c>
      <c r="C1619">
        <v>488000</v>
      </c>
      <c r="D1619" t="s">
        <v>6793</v>
      </c>
      <c r="E1619" t="s">
        <v>6794</v>
      </c>
      <c r="F1619">
        <v>2</v>
      </c>
      <c r="I1619" t="str">
        <f>HYPERLINK("tel:+12135006462", "213-500-6462")</f>
        <v>213-500-6462</v>
      </c>
      <c r="J1619" t="s">
        <v>6795</v>
      </c>
      <c r="K1619" t="s">
        <v>2922</v>
      </c>
      <c r="M1619">
        <v>2135006462</v>
      </c>
    </row>
    <row r="1620" spans="1:13" x14ac:dyDescent="0.25">
      <c r="A1620">
        <v>2271325831</v>
      </c>
      <c r="B1620" t="s">
        <v>6796</v>
      </c>
      <c r="C1620">
        <v>888000</v>
      </c>
      <c r="D1620" t="s">
        <v>6797</v>
      </c>
      <c r="E1620" t="s">
        <v>6798</v>
      </c>
      <c r="F1620">
        <v>2</v>
      </c>
      <c r="I1620" t="str">
        <f>HYPERLINK("tel:+12135038070", "213-503-8070")</f>
        <v>213-503-8070</v>
      </c>
      <c r="J1620" t="s">
        <v>6799</v>
      </c>
      <c r="K1620" t="s">
        <v>6798</v>
      </c>
      <c r="M1620">
        <v>2135038070</v>
      </c>
    </row>
    <row r="1621" spans="1:13" x14ac:dyDescent="0.25">
      <c r="A1621">
        <v>1263486086</v>
      </c>
      <c r="B1621" t="s">
        <v>6800</v>
      </c>
      <c r="C1621">
        <v>4188888</v>
      </c>
      <c r="D1621" t="s">
        <v>6801</v>
      </c>
      <c r="E1621" t="s">
        <v>6802</v>
      </c>
      <c r="F1621">
        <v>2</v>
      </c>
      <c r="I1621" t="str">
        <f>HYPERLINK("tel:+12135955726", "213-595-5726")</f>
        <v>213-595-5726</v>
      </c>
      <c r="J1621" t="s">
        <v>6803</v>
      </c>
      <c r="K1621" t="s">
        <v>6802</v>
      </c>
      <c r="M1621">
        <v>2135955726</v>
      </c>
    </row>
    <row r="1622" spans="1:13" x14ac:dyDescent="0.25">
      <c r="A1622">
        <v>1607110970</v>
      </c>
      <c r="B1622" t="s">
        <v>6804</v>
      </c>
      <c r="C1622">
        <v>849000</v>
      </c>
      <c r="D1622" t="s">
        <v>6805</v>
      </c>
      <c r="E1622" t="s">
        <v>6806</v>
      </c>
      <c r="F1622">
        <v>2</v>
      </c>
      <c r="I1622" t="str">
        <f>HYPERLINK("tel:+12135988205", "213-598-8205")</f>
        <v>213-598-8205</v>
      </c>
      <c r="J1622" t="s">
        <v>6807</v>
      </c>
      <c r="K1622" t="s">
        <v>2206</v>
      </c>
      <c r="M1622">
        <v>2135988205</v>
      </c>
    </row>
    <row r="1623" spans="1:13" x14ac:dyDescent="0.25">
      <c r="A1623">
        <v>2198937485</v>
      </c>
      <c r="B1623" t="s">
        <v>6808</v>
      </c>
      <c r="C1623">
        <v>1640000</v>
      </c>
      <c r="D1623" t="s">
        <v>6809</v>
      </c>
      <c r="E1623" t="s">
        <v>6810</v>
      </c>
      <c r="F1623">
        <v>2</v>
      </c>
      <c r="I1623" t="str">
        <f>HYPERLINK("tel:+12136201010", "213-620-1010")</f>
        <v>213-620-1010</v>
      </c>
      <c r="J1623" t="s">
        <v>6811</v>
      </c>
      <c r="K1623" t="s">
        <v>6812</v>
      </c>
      <c r="M1623">
        <v>2136201010</v>
      </c>
    </row>
    <row r="1624" spans="1:13" x14ac:dyDescent="0.25">
      <c r="A1624">
        <v>2244491204</v>
      </c>
      <c r="B1624" t="s">
        <v>1731</v>
      </c>
      <c r="C1624">
        <v>1320000</v>
      </c>
      <c r="D1624" t="s">
        <v>1732</v>
      </c>
      <c r="E1624" t="s">
        <v>6813</v>
      </c>
      <c r="F1624">
        <v>2</v>
      </c>
      <c r="I1624" t="str">
        <f>HYPERLINK("tel:+12136251629", "213-625-1629")</f>
        <v>213-625-1629</v>
      </c>
      <c r="J1624" t="s">
        <v>6814</v>
      </c>
      <c r="K1624" t="s">
        <v>1735</v>
      </c>
      <c r="M1624">
        <v>2136251629</v>
      </c>
    </row>
    <row r="1625" spans="1:13" x14ac:dyDescent="0.25">
      <c r="A1625">
        <v>2202694926</v>
      </c>
      <c r="B1625" t="s">
        <v>6815</v>
      </c>
      <c r="C1625">
        <v>985999</v>
      </c>
      <c r="D1625" t="s">
        <v>6816</v>
      </c>
      <c r="E1625" t="s">
        <v>6817</v>
      </c>
      <c r="F1625">
        <v>2</v>
      </c>
      <c r="I1625" t="str">
        <f>HYPERLINK("tel:+12136633899", "213-663-3899")</f>
        <v>213-663-3899</v>
      </c>
      <c r="J1625" t="s">
        <v>6818</v>
      </c>
      <c r="K1625" t="s">
        <v>2469</v>
      </c>
      <c r="M1625">
        <v>2136633899</v>
      </c>
    </row>
    <row r="1626" spans="1:13" x14ac:dyDescent="0.25">
      <c r="A1626">
        <v>1960292902</v>
      </c>
      <c r="B1626" t="s">
        <v>6819</v>
      </c>
      <c r="C1626">
        <v>1999000</v>
      </c>
      <c r="D1626" t="s">
        <v>6820</v>
      </c>
      <c r="E1626" t="s">
        <v>6821</v>
      </c>
      <c r="F1626">
        <v>2</v>
      </c>
      <c r="I1626" t="str">
        <f>HYPERLINK("tel:+12136754109", "213-675-4109")</f>
        <v>213-675-4109</v>
      </c>
      <c r="J1626" t="s">
        <v>6822</v>
      </c>
      <c r="K1626" t="s">
        <v>1730</v>
      </c>
      <c r="M1626">
        <v>2136754109</v>
      </c>
    </row>
    <row r="1627" spans="1:13" x14ac:dyDescent="0.25">
      <c r="A1627">
        <v>2989811823</v>
      </c>
      <c r="B1627" t="s">
        <v>6823</v>
      </c>
      <c r="C1627">
        <v>420000</v>
      </c>
      <c r="D1627" t="s">
        <v>6824</v>
      </c>
      <c r="E1627" t="s">
        <v>6825</v>
      </c>
      <c r="F1627">
        <v>2</v>
      </c>
      <c r="I1627" t="str">
        <f>HYPERLINK("tel:+12136754472", "213-675-4472")</f>
        <v>213-675-4472</v>
      </c>
      <c r="J1627" t="s">
        <v>6826</v>
      </c>
      <c r="K1627" t="s">
        <v>6827</v>
      </c>
      <c r="M1627">
        <v>2136754472</v>
      </c>
    </row>
    <row r="1628" spans="1:13" x14ac:dyDescent="0.25">
      <c r="A1628">
        <v>1805937368</v>
      </c>
      <c r="B1628" t="s">
        <v>6828</v>
      </c>
      <c r="C1628">
        <v>1325000</v>
      </c>
      <c r="D1628" t="s">
        <v>6829</v>
      </c>
      <c r="E1628" t="s">
        <v>6830</v>
      </c>
      <c r="F1628">
        <v>2</v>
      </c>
      <c r="I1628" t="str">
        <f>HYPERLINK("tel:+12137183333", "213-718-3333")</f>
        <v>213-718-3333</v>
      </c>
      <c r="J1628" t="s">
        <v>6831</v>
      </c>
      <c r="K1628" t="s">
        <v>6832</v>
      </c>
      <c r="M1628">
        <v>2137183333</v>
      </c>
    </row>
    <row r="1629" spans="1:13" x14ac:dyDescent="0.25">
      <c r="A1629">
        <v>2043630830</v>
      </c>
      <c r="B1629" t="s">
        <v>2609</v>
      </c>
      <c r="C1629">
        <v>2750000</v>
      </c>
      <c r="D1629" t="s">
        <v>2610</v>
      </c>
      <c r="E1629" t="s">
        <v>6833</v>
      </c>
      <c r="F1629">
        <v>2</v>
      </c>
      <c r="I1629" t="str">
        <f>HYPERLINK("tel:+12137388949", "213-738-8949")</f>
        <v>213-738-8949</v>
      </c>
      <c r="J1629" t="s">
        <v>6834</v>
      </c>
      <c r="K1629" t="s">
        <v>6835</v>
      </c>
      <c r="M1629">
        <v>2137388949</v>
      </c>
    </row>
    <row r="1630" spans="1:13" x14ac:dyDescent="0.25">
      <c r="A1630">
        <v>1301075407</v>
      </c>
      <c r="B1630" t="s">
        <v>6836</v>
      </c>
      <c r="C1630">
        <v>149000</v>
      </c>
      <c r="D1630" t="s">
        <v>6837</v>
      </c>
      <c r="E1630" t="s">
        <v>6838</v>
      </c>
      <c r="F1630">
        <v>2</v>
      </c>
      <c r="I1630" t="str">
        <f>HYPERLINK("tel:+12137600044", "213-760-0044")</f>
        <v>213-760-0044</v>
      </c>
      <c r="J1630" t="s">
        <v>6839</v>
      </c>
      <c r="K1630" t="s">
        <v>2500</v>
      </c>
      <c r="M1630">
        <v>2137600044</v>
      </c>
    </row>
    <row r="1631" spans="1:13" x14ac:dyDescent="0.25">
      <c r="A1631">
        <v>1961283339</v>
      </c>
      <c r="B1631" t="s">
        <v>6840</v>
      </c>
      <c r="C1631">
        <v>1649000</v>
      </c>
      <c r="D1631" t="s">
        <v>6841</v>
      </c>
      <c r="E1631" t="s">
        <v>6842</v>
      </c>
      <c r="F1631">
        <v>2</v>
      </c>
      <c r="I1631" t="str">
        <f>HYPERLINK("tel:+12137602515", "213-760-2515")</f>
        <v>213-760-2515</v>
      </c>
      <c r="J1631" t="s">
        <v>6843</v>
      </c>
      <c r="K1631" t="s">
        <v>6844</v>
      </c>
      <c r="M1631">
        <v>2137602515</v>
      </c>
    </row>
    <row r="1632" spans="1:13" x14ac:dyDescent="0.25">
      <c r="A1632">
        <v>2129849792</v>
      </c>
      <c r="B1632" t="s">
        <v>6845</v>
      </c>
      <c r="C1632">
        <v>3595000</v>
      </c>
      <c r="D1632" t="s">
        <v>6846</v>
      </c>
      <c r="E1632" t="s">
        <v>6847</v>
      </c>
      <c r="F1632">
        <v>2</v>
      </c>
      <c r="I1632" t="str">
        <f>HYPERLINK("tel:+12137603177", "213-760-3177")</f>
        <v>213-760-3177</v>
      </c>
      <c r="J1632" t="s">
        <v>6848</v>
      </c>
      <c r="K1632" t="s">
        <v>24</v>
      </c>
      <c r="M1632">
        <v>2137603177</v>
      </c>
    </row>
    <row r="1633" spans="1:13" x14ac:dyDescent="0.25">
      <c r="A1633">
        <v>1182904093</v>
      </c>
      <c r="B1633" t="s">
        <v>6849</v>
      </c>
      <c r="C1633">
        <v>770000</v>
      </c>
      <c r="D1633" t="s">
        <v>6850</v>
      </c>
      <c r="E1633" t="s">
        <v>6851</v>
      </c>
      <c r="F1633">
        <v>2</v>
      </c>
      <c r="I1633" t="str">
        <f>HYPERLINK("tel:+12137883357", "213-788-3357")</f>
        <v>213-788-3357</v>
      </c>
      <c r="J1633" t="s">
        <v>6852</v>
      </c>
      <c r="K1633" t="s">
        <v>6853</v>
      </c>
      <c r="M1633">
        <v>2137883357</v>
      </c>
    </row>
    <row r="1634" spans="1:13" x14ac:dyDescent="0.25">
      <c r="A1634">
        <v>1467881557</v>
      </c>
      <c r="B1634" t="s">
        <v>6854</v>
      </c>
      <c r="C1634">
        <v>1995000</v>
      </c>
      <c r="D1634" t="s">
        <v>6855</v>
      </c>
      <c r="E1634" t="s">
        <v>6856</v>
      </c>
      <c r="F1634">
        <v>2</v>
      </c>
      <c r="I1634" t="str">
        <f>HYPERLINK("tel:+12138204652", "213-820-4652")</f>
        <v>213-820-4652</v>
      </c>
      <c r="J1634" t="s">
        <v>6857</v>
      </c>
      <c r="K1634" t="s">
        <v>6858</v>
      </c>
      <c r="M1634">
        <v>2138204652</v>
      </c>
    </row>
    <row r="1635" spans="1:13" x14ac:dyDescent="0.25">
      <c r="A1635">
        <v>1297621597</v>
      </c>
      <c r="B1635" t="s">
        <v>6859</v>
      </c>
      <c r="C1635">
        <v>480000</v>
      </c>
      <c r="D1635" t="s">
        <v>6860</v>
      </c>
      <c r="E1635" t="s">
        <v>6861</v>
      </c>
      <c r="F1635">
        <v>2</v>
      </c>
      <c r="I1635" t="str">
        <f>HYPERLINK("tel:+12138406283", "213-840-6283")</f>
        <v>213-840-6283</v>
      </c>
      <c r="J1635" t="s">
        <v>6862</v>
      </c>
      <c r="K1635" t="s">
        <v>6863</v>
      </c>
      <c r="M1635">
        <v>2138406283</v>
      </c>
    </row>
    <row r="1636" spans="1:13" x14ac:dyDescent="0.25">
      <c r="A1636">
        <v>2092109542</v>
      </c>
      <c r="B1636" t="s">
        <v>6864</v>
      </c>
      <c r="C1636">
        <v>699000</v>
      </c>
      <c r="D1636" t="s">
        <v>6865</v>
      </c>
      <c r="E1636" t="s">
        <v>6866</v>
      </c>
      <c r="F1636">
        <v>2</v>
      </c>
      <c r="I1636" t="str">
        <f>HYPERLINK("tel:+12138808019", "213-880-8019")</f>
        <v>213-880-8019</v>
      </c>
      <c r="J1636" t="s">
        <v>6867</v>
      </c>
      <c r="K1636" t="s">
        <v>4176</v>
      </c>
      <c r="M1636">
        <v>2138808019</v>
      </c>
    </row>
    <row r="1637" spans="1:13" x14ac:dyDescent="0.25">
      <c r="A1637">
        <v>1831650869</v>
      </c>
      <c r="B1637" t="s">
        <v>6868</v>
      </c>
      <c r="C1637">
        <v>1270000</v>
      </c>
      <c r="D1637" t="s">
        <v>6869</v>
      </c>
      <c r="E1637" t="s">
        <v>6870</v>
      </c>
      <c r="F1637">
        <v>2</v>
      </c>
      <c r="I1637" t="str">
        <f>HYPERLINK("tel:+12139083392", "213-908-3392")</f>
        <v>213-908-3392</v>
      </c>
      <c r="J1637" t="s">
        <v>6871</v>
      </c>
      <c r="K1637" t="s">
        <v>6872</v>
      </c>
      <c r="M1637">
        <v>2139083392</v>
      </c>
    </row>
    <row r="1638" spans="1:13" x14ac:dyDescent="0.25">
      <c r="A1638">
        <v>9138583460</v>
      </c>
      <c r="B1638" t="s">
        <v>6873</v>
      </c>
      <c r="C1638">
        <v>1249000</v>
      </c>
      <c r="D1638" t="s">
        <v>6874</v>
      </c>
      <c r="E1638" t="s">
        <v>6875</v>
      </c>
      <c r="F1638">
        <v>2</v>
      </c>
      <c r="I1638" t="str">
        <f>HYPERLINK("tel:+12139230227", "213-923-0227")</f>
        <v>213-923-0227</v>
      </c>
      <c r="J1638" t="s">
        <v>6876</v>
      </c>
      <c r="K1638" t="s">
        <v>2922</v>
      </c>
      <c r="M1638">
        <v>2139230227</v>
      </c>
    </row>
    <row r="1639" spans="1:13" x14ac:dyDescent="0.25">
      <c r="A1639">
        <v>2015912062</v>
      </c>
      <c r="B1639" t="s">
        <v>6877</v>
      </c>
      <c r="C1639">
        <v>4475000</v>
      </c>
      <c r="D1639" t="s">
        <v>6878</v>
      </c>
      <c r="E1639" t="s">
        <v>6879</v>
      </c>
      <c r="F1639">
        <v>2</v>
      </c>
      <c r="I1639" t="str">
        <f>HYPERLINK("tel:+12139269494", "213-926-9494")</f>
        <v>213-926-9494</v>
      </c>
      <c r="J1639" t="s">
        <v>6880</v>
      </c>
      <c r="K1639" t="s">
        <v>6881</v>
      </c>
      <c r="M1639">
        <v>2139269494</v>
      </c>
    </row>
    <row r="1640" spans="1:13" x14ac:dyDescent="0.25">
      <c r="A1640">
        <v>1126384683</v>
      </c>
      <c r="B1640" t="s">
        <v>6882</v>
      </c>
      <c r="C1640">
        <v>1598000</v>
      </c>
      <c r="D1640" t="s">
        <v>6883</v>
      </c>
      <c r="E1640" t="s">
        <v>6884</v>
      </c>
      <c r="F1640">
        <v>2</v>
      </c>
      <c r="I1640" t="str">
        <f>HYPERLINK("tel:+12149296643", "214-929-6643")</f>
        <v>214-929-6643</v>
      </c>
      <c r="J1640" t="s">
        <v>6885</v>
      </c>
      <c r="K1640" t="s">
        <v>1881</v>
      </c>
      <c r="M1640">
        <v>2149296643</v>
      </c>
    </row>
    <row r="1641" spans="1:13" x14ac:dyDescent="0.25">
      <c r="A1641">
        <v>2936581692</v>
      </c>
      <c r="B1641" t="s">
        <v>6886</v>
      </c>
      <c r="C1641">
        <v>685000</v>
      </c>
      <c r="D1641" t="s">
        <v>6887</v>
      </c>
      <c r="E1641" t="s">
        <v>6888</v>
      </c>
      <c r="F1641">
        <v>2</v>
      </c>
      <c r="I1641" t="str">
        <f>HYPERLINK("tel:+12149389875", "214-938-9875")</f>
        <v>214-938-9875</v>
      </c>
      <c r="J1641" t="s">
        <v>6889</v>
      </c>
      <c r="K1641" t="s">
        <v>6890</v>
      </c>
      <c r="M1641">
        <v>2149389875</v>
      </c>
    </row>
    <row r="1642" spans="1:13" x14ac:dyDescent="0.25">
      <c r="A1642">
        <v>9739307101</v>
      </c>
      <c r="B1642" t="s">
        <v>6891</v>
      </c>
      <c r="C1642">
        <v>3125000</v>
      </c>
      <c r="D1642" t="s">
        <v>6892</v>
      </c>
      <c r="E1642" t="s">
        <v>6893</v>
      </c>
      <c r="F1642">
        <v>2</v>
      </c>
      <c r="I1642" t="str">
        <f>HYPERLINK("tel:+12158279376", "215-827-9376")</f>
        <v>215-827-9376</v>
      </c>
      <c r="J1642" t="s">
        <v>6894</v>
      </c>
      <c r="K1642" t="s">
        <v>4</v>
      </c>
      <c r="M1642">
        <v>2158279376</v>
      </c>
    </row>
    <row r="1643" spans="1:13" x14ac:dyDescent="0.25">
      <c r="A1643">
        <v>2000201578</v>
      </c>
      <c r="B1643" t="s">
        <v>6895</v>
      </c>
      <c r="C1643">
        <v>1775000</v>
      </c>
      <c r="D1643" t="s">
        <v>6896</v>
      </c>
      <c r="E1643" t="s">
        <v>6897</v>
      </c>
      <c r="F1643">
        <v>2</v>
      </c>
      <c r="I1643" t="str">
        <f>HYPERLINK("tel:+13102002712", "310-200-2712")</f>
        <v>310-200-2712</v>
      </c>
      <c r="J1643" t="s">
        <v>6898</v>
      </c>
      <c r="K1643" t="s">
        <v>532</v>
      </c>
      <c r="M1643">
        <v>3102002712</v>
      </c>
    </row>
    <row r="1644" spans="1:13" x14ac:dyDescent="0.25">
      <c r="A1644">
        <v>2973229399</v>
      </c>
      <c r="B1644" t="s">
        <v>6899</v>
      </c>
      <c r="C1644">
        <v>1599000</v>
      </c>
      <c r="D1644" t="s">
        <v>6900</v>
      </c>
      <c r="E1644" t="s">
        <v>6901</v>
      </c>
      <c r="F1644">
        <v>2</v>
      </c>
      <c r="I1644" t="str">
        <f>HYPERLINK("tel:+13102072691", "310-207-2691")</f>
        <v>310-207-2691</v>
      </c>
      <c r="J1644" t="s">
        <v>6902</v>
      </c>
      <c r="K1644" t="s">
        <v>24</v>
      </c>
      <c r="M1644">
        <v>3102072691</v>
      </c>
    </row>
    <row r="1645" spans="1:13" x14ac:dyDescent="0.25">
      <c r="A1645">
        <v>9890858939</v>
      </c>
      <c r="B1645" t="s">
        <v>6903</v>
      </c>
      <c r="C1645">
        <v>1299000</v>
      </c>
      <c r="D1645" t="s">
        <v>6904</v>
      </c>
      <c r="E1645" t="s">
        <v>6905</v>
      </c>
      <c r="F1645">
        <v>2</v>
      </c>
      <c r="I1645" t="str">
        <f>HYPERLINK("tel:+13102205478", "310-220-5478")</f>
        <v>310-220-5478</v>
      </c>
      <c r="J1645" t="s">
        <v>6906</v>
      </c>
      <c r="K1645" t="s">
        <v>4215</v>
      </c>
      <c r="M1645">
        <v>3102205478</v>
      </c>
    </row>
    <row r="1646" spans="1:13" x14ac:dyDescent="0.25">
      <c r="A1646">
        <v>1671537150</v>
      </c>
      <c r="B1646" t="s">
        <v>6907</v>
      </c>
      <c r="C1646">
        <v>750000</v>
      </c>
      <c r="D1646" t="s">
        <v>6908</v>
      </c>
      <c r="E1646" t="s">
        <v>6909</v>
      </c>
      <c r="F1646">
        <v>2</v>
      </c>
      <c r="I1646" t="str">
        <f>HYPERLINK("tel:+13102288856", "310-228-8856")</f>
        <v>310-228-8856</v>
      </c>
      <c r="J1646" t="s">
        <v>6910</v>
      </c>
      <c r="K1646" t="s">
        <v>323</v>
      </c>
      <c r="M1646">
        <v>3102288856</v>
      </c>
    </row>
    <row r="1647" spans="1:13" x14ac:dyDescent="0.25">
      <c r="A1647">
        <v>1018488407</v>
      </c>
      <c r="B1647" t="s">
        <v>6911</v>
      </c>
      <c r="C1647">
        <v>3995000</v>
      </c>
      <c r="D1647" t="s">
        <v>6912</v>
      </c>
      <c r="E1647" t="s">
        <v>6913</v>
      </c>
      <c r="F1647">
        <v>2</v>
      </c>
      <c r="I1647" t="str">
        <f>HYPERLINK("tel:+13102302479", "310-230-2479")</f>
        <v>310-230-2479</v>
      </c>
      <c r="J1647" t="s">
        <v>6914</v>
      </c>
      <c r="K1647" t="s">
        <v>1886</v>
      </c>
      <c r="M1647">
        <v>3102302479</v>
      </c>
    </row>
    <row r="1648" spans="1:13" x14ac:dyDescent="0.25">
      <c r="A1648">
        <v>2379643405</v>
      </c>
      <c r="B1648" t="s">
        <v>6915</v>
      </c>
      <c r="C1648">
        <v>678000</v>
      </c>
      <c r="D1648" t="s">
        <v>6916</v>
      </c>
      <c r="E1648" t="s">
        <v>6917</v>
      </c>
      <c r="F1648">
        <v>2</v>
      </c>
      <c r="I1648" t="str">
        <f>HYPERLINK("tel:+13102450668", "310-245-0668")</f>
        <v>310-245-0668</v>
      </c>
      <c r="J1648" t="s">
        <v>6918</v>
      </c>
      <c r="K1648" t="s">
        <v>24</v>
      </c>
      <c r="M1648">
        <v>3102450668</v>
      </c>
    </row>
    <row r="1649" spans="1:13" x14ac:dyDescent="0.25">
      <c r="A1649">
        <v>1181893267</v>
      </c>
      <c r="B1649" t="s">
        <v>6919</v>
      </c>
      <c r="C1649">
        <v>1950000</v>
      </c>
      <c r="D1649" t="s">
        <v>6920</v>
      </c>
      <c r="E1649" t="s">
        <v>6921</v>
      </c>
      <c r="F1649">
        <v>2</v>
      </c>
      <c r="I1649" t="str">
        <f>HYPERLINK("tel:+13102453218", "310-245-3218")</f>
        <v>310-245-3218</v>
      </c>
      <c r="J1649" t="s">
        <v>6922</v>
      </c>
      <c r="K1649" t="s">
        <v>409</v>
      </c>
      <c r="M1649">
        <v>3102453218</v>
      </c>
    </row>
    <row r="1650" spans="1:13" x14ac:dyDescent="0.25">
      <c r="A1650">
        <v>1787157809</v>
      </c>
      <c r="B1650" t="s">
        <v>6923</v>
      </c>
      <c r="C1650">
        <v>610000</v>
      </c>
      <c r="D1650" t="s">
        <v>6924</v>
      </c>
      <c r="E1650" t="s">
        <v>6925</v>
      </c>
      <c r="F1650">
        <v>2</v>
      </c>
      <c r="I1650" t="str">
        <f>HYPERLINK("tel:+13102460888", "310-246-0888")</f>
        <v>310-246-0888</v>
      </c>
      <c r="J1650" t="s">
        <v>6926</v>
      </c>
      <c r="K1650" t="s">
        <v>6927</v>
      </c>
      <c r="M1650">
        <v>3102460888</v>
      </c>
    </row>
    <row r="1651" spans="1:13" x14ac:dyDescent="0.25">
      <c r="A1651">
        <v>2047673314</v>
      </c>
      <c r="B1651" t="s">
        <v>6928</v>
      </c>
      <c r="C1651">
        <v>1800000</v>
      </c>
      <c r="D1651" t="s">
        <v>6929</v>
      </c>
      <c r="E1651" t="s">
        <v>6930</v>
      </c>
      <c r="F1651">
        <v>2</v>
      </c>
      <c r="I1651" t="str">
        <f>HYPERLINK("tel:+13102486453", "310-248-6453")</f>
        <v>310-248-6453</v>
      </c>
      <c r="J1651" t="s">
        <v>6931</v>
      </c>
      <c r="K1651" t="s">
        <v>653</v>
      </c>
      <c r="M1651">
        <v>3102486453</v>
      </c>
    </row>
    <row r="1652" spans="1:13" x14ac:dyDescent="0.25">
      <c r="A1652">
        <v>1004181434</v>
      </c>
      <c r="B1652" t="s">
        <v>6932</v>
      </c>
      <c r="C1652">
        <v>695000</v>
      </c>
      <c r="D1652" t="s">
        <v>6933</v>
      </c>
      <c r="E1652" t="s">
        <v>6934</v>
      </c>
      <c r="F1652">
        <v>2</v>
      </c>
      <c r="I1652" t="str">
        <f>HYPERLINK("tel:+13102510795", "310-251-0795")</f>
        <v>310-251-0795</v>
      </c>
      <c r="J1652" t="s">
        <v>6935</v>
      </c>
      <c r="K1652" t="s">
        <v>4993</v>
      </c>
      <c r="M1652">
        <v>3102510795</v>
      </c>
    </row>
    <row r="1653" spans="1:13" x14ac:dyDescent="0.25">
      <c r="A1653">
        <v>1848586054</v>
      </c>
      <c r="B1653" t="s">
        <v>6936</v>
      </c>
      <c r="C1653">
        <v>1375000</v>
      </c>
      <c r="D1653" t="s">
        <v>6937</v>
      </c>
      <c r="E1653" t="s">
        <v>6938</v>
      </c>
      <c r="F1653">
        <v>2</v>
      </c>
      <c r="I1653" t="str">
        <f>HYPERLINK("tel:+13102515825", "310-251-5825")</f>
        <v>310-251-5825</v>
      </c>
      <c r="J1653" t="s">
        <v>6939</v>
      </c>
      <c r="K1653" t="s">
        <v>6940</v>
      </c>
      <c r="M1653">
        <v>3102515825</v>
      </c>
    </row>
    <row r="1654" spans="1:13" x14ac:dyDescent="0.25">
      <c r="A1654">
        <v>2982930375</v>
      </c>
      <c r="B1654" t="s">
        <v>6941</v>
      </c>
      <c r="C1654">
        <v>1999000</v>
      </c>
      <c r="D1654" t="s">
        <v>6942</v>
      </c>
      <c r="E1654" t="s">
        <v>6943</v>
      </c>
      <c r="F1654">
        <v>2</v>
      </c>
      <c r="I1654" t="str">
        <f>HYPERLINK("tel:+13102555454", "310-255-5454")</f>
        <v>310-255-5454</v>
      </c>
      <c r="J1654" t="s">
        <v>6944</v>
      </c>
      <c r="K1654" t="s">
        <v>6945</v>
      </c>
      <c r="M1654">
        <v>3102555454</v>
      </c>
    </row>
    <row r="1655" spans="1:13" x14ac:dyDescent="0.25">
      <c r="A1655">
        <v>1148820706</v>
      </c>
      <c r="B1655" t="s">
        <v>6946</v>
      </c>
      <c r="C1655">
        <v>2049000</v>
      </c>
      <c r="D1655" t="s">
        <v>6947</v>
      </c>
      <c r="E1655" t="s">
        <v>6948</v>
      </c>
      <c r="F1655">
        <v>2</v>
      </c>
      <c r="I1655" t="str">
        <f>HYPERLINK("tel:+13102597419", "310-259-7419")</f>
        <v>310-259-7419</v>
      </c>
      <c r="J1655" t="s">
        <v>6949</v>
      </c>
      <c r="K1655" t="s">
        <v>24</v>
      </c>
      <c r="M1655">
        <v>3102597419</v>
      </c>
    </row>
    <row r="1656" spans="1:13" x14ac:dyDescent="0.25">
      <c r="A1656">
        <v>2065491509</v>
      </c>
      <c r="B1656" t="s">
        <v>6950</v>
      </c>
      <c r="C1656">
        <v>1997500</v>
      </c>
      <c r="D1656" t="s">
        <v>6951</v>
      </c>
      <c r="E1656" t="s">
        <v>6952</v>
      </c>
      <c r="F1656">
        <v>2</v>
      </c>
      <c r="I1656" t="str">
        <f>HYPERLINK("tel:+13102613777", "310-261-3777")</f>
        <v>310-261-3777</v>
      </c>
      <c r="J1656" t="s">
        <v>6953</v>
      </c>
      <c r="K1656" t="s">
        <v>24</v>
      </c>
      <c r="M1656">
        <v>3102613777</v>
      </c>
    </row>
    <row r="1657" spans="1:13" x14ac:dyDescent="0.25">
      <c r="A1657">
        <v>9316772148</v>
      </c>
      <c r="B1657" t="s">
        <v>6954</v>
      </c>
      <c r="C1657">
        <v>1680000</v>
      </c>
      <c r="D1657" t="s">
        <v>6955</v>
      </c>
      <c r="E1657" t="s">
        <v>6956</v>
      </c>
      <c r="F1657">
        <v>2</v>
      </c>
      <c r="I1657" t="str">
        <f>HYPERLINK("tel:+13102664772", "310-266-4772")</f>
        <v>310-266-4772</v>
      </c>
      <c r="J1657" t="s">
        <v>6957</v>
      </c>
      <c r="K1657" t="s">
        <v>351</v>
      </c>
      <c r="M1657">
        <v>3102664772</v>
      </c>
    </row>
    <row r="1658" spans="1:13" x14ac:dyDescent="0.25">
      <c r="A1658">
        <v>1697962709</v>
      </c>
      <c r="B1658" t="s">
        <v>6958</v>
      </c>
      <c r="C1658">
        <v>449000</v>
      </c>
      <c r="D1658" t="s">
        <v>6959</v>
      </c>
      <c r="E1658" t="s">
        <v>6960</v>
      </c>
      <c r="F1658">
        <v>2</v>
      </c>
      <c r="I1658" t="str">
        <f>HYPERLINK("tel:+13102667934", "310-266-7934")</f>
        <v>310-266-7934</v>
      </c>
      <c r="J1658" t="s">
        <v>6961</v>
      </c>
      <c r="K1658" t="s">
        <v>532</v>
      </c>
      <c r="M1658">
        <v>3102667934</v>
      </c>
    </row>
    <row r="1659" spans="1:13" x14ac:dyDescent="0.25">
      <c r="A1659">
        <v>2765527164</v>
      </c>
      <c r="B1659" t="s">
        <v>6962</v>
      </c>
      <c r="C1659">
        <v>469000</v>
      </c>
      <c r="D1659" t="s">
        <v>6963</v>
      </c>
      <c r="E1659" t="s">
        <v>6964</v>
      </c>
      <c r="F1659">
        <v>2</v>
      </c>
      <c r="I1659" t="str">
        <f>HYPERLINK("tel:+13102707428", "310-270-7428")</f>
        <v>310-270-7428</v>
      </c>
      <c r="J1659" t="s">
        <v>6965</v>
      </c>
      <c r="K1659" t="s">
        <v>112</v>
      </c>
      <c r="M1659">
        <v>3102707428</v>
      </c>
    </row>
    <row r="1660" spans="1:13" x14ac:dyDescent="0.25">
      <c r="A1660">
        <v>1327465411</v>
      </c>
      <c r="B1660" t="s">
        <v>6966</v>
      </c>
      <c r="C1660">
        <v>6000000</v>
      </c>
      <c r="D1660" t="s">
        <v>6967</v>
      </c>
      <c r="E1660" t="s">
        <v>6968</v>
      </c>
      <c r="F1660">
        <v>2</v>
      </c>
      <c r="I1660" t="str">
        <f>HYPERLINK("tel:+13102710101", "310-271-0101")</f>
        <v>310-271-0101</v>
      </c>
      <c r="J1660" t="s">
        <v>6969</v>
      </c>
      <c r="K1660" t="s">
        <v>6970</v>
      </c>
      <c r="M1660">
        <v>3102710101</v>
      </c>
    </row>
    <row r="1661" spans="1:13" x14ac:dyDescent="0.25">
      <c r="A1661">
        <v>1842620902</v>
      </c>
      <c r="B1661" t="s">
        <v>6971</v>
      </c>
      <c r="C1661">
        <v>2950000</v>
      </c>
      <c r="D1661" t="s">
        <v>6972</v>
      </c>
      <c r="E1661" t="s">
        <v>6973</v>
      </c>
      <c r="F1661">
        <v>2</v>
      </c>
      <c r="I1661" t="str">
        <f>HYPERLINK("tel:+13102731975", "310-273-1975")</f>
        <v>310-273-1975</v>
      </c>
      <c r="J1661" t="s">
        <v>6974</v>
      </c>
      <c r="K1661" t="s">
        <v>6975</v>
      </c>
      <c r="M1661">
        <v>3102731975</v>
      </c>
    </row>
    <row r="1662" spans="1:13" x14ac:dyDescent="0.25">
      <c r="A1662">
        <v>1576118301</v>
      </c>
      <c r="B1662" t="s">
        <v>6976</v>
      </c>
      <c r="C1662">
        <v>1695000</v>
      </c>
      <c r="D1662" t="s">
        <v>6977</v>
      </c>
      <c r="E1662" t="s">
        <v>6978</v>
      </c>
      <c r="F1662">
        <v>2</v>
      </c>
      <c r="I1662" t="str">
        <f>HYPERLINK("tel:+13102736367", "310-273-6367")</f>
        <v>310-273-6367</v>
      </c>
      <c r="J1662" t="s">
        <v>6979</v>
      </c>
      <c r="K1662" t="s">
        <v>6978</v>
      </c>
      <c r="M1662">
        <v>3102736367</v>
      </c>
    </row>
    <row r="1663" spans="1:13" x14ac:dyDescent="0.25">
      <c r="A1663">
        <v>1889558995</v>
      </c>
      <c r="B1663" t="s">
        <v>6980</v>
      </c>
      <c r="C1663">
        <v>1695000</v>
      </c>
      <c r="D1663" t="s">
        <v>6981</v>
      </c>
      <c r="E1663" t="s">
        <v>6982</v>
      </c>
      <c r="F1663">
        <v>2</v>
      </c>
      <c r="I1663" t="str">
        <f>HYPERLINK("tel:+13102737077", "310-273-7077")</f>
        <v>310-273-7077</v>
      </c>
      <c r="J1663" t="s">
        <v>6983</v>
      </c>
      <c r="K1663" t="s">
        <v>14</v>
      </c>
      <c r="M1663">
        <v>3102737077</v>
      </c>
    </row>
    <row r="1664" spans="1:13" x14ac:dyDescent="0.25">
      <c r="A1664">
        <v>2767458695</v>
      </c>
      <c r="B1664" t="s">
        <v>6984</v>
      </c>
      <c r="C1664">
        <v>10750000</v>
      </c>
      <c r="D1664" t="s">
        <v>6985</v>
      </c>
      <c r="E1664" t="s">
        <v>6986</v>
      </c>
      <c r="F1664">
        <v>2</v>
      </c>
      <c r="I1664" t="str">
        <f>HYPERLINK("tel:+13102752223", "310-275-2223")</f>
        <v>310-275-2223</v>
      </c>
      <c r="J1664" t="s">
        <v>6987</v>
      </c>
      <c r="K1664" t="s">
        <v>24</v>
      </c>
      <c r="M1664">
        <v>3102752223</v>
      </c>
    </row>
    <row r="1665" spans="1:13" x14ac:dyDescent="0.25">
      <c r="A1665">
        <v>2696662851</v>
      </c>
      <c r="B1665" t="s">
        <v>6988</v>
      </c>
      <c r="C1665">
        <v>2350000</v>
      </c>
      <c r="D1665" t="s">
        <v>6989</v>
      </c>
      <c r="E1665" t="s">
        <v>6990</v>
      </c>
      <c r="F1665">
        <v>2</v>
      </c>
      <c r="I1665" t="str">
        <f>HYPERLINK("tel:+13102771478", "310-277-1478")</f>
        <v>310-277-1478</v>
      </c>
      <c r="J1665" t="s">
        <v>6991</v>
      </c>
      <c r="K1665" t="s">
        <v>136</v>
      </c>
      <c r="M1665">
        <v>3102771478</v>
      </c>
    </row>
    <row r="1666" spans="1:13" x14ac:dyDescent="0.25">
      <c r="A1666">
        <v>2827620019</v>
      </c>
      <c r="B1666" t="s">
        <v>6992</v>
      </c>
      <c r="C1666">
        <v>19995000</v>
      </c>
      <c r="D1666" t="s">
        <v>6993</v>
      </c>
      <c r="E1666" t="s">
        <v>6994</v>
      </c>
      <c r="F1666">
        <v>2</v>
      </c>
      <c r="I1666" t="str">
        <f>HYPERLINK("tel:+13102781298", "310-278-1298")</f>
        <v>310-278-1298</v>
      </c>
      <c r="J1666" t="s">
        <v>6995</v>
      </c>
      <c r="K1666" t="s">
        <v>117</v>
      </c>
      <c r="M1666">
        <v>3102781298</v>
      </c>
    </row>
    <row r="1667" spans="1:13" x14ac:dyDescent="0.25">
      <c r="A1667">
        <v>1371359617</v>
      </c>
      <c r="B1667" t="s">
        <v>6996</v>
      </c>
      <c r="C1667">
        <v>2540000</v>
      </c>
      <c r="D1667" t="s">
        <v>6997</v>
      </c>
      <c r="E1667" t="s">
        <v>6998</v>
      </c>
      <c r="F1667">
        <v>2</v>
      </c>
      <c r="I1667" t="str">
        <f>HYPERLINK("tel:+13102793355", "310-279-3355")</f>
        <v>310-279-3355</v>
      </c>
      <c r="J1667" t="s">
        <v>6999</v>
      </c>
      <c r="K1667" t="s">
        <v>6881</v>
      </c>
      <c r="M1667">
        <v>3102793355</v>
      </c>
    </row>
    <row r="1668" spans="1:13" x14ac:dyDescent="0.25">
      <c r="A1668">
        <v>9215317521</v>
      </c>
      <c r="B1668" t="s">
        <v>7000</v>
      </c>
      <c r="C1668">
        <v>900000</v>
      </c>
      <c r="D1668" t="s">
        <v>7001</v>
      </c>
      <c r="E1668" t="s">
        <v>7002</v>
      </c>
      <c r="F1668">
        <v>2</v>
      </c>
      <c r="I1668" t="str">
        <f>HYPERLINK("tel:+13102808983", "310-280-8983")</f>
        <v>310-280-8983</v>
      </c>
      <c r="J1668" t="s">
        <v>7003</v>
      </c>
      <c r="K1668" t="s">
        <v>2474</v>
      </c>
      <c r="M1668">
        <v>3102808983</v>
      </c>
    </row>
    <row r="1669" spans="1:13" x14ac:dyDescent="0.25">
      <c r="A1669">
        <v>1773102924</v>
      </c>
      <c r="B1669" t="s">
        <v>7004</v>
      </c>
      <c r="C1669">
        <v>1750000</v>
      </c>
      <c r="D1669" t="s">
        <v>7005</v>
      </c>
      <c r="E1669" t="s">
        <v>7006</v>
      </c>
      <c r="F1669">
        <v>2</v>
      </c>
      <c r="I1669" t="str">
        <f>HYPERLINK("tel:+13102928353", "310-292-8353")</f>
        <v>310-292-8353</v>
      </c>
      <c r="J1669" t="s">
        <v>7007</v>
      </c>
      <c r="K1669" t="s">
        <v>117</v>
      </c>
      <c r="M1669">
        <v>3102928353</v>
      </c>
    </row>
    <row r="1670" spans="1:13" x14ac:dyDescent="0.25">
      <c r="A1670">
        <v>2213353323</v>
      </c>
      <c r="B1670" t="s">
        <v>7008</v>
      </c>
      <c r="C1670">
        <v>2995000</v>
      </c>
      <c r="D1670" t="s">
        <v>7009</v>
      </c>
      <c r="E1670" t="s">
        <v>7010</v>
      </c>
      <c r="F1670">
        <v>2</v>
      </c>
      <c r="I1670" t="str">
        <f>HYPERLINK("tel:+13102935503", "310-293-5503")</f>
        <v>310-293-5503</v>
      </c>
      <c r="J1670" t="s">
        <v>7011</v>
      </c>
      <c r="K1670" t="s">
        <v>4</v>
      </c>
      <c r="M1670">
        <v>3102935503</v>
      </c>
    </row>
    <row r="1671" spans="1:13" x14ac:dyDescent="0.25">
      <c r="A1671">
        <v>1420518836</v>
      </c>
      <c r="B1671" t="s">
        <v>7012</v>
      </c>
      <c r="C1671">
        <v>299000</v>
      </c>
      <c r="D1671" t="s">
        <v>7013</v>
      </c>
      <c r="E1671" t="s">
        <v>7014</v>
      </c>
      <c r="F1671">
        <v>2</v>
      </c>
      <c r="I1671" t="str">
        <f>HYPERLINK("tel:+13103100324", "310-310-0324")</f>
        <v>310-310-0324</v>
      </c>
      <c r="J1671" t="s">
        <v>7015</v>
      </c>
      <c r="K1671" t="s">
        <v>4</v>
      </c>
      <c r="M1671">
        <v>3103100324</v>
      </c>
    </row>
    <row r="1672" spans="1:13" x14ac:dyDescent="0.25">
      <c r="A1672">
        <v>2564422468</v>
      </c>
      <c r="B1672" t="s">
        <v>7016</v>
      </c>
      <c r="C1672">
        <v>3300000</v>
      </c>
      <c r="D1672" t="s">
        <v>7017</v>
      </c>
      <c r="E1672" t="s">
        <v>7018</v>
      </c>
      <c r="F1672">
        <v>2</v>
      </c>
      <c r="I1672" t="str">
        <f>HYPERLINK("tel:+13103147700", "310-314-7700")</f>
        <v>310-314-7700</v>
      </c>
      <c r="J1672" t="s">
        <v>7019</v>
      </c>
      <c r="K1672" t="s">
        <v>7020</v>
      </c>
      <c r="M1672">
        <v>3103147700</v>
      </c>
    </row>
    <row r="1673" spans="1:13" x14ac:dyDescent="0.25">
      <c r="A1673">
        <v>2312398585</v>
      </c>
      <c r="B1673" t="s">
        <v>7021</v>
      </c>
      <c r="C1673">
        <v>875000</v>
      </c>
      <c r="D1673" t="s">
        <v>7022</v>
      </c>
      <c r="E1673" t="s">
        <v>7023</v>
      </c>
      <c r="F1673">
        <v>2</v>
      </c>
      <c r="I1673" t="str">
        <f>HYPERLINK("tel:+13103388554", "310-338-8554")</f>
        <v>310-338-8554</v>
      </c>
      <c r="J1673" t="s">
        <v>7024</v>
      </c>
      <c r="K1673" t="s">
        <v>7025</v>
      </c>
      <c r="M1673">
        <v>3103388554</v>
      </c>
    </row>
    <row r="1674" spans="1:13" x14ac:dyDescent="0.25">
      <c r="A1674">
        <v>9600610967</v>
      </c>
      <c r="B1674" t="s">
        <v>7026</v>
      </c>
      <c r="C1674">
        <v>430000</v>
      </c>
      <c r="D1674" t="s">
        <v>7027</v>
      </c>
      <c r="E1674" t="s">
        <v>7028</v>
      </c>
      <c r="F1674">
        <v>2</v>
      </c>
      <c r="I1674" t="str">
        <f>HYPERLINK("tel:+13103391309", "310-339-1309")</f>
        <v>310-339-1309</v>
      </c>
      <c r="J1674" t="s">
        <v>7029</v>
      </c>
      <c r="K1674" t="s">
        <v>7028</v>
      </c>
      <c r="M1674">
        <v>3103391309</v>
      </c>
    </row>
    <row r="1675" spans="1:13" x14ac:dyDescent="0.25">
      <c r="A1675">
        <v>2861072669</v>
      </c>
      <c r="B1675" t="s">
        <v>7030</v>
      </c>
      <c r="C1675">
        <v>899999</v>
      </c>
      <c r="D1675" t="s">
        <v>7031</v>
      </c>
      <c r="E1675" t="s">
        <v>7032</v>
      </c>
      <c r="F1675">
        <v>2</v>
      </c>
      <c r="I1675" t="str">
        <f>HYPERLINK("tel:+13103394016", "310-339-4016")</f>
        <v>310-339-4016</v>
      </c>
      <c r="J1675" t="s">
        <v>7033</v>
      </c>
      <c r="K1675" t="s">
        <v>1310</v>
      </c>
      <c r="M1675">
        <v>3103394016</v>
      </c>
    </row>
    <row r="1676" spans="1:13" x14ac:dyDescent="0.25">
      <c r="A1676">
        <v>2390461900</v>
      </c>
      <c r="B1676" t="s">
        <v>7034</v>
      </c>
      <c r="C1676">
        <v>1699000</v>
      </c>
      <c r="D1676" t="s">
        <v>7035</v>
      </c>
      <c r="E1676" t="s">
        <v>7036</v>
      </c>
      <c r="F1676">
        <v>2</v>
      </c>
      <c r="I1676" t="str">
        <f>HYPERLINK("tel:+13103444740", "310-344-4740")</f>
        <v>310-344-4740</v>
      </c>
      <c r="J1676" t="s">
        <v>7037</v>
      </c>
      <c r="K1676" t="s">
        <v>24</v>
      </c>
      <c r="M1676">
        <v>3103444740</v>
      </c>
    </row>
    <row r="1677" spans="1:13" x14ac:dyDescent="0.25">
      <c r="A1677">
        <v>2989652766</v>
      </c>
      <c r="B1677" t="s">
        <v>7038</v>
      </c>
      <c r="C1677">
        <v>1985000</v>
      </c>
      <c r="D1677" t="s">
        <v>7039</v>
      </c>
      <c r="E1677" t="s">
        <v>7040</v>
      </c>
      <c r="F1677">
        <v>2</v>
      </c>
      <c r="I1677" t="str">
        <f>HYPERLINK("tel:+13103450075", "310-345-0075")</f>
        <v>310-345-0075</v>
      </c>
      <c r="J1677" t="s">
        <v>7041</v>
      </c>
      <c r="K1677" t="s">
        <v>24</v>
      </c>
      <c r="M1677">
        <v>3103450075</v>
      </c>
    </row>
    <row r="1678" spans="1:13" x14ac:dyDescent="0.25">
      <c r="A1678">
        <v>2459220712</v>
      </c>
      <c r="B1678" t="s">
        <v>7042</v>
      </c>
      <c r="C1678">
        <v>1545000</v>
      </c>
      <c r="D1678" t="s">
        <v>7043</v>
      </c>
      <c r="E1678" t="s">
        <v>7044</v>
      </c>
      <c r="F1678">
        <v>2</v>
      </c>
      <c r="I1678" t="str">
        <f>HYPERLINK("tel:+13103459174", "310-345-9174")</f>
        <v>310-345-9174</v>
      </c>
      <c r="J1678" t="s">
        <v>7045</v>
      </c>
      <c r="K1678" t="s">
        <v>7046</v>
      </c>
      <c r="M1678">
        <v>3103459174</v>
      </c>
    </row>
    <row r="1679" spans="1:13" x14ac:dyDescent="0.25">
      <c r="A1679">
        <v>1974915673</v>
      </c>
      <c r="B1679" t="s">
        <v>7047</v>
      </c>
      <c r="C1679">
        <v>1099000</v>
      </c>
      <c r="D1679" t="s">
        <v>7048</v>
      </c>
      <c r="E1679" t="s">
        <v>7049</v>
      </c>
      <c r="F1679">
        <v>2</v>
      </c>
      <c r="I1679" t="str">
        <f>HYPERLINK("tel:+13103464343", "310-346-4343")</f>
        <v>310-346-4343</v>
      </c>
      <c r="J1679" t="s">
        <v>7050</v>
      </c>
      <c r="K1679" t="s">
        <v>7051</v>
      </c>
      <c r="M1679">
        <v>3103464343</v>
      </c>
    </row>
    <row r="1680" spans="1:13" x14ac:dyDescent="0.25">
      <c r="A1680">
        <v>2405298362</v>
      </c>
      <c r="B1680" t="s">
        <v>7052</v>
      </c>
      <c r="C1680">
        <v>499000</v>
      </c>
      <c r="D1680" t="s">
        <v>7053</v>
      </c>
      <c r="E1680" t="s">
        <v>7054</v>
      </c>
      <c r="F1680">
        <v>2</v>
      </c>
      <c r="I1680" t="str">
        <f>HYPERLINK("tel:+13103471300", "310-347-1300")</f>
        <v>310-347-1300</v>
      </c>
      <c r="J1680" t="s">
        <v>7055</v>
      </c>
      <c r="K1680" t="s">
        <v>7056</v>
      </c>
      <c r="M1680">
        <v>3103471300</v>
      </c>
    </row>
    <row r="1681" spans="1:13" x14ac:dyDescent="0.25">
      <c r="A1681">
        <v>1880553477</v>
      </c>
      <c r="B1681" t="s">
        <v>7057</v>
      </c>
      <c r="C1681">
        <v>1549000</v>
      </c>
      <c r="D1681" t="s">
        <v>7058</v>
      </c>
      <c r="E1681" t="s">
        <v>7059</v>
      </c>
      <c r="F1681">
        <v>2</v>
      </c>
      <c r="I1681" t="str">
        <f>HYPERLINK("tel:+13103475805", "310-347-5805")</f>
        <v>310-347-5805</v>
      </c>
      <c r="J1681" t="s">
        <v>7060</v>
      </c>
      <c r="K1681" t="s">
        <v>112</v>
      </c>
      <c r="M1681">
        <v>3103475805</v>
      </c>
    </row>
    <row r="1682" spans="1:13" x14ac:dyDescent="0.25">
      <c r="A1682">
        <v>2865534583</v>
      </c>
      <c r="B1682" t="s">
        <v>7061</v>
      </c>
      <c r="C1682">
        <v>699000</v>
      </c>
      <c r="D1682" t="s">
        <v>7062</v>
      </c>
      <c r="E1682" t="s">
        <v>7063</v>
      </c>
      <c r="F1682">
        <v>2</v>
      </c>
      <c r="I1682" t="str">
        <f>HYPERLINK("tel:+13103511312", "310-351-1312")</f>
        <v>310-351-1312</v>
      </c>
      <c r="J1682" t="s">
        <v>7064</v>
      </c>
      <c r="K1682" t="s">
        <v>24</v>
      </c>
      <c r="M1682">
        <v>3103511312</v>
      </c>
    </row>
    <row r="1683" spans="1:13" x14ac:dyDescent="0.25">
      <c r="A1683">
        <v>2989004723</v>
      </c>
      <c r="B1683" t="s">
        <v>7065</v>
      </c>
      <c r="C1683">
        <v>8499000</v>
      </c>
      <c r="D1683" t="s">
        <v>7066</v>
      </c>
      <c r="E1683" t="s">
        <v>7067</v>
      </c>
      <c r="F1683">
        <v>2</v>
      </c>
      <c r="I1683" t="str">
        <f>HYPERLINK("tel:+13103513112", "310-351-3112")</f>
        <v>310-351-3112</v>
      </c>
      <c r="J1683" t="s">
        <v>7068</v>
      </c>
      <c r="K1683" t="s">
        <v>24</v>
      </c>
      <c r="M1683">
        <v>3103513112</v>
      </c>
    </row>
    <row r="1684" spans="1:13" x14ac:dyDescent="0.25">
      <c r="A1684">
        <v>2382464244</v>
      </c>
      <c r="B1684" t="s">
        <v>7069</v>
      </c>
      <c r="C1684">
        <v>3100000</v>
      </c>
      <c r="D1684" t="s">
        <v>7070</v>
      </c>
      <c r="E1684" t="s">
        <v>7071</v>
      </c>
      <c r="F1684">
        <v>2</v>
      </c>
      <c r="I1684" t="str">
        <f>HYPERLINK("tel:+13103519450", "310-351-9450")</f>
        <v>310-351-9450</v>
      </c>
      <c r="J1684" t="s">
        <v>7072</v>
      </c>
      <c r="K1684" t="s">
        <v>249</v>
      </c>
      <c r="M1684">
        <v>3103519450</v>
      </c>
    </row>
    <row r="1685" spans="1:13" x14ac:dyDescent="0.25">
      <c r="A1685">
        <v>2228077742</v>
      </c>
      <c r="B1685" t="s">
        <v>7073</v>
      </c>
      <c r="C1685">
        <v>1649000</v>
      </c>
      <c r="D1685" t="s">
        <v>7074</v>
      </c>
      <c r="E1685" t="s">
        <v>7075</v>
      </c>
      <c r="F1685">
        <v>2</v>
      </c>
      <c r="I1685" t="str">
        <f>HYPERLINK("tel:+13103595815", "310-359-5815")</f>
        <v>310-359-5815</v>
      </c>
      <c r="J1685" t="s">
        <v>7076</v>
      </c>
      <c r="K1685" t="s">
        <v>2515</v>
      </c>
      <c r="M1685">
        <v>3103595815</v>
      </c>
    </row>
    <row r="1686" spans="1:13" x14ac:dyDescent="0.25">
      <c r="A1686">
        <v>1993645921</v>
      </c>
      <c r="B1686" t="s">
        <v>7077</v>
      </c>
      <c r="C1686">
        <v>2695000</v>
      </c>
      <c r="D1686" t="s">
        <v>7078</v>
      </c>
      <c r="E1686" t="s">
        <v>7079</v>
      </c>
      <c r="F1686">
        <v>2</v>
      </c>
      <c r="I1686" t="str">
        <f>HYPERLINK("tel:+13103634900", "310-363-4900")</f>
        <v>310-363-4900</v>
      </c>
      <c r="J1686" t="s">
        <v>7080</v>
      </c>
      <c r="K1686" t="s">
        <v>7081</v>
      </c>
      <c r="M1686">
        <v>3103634900</v>
      </c>
    </row>
    <row r="1687" spans="1:13" x14ac:dyDescent="0.25">
      <c r="A1687">
        <v>2548780219</v>
      </c>
      <c r="B1687" t="s">
        <v>7082</v>
      </c>
      <c r="C1687">
        <v>645000</v>
      </c>
      <c r="D1687" t="s">
        <v>7083</v>
      </c>
      <c r="E1687" t="s">
        <v>7084</v>
      </c>
      <c r="F1687">
        <v>2</v>
      </c>
      <c r="I1687" t="str">
        <f>HYPERLINK("tel:+13103652674", "310-365-2674")</f>
        <v>310-365-2674</v>
      </c>
      <c r="J1687" t="s">
        <v>7085</v>
      </c>
      <c r="K1687" t="s">
        <v>825</v>
      </c>
      <c r="M1687">
        <v>3103652674</v>
      </c>
    </row>
    <row r="1688" spans="1:13" x14ac:dyDescent="0.25">
      <c r="A1688">
        <v>2436004030</v>
      </c>
      <c r="B1688" t="s">
        <v>7086</v>
      </c>
      <c r="C1688">
        <v>549900</v>
      </c>
      <c r="D1688" t="s">
        <v>7087</v>
      </c>
      <c r="E1688" t="s">
        <v>7088</v>
      </c>
      <c r="F1688">
        <v>2</v>
      </c>
      <c r="I1688" t="str">
        <f>HYPERLINK("tel:+13103658218", "310-365-8218")</f>
        <v>310-365-8218</v>
      </c>
      <c r="J1688" t="s">
        <v>7089</v>
      </c>
      <c r="K1688" t="s">
        <v>3188</v>
      </c>
      <c r="M1688">
        <v>3103658218</v>
      </c>
    </row>
    <row r="1689" spans="1:13" x14ac:dyDescent="0.25">
      <c r="A1689">
        <v>2274333000</v>
      </c>
      <c r="B1689" t="s">
        <v>7090</v>
      </c>
      <c r="C1689">
        <v>1795000</v>
      </c>
      <c r="D1689" t="s">
        <v>7091</v>
      </c>
      <c r="E1689" t="s">
        <v>7092</v>
      </c>
      <c r="F1689">
        <v>2</v>
      </c>
      <c r="I1689" t="str">
        <f>HYPERLINK("tel:+13103671130", "310-367-1130")</f>
        <v>310-367-1130</v>
      </c>
      <c r="J1689" t="s">
        <v>7093</v>
      </c>
      <c r="K1689" t="s">
        <v>14</v>
      </c>
      <c r="M1689">
        <v>3103671130</v>
      </c>
    </row>
    <row r="1690" spans="1:13" x14ac:dyDescent="0.25">
      <c r="A1690">
        <v>1538897848</v>
      </c>
      <c r="B1690" t="s">
        <v>7094</v>
      </c>
      <c r="C1690">
        <v>2398000</v>
      </c>
      <c r="D1690" t="s">
        <v>7095</v>
      </c>
      <c r="E1690" t="s">
        <v>7096</v>
      </c>
      <c r="F1690">
        <v>2</v>
      </c>
      <c r="I1690" t="str">
        <f>HYPERLINK("tel:+13103709769", "310-370-9769")</f>
        <v>310-370-9769</v>
      </c>
      <c r="J1690" t="s">
        <v>7097</v>
      </c>
      <c r="K1690" t="s">
        <v>707</v>
      </c>
      <c r="M1690">
        <v>3103709769</v>
      </c>
    </row>
    <row r="1691" spans="1:13" x14ac:dyDescent="0.25">
      <c r="A1691">
        <v>2008709585</v>
      </c>
      <c r="B1691" t="s">
        <v>7098</v>
      </c>
      <c r="C1691">
        <v>2995000</v>
      </c>
      <c r="D1691" t="s">
        <v>7099</v>
      </c>
      <c r="E1691" t="s">
        <v>7100</v>
      </c>
      <c r="F1691">
        <v>2</v>
      </c>
      <c r="I1691" t="str">
        <f>HYPERLINK("tel:+13103749452", "310-374-9452")</f>
        <v>310-374-9452</v>
      </c>
      <c r="J1691" t="s">
        <v>7101</v>
      </c>
      <c r="K1691" t="s">
        <v>7102</v>
      </c>
      <c r="M1691">
        <v>3103749452</v>
      </c>
    </row>
    <row r="1692" spans="1:13" x14ac:dyDescent="0.25">
      <c r="A1692">
        <v>9585015177</v>
      </c>
      <c r="B1692" t="s">
        <v>7103</v>
      </c>
      <c r="C1692">
        <v>2295000</v>
      </c>
      <c r="D1692" t="s">
        <v>7104</v>
      </c>
      <c r="E1692" t="s">
        <v>7105</v>
      </c>
      <c r="F1692">
        <v>2</v>
      </c>
      <c r="I1692" t="str">
        <f>HYPERLINK("tel:+13103753197", "310-375-3197")</f>
        <v>310-375-3197</v>
      </c>
      <c r="J1692" t="s">
        <v>7106</v>
      </c>
      <c r="K1692" t="s">
        <v>7107</v>
      </c>
      <c r="M1692">
        <v>3103753197</v>
      </c>
    </row>
    <row r="1693" spans="1:13" x14ac:dyDescent="0.25">
      <c r="A1693">
        <v>2312545112</v>
      </c>
      <c r="B1693" t="s">
        <v>7108</v>
      </c>
      <c r="C1693">
        <v>1060000</v>
      </c>
      <c r="D1693" t="s">
        <v>7109</v>
      </c>
      <c r="E1693" t="s">
        <v>7110</v>
      </c>
      <c r="F1693">
        <v>2</v>
      </c>
      <c r="I1693" t="str">
        <f>HYPERLINK("tel:+13103826101", "310-382-6101")</f>
        <v>310-382-6101</v>
      </c>
      <c r="J1693" t="s">
        <v>7111</v>
      </c>
      <c r="K1693" t="s">
        <v>7112</v>
      </c>
      <c r="M1693">
        <v>3103826101</v>
      </c>
    </row>
    <row r="1694" spans="1:13" x14ac:dyDescent="0.25">
      <c r="A1694">
        <v>9222098658</v>
      </c>
      <c r="B1694" t="s">
        <v>7113</v>
      </c>
      <c r="C1694">
        <v>2000000</v>
      </c>
      <c r="D1694" t="s">
        <v>7114</v>
      </c>
      <c r="E1694" t="s">
        <v>7115</v>
      </c>
      <c r="F1694">
        <v>2</v>
      </c>
      <c r="I1694" t="str">
        <f>HYPERLINK("tel:+13103826705", "310-382-6705")</f>
        <v>310-382-6705</v>
      </c>
      <c r="J1694" t="s">
        <v>7116</v>
      </c>
      <c r="K1694" t="s">
        <v>7117</v>
      </c>
      <c r="M1694">
        <v>3103826705</v>
      </c>
    </row>
    <row r="1695" spans="1:13" x14ac:dyDescent="0.25">
      <c r="A1695">
        <v>1413815185</v>
      </c>
      <c r="B1695" t="s">
        <v>7118</v>
      </c>
      <c r="C1695">
        <v>6400000</v>
      </c>
      <c r="D1695" t="s">
        <v>7119</v>
      </c>
      <c r="E1695" t="s">
        <v>7120</v>
      </c>
      <c r="F1695">
        <v>2</v>
      </c>
      <c r="I1695" t="str">
        <f>HYPERLINK("tel:+13103831701", "310-383-1701")</f>
        <v>310-383-1701</v>
      </c>
      <c r="J1695" t="s">
        <v>7121</v>
      </c>
      <c r="K1695" t="s">
        <v>107</v>
      </c>
      <c r="M1695">
        <v>3103831701</v>
      </c>
    </row>
    <row r="1696" spans="1:13" x14ac:dyDescent="0.25">
      <c r="A1696">
        <v>1217206157</v>
      </c>
      <c r="B1696" t="s">
        <v>7122</v>
      </c>
      <c r="C1696">
        <v>1619000</v>
      </c>
      <c r="D1696" t="s">
        <v>7123</v>
      </c>
      <c r="E1696" t="s">
        <v>7124</v>
      </c>
      <c r="F1696">
        <v>2</v>
      </c>
      <c r="I1696" t="str">
        <f>HYPERLINK("tel:+13103871414", "310-387-1414")</f>
        <v>310-387-1414</v>
      </c>
      <c r="J1696" t="s">
        <v>7125</v>
      </c>
      <c r="K1696" t="s">
        <v>532</v>
      </c>
      <c r="M1696">
        <v>3103871414</v>
      </c>
    </row>
    <row r="1697" spans="1:13" x14ac:dyDescent="0.25">
      <c r="A1697">
        <v>2821792439</v>
      </c>
      <c r="B1697" t="s">
        <v>7126</v>
      </c>
      <c r="C1697">
        <v>1675000</v>
      </c>
      <c r="D1697" t="s">
        <v>7127</v>
      </c>
      <c r="E1697" t="s">
        <v>7128</v>
      </c>
      <c r="F1697">
        <v>2</v>
      </c>
      <c r="I1697" t="str">
        <f>HYPERLINK("tel:+13103889082", "310-388-9082")</f>
        <v>310-388-9082</v>
      </c>
      <c r="J1697" t="s">
        <v>7129</v>
      </c>
      <c r="K1697" t="s">
        <v>63</v>
      </c>
      <c r="M1697">
        <v>3103889082</v>
      </c>
    </row>
    <row r="1698" spans="1:13" x14ac:dyDescent="0.25">
      <c r="A1698">
        <v>1299695557</v>
      </c>
      <c r="B1698" t="s">
        <v>7130</v>
      </c>
      <c r="C1698">
        <v>849000</v>
      </c>
      <c r="D1698" t="s">
        <v>7131</v>
      </c>
      <c r="E1698" t="s">
        <v>7132</v>
      </c>
      <c r="F1698">
        <v>2</v>
      </c>
      <c r="I1698" t="str">
        <f>HYPERLINK("tel:+13103922436", "310-392-2436")</f>
        <v>310-392-2436</v>
      </c>
      <c r="J1698" t="s">
        <v>7133</v>
      </c>
      <c r="K1698" t="s">
        <v>7134</v>
      </c>
      <c r="M1698">
        <v>3103922436</v>
      </c>
    </row>
    <row r="1699" spans="1:13" x14ac:dyDescent="0.25">
      <c r="A1699">
        <v>1362099993</v>
      </c>
      <c r="B1699" t="s">
        <v>7135</v>
      </c>
      <c r="C1699">
        <v>2975000</v>
      </c>
      <c r="D1699" t="s">
        <v>7136</v>
      </c>
      <c r="E1699" t="s">
        <v>7137</v>
      </c>
      <c r="F1699">
        <v>2</v>
      </c>
      <c r="I1699" t="str">
        <f>HYPERLINK("tel:+13104029161", "310-402-9161")</f>
        <v>310-402-9161</v>
      </c>
      <c r="J1699" t="s">
        <v>7138</v>
      </c>
      <c r="K1699" t="s">
        <v>14</v>
      </c>
      <c r="M1699">
        <v>3104029161</v>
      </c>
    </row>
    <row r="1700" spans="1:13" x14ac:dyDescent="0.25">
      <c r="A1700">
        <v>1718296095</v>
      </c>
      <c r="B1700" t="s">
        <v>7139</v>
      </c>
      <c r="C1700">
        <v>1995000</v>
      </c>
      <c r="D1700" t="s">
        <v>7140</v>
      </c>
      <c r="E1700" t="s">
        <v>7141</v>
      </c>
      <c r="F1700">
        <v>2</v>
      </c>
      <c r="I1700" t="str">
        <f>HYPERLINK("tel:+13104034925", "310-403-4925")</f>
        <v>310-403-4925</v>
      </c>
      <c r="J1700" t="s">
        <v>7142</v>
      </c>
      <c r="K1700" t="s">
        <v>24</v>
      </c>
      <c r="M1700">
        <v>3104034925</v>
      </c>
    </row>
    <row r="1701" spans="1:13" x14ac:dyDescent="0.25">
      <c r="A1701">
        <v>1905988201</v>
      </c>
      <c r="B1701" t="s">
        <v>7143</v>
      </c>
      <c r="C1701">
        <v>3995000</v>
      </c>
      <c r="D1701" t="s">
        <v>7144</v>
      </c>
      <c r="E1701" t="s">
        <v>7145</v>
      </c>
      <c r="F1701">
        <v>2</v>
      </c>
      <c r="I1701" t="str">
        <f>HYPERLINK("tel:+13104046392", "310-404-6392")</f>
        <v>310-404-6392</v>
      </c>
      <c r="J1701" t="s">
        <v>7146</v>
      </c>
      <c r="K1701" t="s">
        <v>7147</v>
      </c>
      <c r="M1701">
        <v>3104046392</v>
      </c>
    </row>
    <row r="1702" spans="1:13" x14ac:dyDescent="0.25">
      <c r="A1702">
        <v>1173488834</v>
      </c>
      <c r="B1702" t="s">
        <v>7148</v>
      </c>
      <c r="C1702">
        <v>3999000</v>
      </c>
      <c r="D1702" t="s">
        <v>7149</v>
      </c>
      <c r="E1702" t="s">
        <v>7150</v>
      </c>
      <c r="F1702">
        <v>2</v>
      </c>
      <c r="I1702" t="str">
        <f>HYPERLINK("tel:+13104070235", "310-407-0235")</f>
        <v>310-407-0235</v>
      </c>
      <c r="J1702" t="s">
        <v>7151</v>
      </c>
      <c r="K1702" t="s">
        <v>431</v>
      </c>
      <c r="M1702">
        <v>3104070235</v>
      </c>
    </row>
    <row r="1703" spans="1:13" x14ac:dyDescent="0.25">
      <c r="A1703">
        <v>1688758021</v>
      </c>
      <c r="B1703" t="s">
        <v>7152</v>
      </c>
      <c r="C1703">
        <v>1235000</v>
      </c>
      <c r="D1703" t="s">
        <v>7153</v>
      </c>
      <c r="E1703" t="s">
        <v>7154</v>
      </c>
      <c r="F1703">
        <v>2</v>
      </c>
      <c r="I1703" t="str">
        <f>HYPERLINK("tel:+13104083584", "310-408-3584")</f>
        <v>310-408-3584</v>
      </c>
      <c r="J1703" t="s">
        <v>7155</v>
      </c>
      <c r="K1703" t="s">
        <v>168</v>
      </c>
      <c r="M1703">
        <v>3104083584</v>
      </c>
    </row>
    <row r="1704" spans="1:13" x14ac:dyDescent="0.25">
      <c r="A1704">
        <v>1507996158</v>
      </c>
      <c r="B1704" t="s">
        <v>7156</v>
      </c>
      <c r="C1704">
        <v>1125000</v>
      </c>
      <c r="D1704" t="s">
        <v>7157</v>
      </c>
      <c r="E1704" t="s">
        <v>7158</v>
      </c>
      <c r="F1704">
        <v>2</v>
      </c>
      <c r="I1704" t="str">
        <f>HYPERLINK("tel:+13104200130", "310-420-0130")</f>
        <v>310-420-0130</v>
      </c>
      <c r="J1704" t="s">
        <v>7159</v>
      </c>
      <c r="K1704" t="s">
        <v>7160</v>
      </c>
      <c r="M1704">
        <v>3104200130</v>
      </c>
    </row>
    <row r="1705" spans="1:13" x14ac:dyDescent="0.25">
      <c r="A1705">
        <v>2413266180</v>
      </c>
      <c r="B1705" t="s">
        <v>7161</v>
      </c>
      <c r="C1705">
        <v>685000</v>
      </c>
      <c r="D1705" t="s">
        <v>7162</v>
      </c>
      <c r="E1705" t="s">
        <v>7163</v>
      </c>
      <c r="F1705">
        <v>2</v>
      </c>
      <c r="I1705" t="str">
        <f>HYPERLINK("tel:+13104226926", "310-422-6926")</f>
        <v>310-422-6926</v>
      </c>
      <c r="J1705" t="s">
        <v>7164</v>
      </c>
      <c r="K1705" t="s">
        <v>24</v>
      </c>
      <c r="M1705">
        <v>3104226926</v>
      </c>
    </row>
    <row r="1706" spans="1:13" x14ac:dyDescent="0.25">
      <c r="A1706">
        <v>2112433299</v>
      </c>
      <c r="B1706" t="s">
        <v>7165</v>
      </c>
      <c r="C1706">
        <v>2250000</v>
      </c>
      <c r="D1706" t="s">
        <v>7166</v>
      </c>
      <c r="E1706" t="s">
        <v>7167</v>
      </c>
      <c r="F1706">
        <v>2</v>
      </c>
      <c r="I1706" t="str">
        <f>HYPERLINK("tel:+13104245080", "310-424-5080")</f>
        <v>310-424-5080</v>
      </c>
      <c r="J1706" t="s">
        <v>7168</v>
      </c>
      <c r="K1706" t="s">
        <v>1267</v>
      </c>
      <c r="M1706">
        <v>3104245080</v>
      </c>
    </row>
    <row r="1707" spans="1:13" x14ac:dyDescent="0.25">
      <c r="A1707">
        <v>2147501254</v>
      </c>
      <c r="B1707" t="s">
        <v>7169</v>
      </c>
      <c r="C1707">
        <v>1299000</v>
      </c>
      <c r="D1707" t="s">
        <v>7170</v>
      </c>
      <c r="E1707" t="s">
        <v>7171</v>
      </c>
      <c r="F1707">
        <v>2</v>
      </c>
      <c r="I1707" t="str">
        <f>HYPERLINK("tel:+13104280563", "310-428-0563")</f>
        <v>310-428-0563</v>
      </c>
      <c r="J1707" t="s">
        <v>7172</v>
      </c>
      <c r="K1707" t="s">
        <v>1854</v>
      </c>
      <c r="M1707">
        <v>3104280563</v>
      </c>
    </row>
    <row r="1708" spans="1:13" x14ac:dyDescent="0.25">
      <c r="A1708">
        <v>1288484349</v>
      </c>
      <c r="B1708" t="s">
        <v>7173</v>
      </c>
      <c r="C1708">
        <v>600000</v>
      </c>
      <c r="D1708" t="s">
        <v>7174</v>
      </c>
      <c r="E1708" t="s">
        <v>7175</v>
      </c>
      <c r="F1708">
        <v>2</v>
      </c>
      <c r="I1708" t="str">
        <f>HYPERLINK("tel:+13104281355", "310-428-1355")</f>
        <v>310-428-1355</v>
      </c>
      <c r="J1708" t="s">
        <v>7176</v>
      </c>
      <c r="K1708" t="s">
        <v>9</v>
      </c>
      <c r="M1708">
        <v>3104281355</v>
      </c>
    </row>
    <row r="1709" spans="1:13" x14ac:dyDescent="0.25">
      <c r="A1709">
        <v>1962749306</v>
      </c>
      <c r="B1709" t="s">
        <v>7177</v>
      </c>
      <c r="C1709">
        <v>1245000</v>
      </c>
      <c r="D1709" t="s">
        <v>7178</v>
      </c>
      <c r="E1709" t="s">
        <v>7179</v>
      </c>
      <c r="F1709">
        <v>2</v>
      </c>
      <c r="I1709" t="str">
        <f>HYPERLINK("tel:+13104287378", "310-428-7378")</f>
        <v>310-428-7378</v>
      </c>
      <c r="J1709" t="s">
        <v>7180</v>
      </c>
      <c r="K1709" t="s">
        <v>4030</v>
      </c>
      <c r="M1709">
        <v>3104287378</v>
      </c>
    </row>
    <row r="1710" spans="1:13" x14ac:dyDescent="0.25">
      <c r="A1710">
        <v>9345536265</v>
      </c>
      <c r="B1710" t="s">
        <v>7181</v>
      </c>
      <c r="C1710">
        <v>835000</v>
      </c>
      <c r="D1710" t="s">
        <v>7182</v>
      </c>
      <c r="E1710" t="s">
        <v>7183</v>
      </c>
      <c r="F1710">
        <v>2</v>
      </c>
      <c r="I1710" t="str">
        <f>HYPERLINK("tel:+13104294216", "310-429-4216")</f>
        <v>310-429-4216</v>
      </c>
      <c r="J1710" t="s">
        <v>7184</v>
      </c>
      <c r="K1710" t="s">
        <v>2474</v>
      </c>
      <c r="M1710">
        <v>3104294216</v>
      </c>
    </row>
    <row r="1711" spans="1:13" x14ac:dyDescent="0.25">
      <c r="A1711">
        <v>1924285778</v>
      </c>
      <c r="B1711" t="s">
        <v>7185</v>
      </c>
      <c r="C1711">
        <v>4787800</v>
      </c>
      <c r="D1711" t="s">
        <v>7186</v>
      </c>
      <c r="E1711" t="s">
        <v>7187</v>
      </c>
      <c r="F1711">
        <v>2</v>
      </c>
      <c r="I1711" t="str">
        <f>HYPERLINK("tel:+13104298191", "310-429-8191")</f>
        <v>310-429-8191</v>
      </c>
      <c r="J1711" t="s">
        <v>7188</v>
      </c>
      <c r="K1711" t="s">
        <v>1465</v>
      </c>
      <c r="M1711">
        <v>3104298191</v>
      </c>
    </row>
    <row r="1712" spans="1:13" x14ac:dyDescent="0.25">
      <c r="A1712">
        <v>1146571452</v>
      </c>
      <c r="B1712" t="s">
        <v>7189</v>
      </c>
      <c r="C1712">
        <v>3100000</v>
      </c>
      <c r="D1712" t="s">
        <v>7190</v>
      </c>
      <c r="E1712" t="s">
        <v>7191</v>
      </c>
      <c r="F1712">
        <v>2</v>
      </c>
      <c r="I1712" t="str">
        <f>HYPERLINK("tel:+13104301194", "310-430-1194")</f>
        <v>310-430-1194</v>
      </c>
      <c r="J1712" t="s">
        <v>7192</v>
      </c>
      <c r="K1712" t="s">
        <v>136</v>
      </c>
      <c r="M1712">
        <v>3104301194</v>
      </c>
    </row>
    <row r="1713" spans="1:13" x14ac:dyDescent="0.25">
      <c r="A1713">
        <v>1741550043</v>
      </c>
      <c r="B1713" t="s">
        <v>7193</v>
      </c>
      <c r="C1713">
        <v>2995000</v>
      </c>
      <c r="D1713" t="s">
        <v>7194</v>
      </c>
      <c r="E1713" t="s">
        <v>7195</v>
      </c>
      <c r="F1713">
        <v>2</v>
      </c>
      <c r="I1713" t="str">
        <f>HYPERLINK("tel:+13104302018", "310-430-2018")</f>
        <v>310-430-2018</v>
      </c>
      <c r="J1713" t="s">
        <v>7196</v>
      </c>
      <c r="K1713" t="s">
        <v>4</v>
      </c>
      <c r="M1713">
        <v>3104302018</v>
      </c>
    </row>
    <row r="1714" spans="1:13" x14ac:dyDescent="0.25">
      <c r="A1714">
        <v>2696602502</v>
      </c>
      <c r="B1714" t="s">
        <v>7197</v>
      </c>
      <c r="C1714">
        <v>125000</v>
      </c>
      <c r="D1714" t="s">
        <v>7198</v>
      </c>
      <c r="E1714" t="s">
        <v>7199</v>
      </c>
      <c r="F1714">
        <v>2</v>
      </c>
      <c r="I1714" t="str">
        <f>HYPERLINK("tel:+13104308414", "310-430-8414")</f>
        <v>310-430-8414</v>
      </c>
      <c r="J1714" t="s">
        <v>7200</v>
      </c>
      <c r="K1714" t="s">
        <v>24</v>
      </c>
      <c r="M1714">
        <v>3104308414</v>
      </c>
    </row>
    <row r="1715" spans="1:13" x14ac:dyDescent="0.25">
      <c r="A1715">
        <v>2092597514</v>
      </c>
      <c r="B1715" t="s">
        <v>7201</v>
      </c>
      <c r="C1715">
        <v>109980</v>
      </c>
      <c r="D1715" t="s">
        <v>7202</v>
      </c>
      <c r="E1715" t="s">
        <v>7203</v>
      </c>
      <c r="F1715">
        <v>2</v>
      </c>
      <c r="I1715" t="str">
        <f>HYPERLINK("tel:+13104318007", "310-431-8007")</f>
        <v>310-431-8007</v>
      </c>
      <c r="J1715" t="s">
        <v>7204</v>
      </c>
      <c r="K1715" t="s">
        <v>2414</v>
      </c>
      <c r="M1715">
        <v>3104318007</v>
      </c>
    </row>
    <row r="1716" spans="1:13" x14ac:dyDescent="0.25">
      <c r="A1716">
        <v>2461505307</v>
      </c>
      <c r="B1716" t="s">
        <v>7205</v>
      </c>
      <c r="C1716">
        <v>4695000</v>
      </c>
      <c r="D1716" t="s">
        <v>7206</v>
      </c>
      <c r="E1716" t="s">
        <v>7207</v>
      </c>
      <c r="F1716">
        <v>2</v>
      </c>
      <c r="I1716" t="str">
        <f>HYPERLINK("tel:+13104326507", "310-432-6507")</f>
        <v>310-432-6507</v>
      </c>
      <c r="J1716" t="s">
        <v>7208</v>
      </c>
      <c r="K1716" t="s">
        <v>14</v>
      </c>
      <c r="M1716">
        <v>3104326507</v>
      </c>
    </row>
    <row r="1717" spans="1:13" x14ac:dyDescent="0.25">
      <c r="A1717">
        <v>1347131924</v>
      </c>
      <c r="B1717" t="s">
        <v>7209</v>
      </c>
      <c r="C1717">
        <v>2498000</v>
      </c>
      <c r="D1717" t="s">
        <v>7210</v>
      </c>
      <c r="E1717" t="s">
        <v>7211</v>
      </c>
      <c r="F1717">
        <v>2</v>
      </c>
      <c r="I1717" t="str">
        <f>HYPERLINK("tel:+13104330385", "310-433-0385")</f>
        <v>310-433-0385</v>
      </c>
      <c r="J1717" t="s">
        <v>7212</v>
      </c>
      <c r="K1717" t="s">
        <v>24</v>
      </c>
      <c r="M1717">
        <v>3104330385</v>
      </c>
    </row>
    <row r="1718" spans="1:13" x14ac:dyDescent="0.25">
      <c r="A1718">
        <v>2994719711</v>
      </c>
      <c r="B1718" t="s">
        <v>7213</v>
      </c>
      <c r="C1718">
        <v>410000</v>
      </c>
      <c r="D1718" t="s">
        <v>7214</v>
      </c>
      <c r="E1718" t="s">
        <v>7215</v>
      </c>
      <c r="F1718">
        <v>2</v>
      </c>
      <c r="I1718" t="str">
        <f>HYPERLINK("tel:+13104335645", "310-433-5645")</f>
        <v>310-433-5645</v>
      </c>
      <c r="J1718" t="s">
        <v>7216</v>
      </c>
      <c r="K1718" t="s">
        <v>14</v>
      </c>
      <c r="M1718">
        <v>3104335645</v>
      </c>
    </row>
    <row r="1719" spans="1:13" x14ac:dyDescent="0.25">
      <c r="A1719">
        <v>2694215894</v>
      </c>
      <c r="B1719" t="s">
        <v>7217</v>
      </c>
      <c r="C1719">
        <v>549000</v>
      </c>
      <c r="D1719" t="s">
        <v>7218</v>
      </c>
      <c r="E1719" t="s">
        <v>7219</v>
      </c>
      <c r="F1719">
        <v>2</v>
      </c>
      <c r="I1719" t="str">
        <f>HYPERLINK("tel:+13104337313", "310-433-7313")</f>
        <v>310-433-7313</v>
      </c>
      <c r="J1719" t="s">
        <v>7220</v>
      </c>
      <c r="K1719" t="s">
        <v>532</v>
      </c>
      <c r="M1719">
        <v>3104337313</v>
      </c>
    </row>
    <row r="1720" spans="1:13" x14ac:dyDescent="0.25">
      <c r="A1720">
        <v>2228077742</v>
      </c>
      <c r="B1720" t="s">
        <v>7073</v>
      </c>
      <c r="C1720">
        <v>1649000</v>
      </c>
      <c r="D1720" t="s">
        <v>7074</v>
      </c>
      <c r="E1720" t="s">
        <v>7221</v>
      </c>
      <c r="F1720">
        <v>2</v>
      </c>
      <c r="I1720" t="str">
        <f>HYPERLINK("tel:+13104353926", "310-435-3926")</f>
        <v>310-435-3926</v>
      </c>
      <c r="J1720" t="s">
        <v>7222</v>
      </c>
      <c r="K1720" t="s">
        <v>2515</v>
      </c>
      <c r="M1720">
        <v>3104353926</v>
      </c>
    </row>
    <row r="1721" spans="1:13" x14ac:dyDescent="0.25">
      <c r="A1721">
        <v>9316772148</v>
      </c>
      <c r="B1721" t="s">
        <v>6954</v>
      </c>
      <c r="C1721">
        <v>1680000</v>
      </c>
      <c r="D1721" t="s">
        <v>6955</v>
      </c>
      <c r="E1721" t="s">
        <v>7223</v>
      </c>
      <c r="F1721">
        <v>2</v>
      </c>
      <c r="I1721" t="str">
        <f>HYPERLINK("tel:+13104359501", "310-435-9501")</f>
        <v>310-435-9501</v>
      </c>
      <c r="J1721" t="s">
        <v>7224</v>
      </c>
      <c r="K1721" t="s">
        <v>351</v>
      </c>
      <c r="M1721">
        <v>3104359501</v>
      </c>
    </row>
    <row r="1722" spans="1:13" x14ac:dyDescent="0.25">
      <c r="A1722">
        <v>1368232426</v>
      </c>
      <c r="B1722" t="s">
        <v>7225</v>
      </c>
      <c r="C1722">
        <v>665000</v>
      </c>
      <c r="D1722" t="s">
        <v>7226</v>
      </c>
      <c r="E1722" t="s">
        <v>7227</v>
      </c>
      <c r="F1722">
        <v>2</v>
      </c>
      <c r="I1722" t="str">
        <f>HYPERLINK("tel:+13104474771", "310-447-4771")</f>
        <v>310-447-4771</v>
      </c>
      <c r="J1722" t="s">
        <v>7228</v>
      </c>
      <c r="K1722" t="s">
        <v>3646</v>
      </c>
      <c r="M1722">
        <v>3104474771</v>
      </c>
    </row>
    <row r="1723" spans="1:13" x14ac:dyDescent="0.25">
      <c r="A1723">
        <v>1021006745</v>
      </c>
      <c r="B1723" t="s">
        <v>7229</v>
      </c>
      <c r="C1723">
        <v>399000</v>
      </c>
      <c r="D1723" t="s">
        <v>7230</v>
      </c>
      <c r="E1723" t="s">
        <v>7231</v>
      </c>
      <c r="F1723">
        <v>2</v>
      </c>
      <c r="I1723" t="str">
        <f>HYPERLINK("tel:+13104483842", "310-448-3842")</f>
        <v>310-448-3842</v>
      </c>
      <c r="J1723" t="s">
        <v>7232</v>
      </c>
      <c r="K1723" t="s">
        <v>24</v>
      </c>
      <c r="M1723">
        <v>3104483842</v>
      </c>
    </row>
    <row r="1724" spans="1:13" x14ac:dyDescent="0.25">
      <c r="A1724">
        <v>1288622927</v>
      </c>
      <c r="B1724" t="s">
        <v>7233</v>
      </c>
      <c r="C1724">
        <v>3595000</v>
      </c>
      <c r="D1724" t="s">
        <v>7234</v>
      </c>
      <c r="E1724" t="s">
        <v>7235</v>
      </c>
      <c r="F1724">
        <v>2</v>
      </c>
      <c r="I1724" t="str">
        <f>HYPERLINK("tel:+13104485940", "310-448-5940")</f>
        <v>310-448-5940</v>
      </c>
      <c r="J1724" t="s">
        <v>7236</v>
      </c>
      <c r="K1724" t="s">
        <v>532</v>
      </c>
      <c r="M1724">
        <v>3104485940</v>
      </c>
    </row>
    <row r="1725" spans="1:13" x14ac:dyDescent="0.25">
      <c r="A1725">
        <v>2901988748</v>
      </c>
      <c r="B1725" t="s">
        <v>7237</v>
      </c>
      <c r="C1725">
        <v>1760000</v>
      </c>
      <c r="D1725" t="s">
        <v>7238</v>
      </c>
      <c r="E1725" t="s">
        <v>7239</v>
      </c>
      <c r="F1725">
        <v>2</v>
      </c>
      <c r="I1725" t="str">
        <f>HYPERLINK("tel:+13104586125", "310-458-6125")</f>
        <v>310-458-6125</v>
      </c>
      <c r="J1725" t="s">
        <v>7240</v>
      </c>
      <c r="K1725" t="s">
        <v>24</v>
      </c>
      <c r="M1725">
        <v>3104586125</v>
      </c>
    </row>
    <row r="1726" spans="1:13" x14ac:dyDescent="0.25">
      <c r="A1726">
        <v>2998805666</v>
      </c>
      <c r="B1726" t="s">
        <v>7241</v>
      </c>
      <c r="C1726">
        <v>3895000</v>
      </c>
      <c r="D1726" t="s">
        <v>7242</v>
      </c>
      <c r="E1726" t="s">
        <v>7243</v>
      </c>
      <c r="F1726">
        <v>2</v>
      </c>
      <c r="I1726" t="str">
        <f>HYPERLINK("tel:+13104598163", "310-459-8163")</f>
        <v>310-459-8163</v>
      </c>
      <c r="J1726" t="s">
        <v>7244</v>
      </c>
      <c r="K1726" t="s">
        <v>24</v>
      </c>
      <c r="M1726">
        <v>3104598163</v>
      </c>
    </row>
    <row r="1727" spans="1:13" x14ac:dyDescent="0.25">
      <c r="A1727">
        <v>1725305241</v>
      </c>
      <c r="B1727" t="s">
        <v>7245</v>
      </c>
      <c r="C1727">
        <v>3495000</v>
      </c>
      <c r="D1727" t="s">
        <v>7246</v>
      </c>
      <c r="E1727" t="s">
        <v>7247</v>
      </c>
      <c r="F1727">
        <v>2</v>
      </c>
      <c r="I1727" t="str">
        <f>HYPERLINK("tel:+13104631599", "310-463-1599")</f>
        <v>310-463-1599</v>
      </c>
      <c r="J1727" t="s">
        <v>7248</v>
      </c>
      <c r="K1727" t="s">
        <v>4</v>
      </c>
      <c r="M1727">
        <v>3104631599</v>
      </c>
    </row>
    <row r="1728" spans="1:13" x14ac:dyDescent="0.25">
      <c r="A1728">
        <v>9828647244</v>
      </c>
      <c r="B1728" t="s">
        <v>7249</v>
      </c>
      <c r="C1728">
        <v>4995000</v>
      </c>
      <c r="D1728" t="s">
        <v>7250</v>
      </c>
      <c r="E1728" t="s">
        <v>7251</v>
      </c>
      <c r="F1728">
        <v>2</v>
      </c>
      <c r="I1728" t="str">
        <f>HYPERLINK("tel:+13104632944", "310-463-2944")</f>
        <v>310-463-2944</v>
      </c>
      <c r="J1728" t="s">
        <v>7252</v>
      </c>
      <c r="K1728" t="s">
        <v>107</v>
      </c>
      <c r="M1728">
        <v>3104632944</v>
      </c>
    </row>
    <row r="1729" spans="1:13" x14ac:dyDescent="0.25">
      <c r="A1729">
        <v>1014619292</v>
      </c>
      <c r="B1729" t="s">
        <v>7253</v>
      </c>
      <c r="C1729">
        <v>699000</v>
      </c>
      <c r="D1729" t="s">
        <v>7254</v>
      </c>
      <c r="E1729" t="s">
        <v>7255</v>
      </c>
      <c r="F1729">
        <v>2</v>
      </c>
      <c r="I1729" t="str">
        <f>HYPERLINK("tel:+13104638049", "310-463-8049")</f>
        <v>310-463-8049</v>
      </c>
      <c r="J1729" t="s">
        <v>7256</v>
      </c>
      <c r="K1729" t="s">
        <v>24</v>
      </c>
      <c r="M1729">
        <v>3104638049</v>
      </c>
    </row>
    <row r="1730" spans="1:13" x14ac:dyDescent="0.25">
      <c r="A1730">
        <v>1508762296</v>
      </c>
      <c r="B1730" t="s">
        <v>7257</v>
      </c>
      <c r="C1730">
        <v>649999</v>
      </c>
      <c r="D1730" t="s">
        <v>7258</v>
      </c>
      <c r="E1730" t="s">
        <v>7259</v>
      </c>
      <c r="F1730">
        <v>2</v>
      </c>
      <c r="I1730" t="str">
        <f>HYPERLINK("tel:+13104652390", "310-465-2390")</f>
        <v>310-465-2390</v>
      </c>
      <c r="J1730" t="s">
        <v>7260</v>
      </c>
      <c r="K1730" t="s">
        <v>825</v>
      </c>
      <c r="M1730">
        <v>3104652390</v>
      </c>
    </row>
    <row r="1731" spans="1:13" x14ac:dyDescent="0.25">
      <c r="A1731">
        <v>2235158271</v>
      </c>
      <c r="B1731" t="s">
        <v>7261</v>
      </c>
      <c r="C1731">
        <v>1475000</v>
      </c>
      <c r="D1731" t="s">
        <v>7262</v>
      </c>
      <c r="E1731" t="s">
        <v>7263</v>
      </c>
      <c r="F1731">
        <v>2</v>
      </c>
      <c r="I1731" t="str">
        <f>HYPERLINK("tel:+13104659471", "310-465-9471")</f>
        <v>310-465-9471</v>
      </c>
      <c r="J1731" t="s">
        <v>7264</v>
      </c>
      <c r="K1731" t="s">
        <v>7265</v>
      </c>
      <c r="M1731">
        <v>3104659471</v>
      </c>
    </row>
    <row r="1732" spans="1:13" x14ac:dyDescent="0.25">
      <c r="A1732">
        <v>9730336809</v>
      </c>
      <c r="B1732" t="s">
        <v>7266</v>
      </c>
      <c r="C1732">
        <v>200000</v>
      </c>
      <c r="D1732" t="s">
        <v>7267</v>
      </c>
      <c r="E1732" t="s">
        <v>7268</v>
      </c>
      <c r="F1732">
        <v>2</v>
      </c>
      <c r="I1732" t="str">
        <f>HYPERLINK("tel:+13104671978", "310-467-1978")</f>
        <v>310-467-1978</v>
      </c>
      <c r="J1732" t="s">
        <v>7269</v>
      </c>
      <c r="K1732" t="s">
        <v>68</v>
      </c>
      <c r="M1732">
        <v>3104671978</v>
      </c>
    </row>
    <row r="1733" spans="1:13" x14ac:dyDescent="0.25">
      <c r="A1733">
        <v>2943491635</v>
      </c>
      <c r="B1733" t="s">
        <v>7270</v>
      </c>
      <c r="C1733">
        <v>1695000</v>
      </c>
      <c r="D1733" t="s">
        <v>7271</v>
      </c>
      <c r="E1733" t="s">
        <v>7272</v>
      </c>
      <c r="F1733">
        <v>2</v>
      </c>
      <c r="I1733" t="str">
        <f>HYPERLINK("tel:+13104675167", "310-467-5167")</f>
        <v>310-467-5167</v>
      </c>
      <c r="J1733" t="s">
        <v>7273</v>
      </c>
      <c r="K1733" t="s">
        <v>7272</v>
      </c>
      <c r="M1733">
        <v>3104675167</v>
      </c>
    </row>
    <row r="1734" spans="1:13" x14ac:dyDescent="0.25">
      <c r="A1734">
        <v>2691852395</v>
      </c>
      <c r="B1734" t="s">
        <v>7274</v>
      </c>
      <c r="C1734">
        <v>2695000</v>
      </c>
      <c r="D1734" t="s">
        <v>7275</v>
      </c>
      <c r="E1734" t="s">
        <v>7276</v>
      </c>
      <c r="F1734">
        <v>2</v>
      </c>
      <c r="I1734" t="str">
        <f>HYPERLINK("tel:+13104677051", "310-467-7051")</f>
        <v>310-467-7051</v>
      </c>
      <c r="J1734" t="s">
        <v>7277</v>
      </c>
      <c r="K1734" t="s">
        <v>409</v>
      </c>
      <c r="M1734">
        <v>3104677051</v>
      </c>
    </row>
    <row r="1735" spans="1:13" x14ac:dyDescent="0.25">
      <c r="A1735">
        <v>1415100387</v>
      </c>
      <c r="B1735" t="s">
        <v>7278</v>
      </c>
      <c r="C1735">
        <v>1849000</v>
      </c>
      <c r="D1735" t="s">
        <v>7279</v>
      </c>
      <c r="E1735" t="s">
        <v>7280</v>
      </c>
      <c r="F1735">
        <v>2</v>
      </c>
      <c r="I1735" t="str">
        <f>HYPERLINK("tel:+13104677189", "310-467-7189")</f>
        <v>310-467-7189</v>
      </c>
      <c r="J1735" t="s">
        <v>7281</v>
      </c>
      <c r="K1735" t="s">
        <v>7282</v>
      </c>
      <c r="M1735">
        <v>3104677189</v>
      </c>
    </row>
    <row r="1736" spans="1:13" x14ac:dyDescent="0.25">
      <c r="A1736">
        <v>2692672246</v>
      </c>
      <c r="B1736" t="s">
        <v>7283</v>
      </c>
      <c r="C1736">
        <v>3700000</v>
      </c>
      <c r="D1736" t="s">
        <v>7284</v>
      </c>
      <c r="E1736" t="s">
        <v>7285</v>
      </c>
      <c r="F1736">
        <v>2</v>
      </c>
      <c r="I1736" t="str">
        <f>HYPERLINK("tel:+13104699300", "310-469-9300")</f>
        <v>310-469-9300</v>
      </c>
      <c r="J1736" t="s">
        <v>7286</v>
      </c>
      <c r="K1736" t="s">
        <v>7287</v>
      </c>
      <c r="M1736">
        <v>3104699300</v>
      </c>
    </row>
    <row r="1737" spans="1:13" x14ac:dyDescent="0.25">
      <c r="A1737">
        <v>1568341181</v>
      </c>
      <c r="B1737" t="s">
        <v>7288</v>
      </c>
      <c r="C1737">
        <v>2050000</v>
      </c>
      <c r="D1737" t="s">
        <v>7289</v>
      </c>
      <c r="E1737" t="s">
        <v>7290</v>
      </c>
      <c r="F1737">
        <v>2</v>
      </c>
      <c r="I1737" t="str">
        <f>HYPERLINK("tel:+13104802130", "310-480-2130")</f>
        <v>310-480-2130</v>
      </c>
      <c r="J1737" t="s">
        <v>7291</v>
      </c>
      <c r="K1737" t="s">
        <v>825</v>
      </c>
      <c r="M1737">
        <v>3104802130</v>
      </c>
    </row>
    <row r="1738" spans="1:13" x14ac:dyDescent="0.25">
      <c r="A1738">
        <v>2936981468</v>
      </c>
      <c r="B1738" t="s">
        <v>7292</v>
      </c>
      <c r="C1738">
        <v>1995000</v>
      </c>
      <c r="D1738" t="s">
        <v>7293</v>
      </c>
      <c r="E1738" t="s">
        <v>7294</v>
      </c>
      <c r="F1738">
        <v>2</v>
      </c>
      <c r="I1738" t="str">
        <f>HYPERLINK("tel:+13104803585", "310-480-3585")</f>
        <v>310-480-3585</v>
      </c>
      <c r="J1738" t="s">
        <v>7295</v>
      </c>
      <c r="K1738" t="s">
        <v>24</v>
      </c>
      <c r="M1738">
        <v>3104803585</v>
      </c>
    </row>
    <row r="1739" spans="1:13" x14ac:dyDescent="0.25">
      <c r="A1739">
        <v>2912758605</v>
      </c>
      <c r="B1739" t="s">
        <v>7296</v>
      </c>
      <c r="C1739">
        <v>295000</v>
      </c>
      <c r="D1739" t="s">
        <v>7297</v>
      </c>
      <c r="E1739" t="s">
        <v>7298</v>
      </c>
      <c r="F1739">
        <v>2</v>
      </c>
      <c r="I1739" t="str">
        <f>HYPERLINK("tel:+13104814398", "310-481-4398")</f>
        <v>310-481-4398</v>
      </c>
      <c r="J1739" t="s">
        <v>7299</v>
      </c>
      <c r="K1739" t="s">
        <v>4247</v>
      </c>
      <c r="M1739">
        <v>3104814398</v>
      </c>
    </row>
    <row r="1740" spans="1:13" x14ac:dyDescent="0.25">
      <c r="A1740">
        <v>2750807116</v>
      </c>
      <c r="B1740" t="s">
        <v>7300</v>
      </c>
      <c r="C1740">
        <v>2445000</v>
      </c>
      <c r="D1740" t="s">
        <v>7301</v>
      </c>
      <c r="E1740" t="s">
        <v>7302</v>
      </c>
      <c r="F1740">
        <v>2</v>
      </c>
      <c r="I1740" t="str">
        <f>HYPERLINK("tel:+13104880046", "310-488-0046")</f>
        <v>310-488-0046</v>
      </c>
      <c r="J1740" t="s">
        <v>7303</v>
      </c>
      <c r="K1740" t="s">
        <v>24</v>
      </c>
      <c r="M1740">
        <v>3104880046</v>
      </c>
    </row>
    <row r="1741" spans="1:13" x14ac:dyDescent="0.25">
      <c r="A1741">
        <v>2967412518</v>
      </c>
      <c r="B1741" t="s">
        <v>7304</v>
      </c>
      <c r="C1741">
        <v>1398880</v>
      </c>
      <c r="D1741" t="s">
        <v>7305</v>
      </c>
      <c r="E1741" t="s">
        <v>7306</v>
      </c>
      <c r="F1741">
        <v>2</v>
      </c>
      <c r="I1741" t="str">
        <f>HYPERLINK("tel:+13104902422", "310-490-2422")</f>
        <v>310-490-2422</v>
      </c>
      <c r="J1741" t="s">
        <v>7307</v>
      </c>
      <c r="K1741" t="s">
        <v>7308</v>
      </c>
      <c r="M1741">
        <v>3104902422</v>
      </c>
    </row>
    <row r="1742" spans="1:13" x14ac:dyDescent="0.25">
      <c r="A1742">
        <v>1331252016</v>
      </c>
      <c r="B1742" t="s">
        <v>7309</v>
      </c>
      <c r="C1742">
        <v>2095000</v>
      </c>
      <c r="D1742" t="s">
        <v>7310</v>
      </c>
      <c r="E1742" t="s">
        <v>7311</v>
      </c>
      <c r="F1742">
        <v>2</v>
      </c>
      <c r="I1742" t="str">
        <f>HYPERLINK("tel:+13104904716", "310-490-4716")</f>
        <v>310-490-4716</v>
      </c>
      <c r="J1742" t="s">
        <v>7312</v>
      </c>
      <c r="K1742" t="s">
        <v>351</v>
      </c>
      <c r="M1742">
        <v>3104904716</v>
      </c>
    </row>
    <row r="1743" spans="1:13" x14ac:dyDescent="0.25">
      <c r="A1743">
        <v>1678394420</v>
      </c>
      <c r="B1743" t="s">
        <v>7313</v>
      </c>
      <c r="C1743">
        <v>2495000</v>
      </c>
      <c r="D1743" t="s">
        <v>7314</v>
      </c>
      <c r="E1743" t="s">
        <v>7315</v>
      </c>
      <c r="F1743">
        <v>2</v>
      </c>
      <c r="I1743" t="str">
        <f>HYPERLINK("tel:+13104935743", "310-493-5743")</f>
        <v>310-493-5743</v>
      </c>
      <c r="J1743" t="s">
        <v>7316</v>
      </c>
      <c r="K1743" t="s">
        <v>168</v>
      </c>
      <c r="M1743">
        <v>3104935743</v>
      </c>
    </row>
    <row r="1744" spans="1:13" x14ac:dyDescent="0.25">
      <c r="A1744">
        <v>1047121949</v>
      </c>
      <c r="B1744" t="s">
        <v>7317</v>
      </c>
      <c r="C1744">
        <v>2498000</v>
      </c>
      <c r="D1744" t="s">
        <v>7318</v>
      </c>
      <c r="E1744" t="s">
        <v>7319</v>
      </c>
      <c r="F1744">
        <v>2</v>
      </c>
      <c r="I1744" t="str">
        <f>HYPERLINK("tel:+13104972791", "310-497-2791")</f>
        <v>310-497-2791</v>
      </c>
      <c r="J1744" t="s">
        <v>7320</v>
      </c>
      <c r="K1744" t="s">
        <v>7321</v>
      </c>
      <c r="M1744">
        <v>3104972791</v>
      </c>
    </row>
    <row r="1745" spans="1:13" x14ac:dyDescent="0.25">
      <c r="A1745">
        <v>1931301923</v>
      </c>
      <c r="B1745" t="s">
        <v>7322</v>
      </c>
      <c r="C1745">
        <v>525000</v>
      </c>
      <c r="D1745" t="s">
        <v>7323</v>
      </c>
      <c r="E1745" t="s">
        <v>7324</v>
      </c>
      <c r="F1745">
        <v>2</v>
      </c>
      <c r="I1745" t="str">
        <f>HYPERLINK("tel:+13104973546", "310-497-3546")</f>
        <v>310-497-3546</v>
      </c>
      <c r="J1745" t="s">
        <v>7325</v>
      </c>
      <c r="K1745" t="s">
        <v>7326</v>
      </c>
      <c r="M1745">
        <v>3104973546</v>
      </c>
    </row>
    <row r="1746" spans="1:13" x14ac:dyDescent="0.25">
      <c r="A1746">
        <v>1494603164</v>
      </c>
      <c r="B1746" t="s">
        <v>7327</v>
      </c>
      <c r="C1746">
        <v>6395000</v>
      </c>
      <c r="D1746" t="s">
        <v>7328</v>
      </c>
      <c r="E1746" t="s">
        <v>7329</v>
      </c>
      <c r="F1746">
        <v>2</v>
      </c>
      <c r="I1746" t="str">
        <f>HYPERLINK("tel:+13104975166", "310-497-5166")</f>
        <v>310-497-5166</v>
      </c>
      <c r="J1746" t="s">
        <v>7330</v>
      </c>
      <c r="K1746" t="s">
        <v>24</v>
      </c>
      <c r="M1746">
        <v>3104975166</v>
      </c>
    </row>
    <row r="1747" spans="1:13" x14ac:dyDescent="0.25">
      <c r="A1747">
        <v>1314081863</v>
      </c>
      <c r="B1747" t="s">
        <v>7331</v>
      </c>
      <c r="C1747">
        <v>2695000</v>
      </c>
      <c r="D1747" t="s">
        <v>7332</v>
      </c>
      <c r="E1747" t="s">
        <v>7333</v>
      </c>
      <c r="F1747">
        <v>2</v>
      </c>
      <c r="I1747" t="str">
        <f>HYPERLINK("tel:+13104978100", "310-497-8100")</f>
        <v>310-497-8100</v>
      </c>
      <c r="J1747" t="s">
        <v>7334</v>
      </c>
      <c r="K1747" t="s">
        <v>7335</v>
      </c>
      <c r="M1747">
        <v>3104978100</v>
      </c>
    </row>
    <row r="1748" spans="1:13" x14ac:dyDescent="0.25">
      <c r="A1748">
        <v>1968174389</v>
      </c>
      <c r="B1748" t="s">
        <v>7336</v>
      </c>
      <c r="C1748">
        <v>1985000</v>
      </c>
      <c r="D1748" t="s">
        <v>7337</v>
      </c>
      <c r="E1748" t="s">
        <v>7338</v>
      </c>
      <c r="F1748">
        <v>2</v>
      </c>
      <c r="I1748" t="str">
        <f>HYPERLINK("tel:+13104979202", "310-497-9202")</f>
        <v>310-497-9202</v>
      </c>
      <c r="J1748" t="s">
        <v>7339</v>
      </c>
      <c r="K1748" t="s">
        <v>7338</v>
      </c>
      <c r="M1748">
        <v>3104979202</v>
      </c>
    </row>
    <row r="1749" spans="1:13" x14ac:dyDescent="0.25">
      <c r="A1749">
        <v>1705253015</v>
      </c>
      <c r="B1749" t="s">
        <v>4880</v>
      </c>
      <c r="C1749">
        <v>4195000</v>
      </c>
      <c r="D1749" t="s">
        <v>4881</v>
      </c>
      <c r="E1749" t="s">
        <v>7340</v>
      </c>
      <c r="F1749">
        <v>2</v>
      </c>
      <c r="I1749" t="str">
        <f>HYPERLINK("tel:+13104993373", "310-499-3373")</f>
        <v>310-499-3373</v>
      </c>
      <c r="J1749" t="s">
        <v>7341</v>
      </c>
      <c r="K1749" t="s">
        <v>63</v>
      </c>
      <c r="M1749">
        <v>3104993373</v>
      </c>
    </row>
    <row r="1750" spans="1:13" x14ac:dyDescent="0.25">
      <c r="A1750">
        <v>1041177069</v>
      </c>
      <c r="B1750" t="s">
        <v>7342</v>
      </c>
      <c r="C1750">
        <v>3488000</v>
      </c>
      <c r="D1750" t="s">
        <v>7343</v>
      </c>
      <c r="E1750" t="s">
        <v>7344</v>
      </c>
      <c r="F1750">
        <v>2</v>
      </c>
      <c r="I1750" t="str">
        <f>HYPERLINK("tel:+13104993579", "310-499-3579")</f>
        <v>310-499-3579</v>
      </c>
      <c r="J1750" t="s">
        <v>7345</v>
      </c>
      <c r="K1750" t="s">
        <v>117</v>
      </c>
      <c r="M1750">
        <v>3104993579</v>
      </c>
    </row>
    <row r="1751" spans="1:13" x14ac:dyDescent="0.25">
      <c r="A1751">
        <v>2800504138</v>
      </c>
      <c r="B1751" t="s">
        <v>7346</v>
      </c>
      <c r="C1751">
        <v>199000</v>
      </c>
      <c r="D1751" t="s">
        <v>7347</v>
      </c>
      <c r="E1751" t="s">
        <v>7348</v>
      </c>
      <c r="F1751">
        <v>2</v>
      </c>
      <c r="I1751" t="str">
        <f>HYPERLINK("tel:+13104993917", "310-499-3917")</f>
        <v>310-499-3917</v>
      </c>
      <c r="J1751" t="s">
        <v>7349</v>
      </c>
      <c r="K1751" t="s">
        <v>1310</v>
      </c>
      <c r="M1751">
        <v>3104993917</v>
      </c>
    </row>
    <row r="1752" spans="1:13" x14ac:dyDescent="0.25">
      <c r="A1752">
        <v>2963077440</v>
      </c>
      <c r="B1752" t="s">
        <v>7350</v>
      </c>
      <c r="C1752">
        <v>7950000</v>
      </c>
      <c r="D1752" t="s">
        <v>7351</v>
      </c>
      <c r="E1752" t="s">
        <v>7352</v>
      </c>
      <c r="F1752">
        <v>2</v>
      </c>
      <c r="I1752" t="str">
        <f>HYPERLINK("tel:+13104998064", "310-499-8064")</f>
        <v>310-499-8064</v>
      </c>
      <c r="J1752" t="s">
        <v>7353</v>
      </c>
      <c r="K1752" t="s">
        <v>136</v>
      </c>
      <c r="M1752">
        <v>3104998064</v>
      </c>
    </row>
    <row r="1753" spans="1:13" x14ac:dyDescent="0.25">
      <c r="A1753">
        <v>1022544097</v>
      </c>
      <c r="B1753" t="s">
        <v>7354</v>
      </c>
      <c r="C1753">
        <v>4200000</v>
      </c>
      <c r="D1753" t="s">
        <v>7355</v>
      </c>
      <c r="E1753" t="s">
        <v>7356</v>
      </c>
      <c r="F1753">
        <v>2</v>
      </c>
      <c r="I1753" t="str">
        <f>HYPERLINK("tel:+13105001317", "310-500-1317")</f>
        <v>310-500-1317</v>
      </c>
      <c r="J1753" t="s">
        <v>7357</v>
      </c>
      <c r="K1753" t="s">
        <v>24</v>
      </c>
      <c r="M1753">
        <v>3105001317</v>
      </c>
    </row>
    <row r="1754" spans="1:13" x14ac:dyDescent="0.25">
      <c r="A1754">
        <v>1927059905</v>
      </c>
      <c r="B1754" t="s">
        <v>7358</v>
      </c>
      <c r="C1754">
        <v>2195000</v>
      </c>
      <c r="D1754" t="s">
        <v>7359</v>
      </c>
      <c r="E1754" t="s">
        <v>7360</v>
      </c>
      <c r="F1754">
        <v>2</v>
      </c>
      <c r="I1754" t="str">
        <f>HYPERLINK("tel:+13105001355", "310-500-1355")</f>
        <v>310-500-1355</v>
      </c>
      <c r="J1754" t="s">
        <v>7361</v>
      </c>
      <c r="K1754" t="s">
        <v>24</v>
      </c>
      <c r="M1754">
        <v>3105001355</v>
      </c>
    </row>
    <row r="1755" spans="1:13" x14ac:dyDescent="0.25">
      <c r="A1755">
        <v>2696602502</v>
      </c>
      <c r="B1755" t="s">
        <v>7197</v>
      </c>
      <c r="C1755">
        <v>125000</v>
      </c>
      <c r="D1755" t="s">
        <v>7198</v>
      </c>
      <c r="E1755" t="s">
        <v>7362</v>
      </c>
      <c r="F1755">
        <v>2</v>
      </c>
      <c r="I1755" t="str">
        <f>HYPERLINK("tel:+13105001414", "310-500-1414")</f>
        <v>310-500-1414</v>
      </c>
      <c r="J1755" t="s">
        <v>7363</v>
      </c>
      <c r="K1755" t="s">
        <v>24</v>
      </c>
      <c r="M1755">
        <v>3105001414</v>
      </c>
    </row>
    <row r="1756" spans="1:13" x14ac:dyDescent="0.25">
      <c r="A1756">
        <v>1086194327</v>
      </c>
      <c r="B1756" t="s">
        <v>7364</v>
      </c>
      <c r="C1756">
        <v>19995000</v>
      </c>
      <c r="D1756" t="s">
        <v>7365</v>
      </c>
      <c r="E1756" t="s">
        <v>7366</v>
      </c>
      <c r="F1756">
        <v>2</v>
      </c>
      <c r="I1756" t="str">
        <f>HYPERLINK("tel:+13105001435", "310-500-1435")</f>
        <v>310-500-1435</v>
      </c>
      <c r="J1756" t="s">
        <v>7367</v>
      </c>
      <c r="K1756" t="s">
        <v>24</v>
      </c>
      <c r="M1756">
        <v>3105001435</v>
      </c>
    </row>
    <row r="1757" spans="1:13" x14ac:dyDescent="0.25">
      <c r="A1757">
        <v>2019233102</v>
      </c>
      <c r="B1757" t="s">
        <v>7368</v>
      </c>
      <c r="C1757">
        <v>949000</v>
      </c>
      <c r="D1757" t="s">
        <v>7369</v>
      </c>
      <c r="E1757" t="s">
        <v>7370</v>
      </c>
      <c r="F1757">
        <v>2</v>
      </c>
      <c r="I1757" t="str">
        <f>HYPERLINK("tel:+13105003923", "310-500-3923")</f>
        <v>310-500-3923</v>
      </c>
      <c r="J1757" t="s">
        <v>7371</v>
      </c>
      <c r="K1757" t="s">
        <v>136</v>
      </c>
      <c r="M1757">
        <v>3105003923</v>
      </c>
    </row>
    <row r="1758" spans="1:13" x14ac:dyDescent="0.25">
      <c r="A1758">
        <v>2017211293</v>
      </c>
      <c r="B1758" t="s">
        <v>7372</v>
      </c>
      <c r="C1758">
        <v>15400000</v>
      </c>
      <c r="D1758" t="s">
        <v>7373</v>
      </c>
      <c r="E1758" t="s">
        <v>7374</v>
      </c>
      <c r="F1758">
        <v>2</v>
      </c>
      <c r="I1758" t="str">
        <f>HYPERLINK("tel:+13105006111", "310-500-6111")</f>
        <v>310-500-6111</v>
      </c>
      <c r="J1758" t="s">
        <v>7375</v>
      </c>
      <c r="K1758" t="s">
        <v>351</v>
      </c>
      <c r="M1758">
        <v>3105006111</v>
      </c>
    </row>
    <row r="1759" spans="1:13" x14ac:dyDescent="0.25">
      <c r="A1759">
        <v>2014809827</v>
      </c>
      <c r="B1759" t="s">
        <v>7376</v>
      </c>
      <c r="C1759">
        <v>1325000</v>
      </c>
      <c r="D1759" t="s">
        <v>7377</v>
      </c>
      <c r="E1759" t="s">
        <v>7378</v>
      </c>
      <c r="F1759">
        <v>2</v>
      </c>
      <c r="I1759" t="str">
        <f>HYPERLINK("tel:+13105059560", "310-505-9560")</f>
        <v>310-505-9560</v>
      </c>
      <c r="J1759" t="s">
        <v>7379</v>
      </c>
      <c r="K1759" t="s">
        <v>2515</v>
      </c>
      <c r="M1759">
        <v>3105059560</v>
      </c>
    </row>
    <row r="1760" spans="1:13" x14ac:dyDescent="0.25">
      <c r="A1760">
        <v>2422972323</v>
      </c>
      <c r="B1760" t="s">
        <v>7380</v>
      </c>
      <c r="C1760">
        <v>12950000</v>
      </c>
      <c r="D1760" t="s">
        <v>7381</v>
      </c>
      <c r="E1760" t="s">
        <v>7382</v>
      </c>
      <c r="F1760">
        <v>2</v>
      </c>
      <c r="I1760" t="str">
        <f>HYPERLINK("tel:+13105084528", "310-508-4528")</f>
        <v>310-508-4528</v>
      </c>
      <c r="J1760" t="s">
        <v>7383</v>
      </c>
      <c r="K1760" t="s">
        <v>24</v>
      </c>
      <c r="M1760">
        <v>3105084528</v>
      </c>
    </row>
    <row r="1761" spans="1:13" x14ac:dyDescent="0.25">
      <c r="A1761">
        <v>1372283042</v>
      </c>
      <c r="B1761" t="s">
        <v>7384</v>
      </c>
      <c r="C1761">
        <v>850000</v>
      </c>
      <c r="D1761" t="s">
        <v>7385</v>
      </c>
      <c r="E1761" t="s">
        <v>7386</v>
      </c>
      <c r="F1761">
        <v>2</v>
      </c>
      <c r="I1761" t="str">
        <f>HYPERLINK("tel:+13105087155", "310-508-7155")</f>
        <v>310-508-7155</v>
      </c>
      <c r="J1761" t="s">
        <v>7387</v>
      </c>
      <c r="K1761" t="s">
        <v>7388</v>
      </c>
      <c r="M1761">
        <v>3105087155</v>
      </c>
    </row>
    <row r="1762" spans="1:13" x14ac:dyDescent="0.25">
      <c r="A1762">
        <v>1864690535</v>
      </c>
      <c r="B1762" t="s">
        <v>7389</v>
      </c>
      <c r="C1762">
        <v>1499000</v>
      </c>
      <c r="D1762" t="s">
        <v>7390</v>
      </c>
      <c r="E1762" t="s">
        <v>7391</v>
      </c>
      <c r="F1762">
        <v>2</v>
      </c>
      <c r="I1762" t="str">
        <f>HYPERLINK("tel:+13105191080", "310-519-1080")</f>
        <v>310-519-1080</v>
      </c>
      <c r="J1762" t="s">
        <v>7392</v>
      </c>
      <c r="K1762" t="s">
        <v>68</v>
      </c>
      <c r="M1762">
        <v>3105191080</v>
      </c>
    </row>
    <row r="1763" spans="1:13" x14ac:dyDescent="0.25">
      <c r="A1763">
        <v>9601361262</v>
      </c>
      <c r="B1763" t="s">
        <v>7393</v>
      </c>
      <c r="C1763">
        <v>50000</v>
      </c>
      <c r="D1763" t="s">
        <v>7394</v>
      </c>
      <c r="E1763" t="s">
        <v>7395</v>
      </c>
      <c r="F1763">
        <v>2</v>
      </c>
      <c r="I1763" t="str">
        <f>HYPERLINK("tel:+13105288937", "310-528-8937")</f>
        <v>310-528-8937</v>
      </c>
      <c r="J1763" t="s">
        <v>7396</v>
      </c>
      <c r="K1763" t="s">
        <v>7397</v>
      </c>
      <c r="M1763">
        <v>3105288937</v>
      </c>
    </row>
    <row r="1764" spans="1:13" x14ac:dyDescent="0.25">
      <c r="A1764">
        <v>1602968153</v>
      </c>
      <c r="B1764" t="s">
        <v>7398</v>
      </c>
      <c r="C1764">
        <v>475000</v>
      </c>
      <c r="D1764" t="s">
        <v>7399</v>
      </c>
      <c r="E1764" t="s">
        <v>7400</v>
      </c>
      <c r="F1764">
        <v>2</v>
      </c>
      <c r="I1764" t="str">
        <f>HYPERLINK("tel:+13105293199", "310-529-3199")</f>
        <v>310-529-3199</v>
      </c>
      <c r="J1764" t="s">
        <v>7401</v>
      </c>
      <c r="K1764" t="s">
        <v>1310</v>
      </c>
      <c r="M1764">
        <v>3105293199</v>
      </c>
    </row>
    <row r="1765" spans="1:13" x14ac:dyDescent="0.25">
      <c r="A1765">
        <v>1249565070</v>
      </c>
      <c r="B1765" t="s">
        <v>7402</v>
      </c>
      <c r="C1765">
        <v>1075000</v>
      </c>
      <c r="D1765" t="s">
        <v>7403</v>
      </c>
      <c r="E1765" t="s">
        <v>7404</v>
      </c>
      <c r="F1765">
        <v>2</v>
      </c>
      <c r="I1765" t="str">
        <f>HYPERLINK("tel:+13105297725", "310-529-7725")</f>
        <v>310-529-7725</v>
      </c>
      <c r="J1765" t="s">
        <v>7405</v>
      </c>
      <c r="K1765" t="s">
        <v>158</v>
      </c>
      <c r="M1765">
        <v>3105297725</v>
      </c>
    </row>
    <row r="1766" spans="1:13" x14ac:dyDescent="0.25">
      <c r="A1766">
        <v>2431959712</v>
      </c>
      <c r="B1766" t="s">
        <v>7406</v>
      </c>
      <c r="C1766">
        <v>4999000</v>
      </c>
      <c r="D1766" t="s">
        <v>7407</v>
      </c>
      <c r="E1766" t="s">
        <v>7408</v>
      </c>
      <c r="F1766">
        <v>2</v>
      </c>
      <c r="I1766" t="str">
        <f>HYPERLINK("tel:+13105393000", "310-539-3000")</f>
        <v>310-539-3000</v>
      </c>
      <c r="J1766" t="s">
        <v>7409</v>
      </c>
      <c r="K1766" t="s">
        <v>351</v>
      </c>
      <c r="M1766">
        <v>3105393000</v>
      </c>
    </row>
    <row r="1767" spans="1:13" x14ac:dyDescent="0.25">
      <c r="A1767">
        <v>9645315019</v>
      </c>
      <c r="B1767" t="s">
        <v>7410</v>
      </c>
      <c r="C1767">
        <v>1049000</v>
      </c>
      <c r="D1767" t="s">
        <v>7411</v>
      </c>
      <c r="E1767" t="s">
        <v>7412</v>
      </c>
      <c r="F1767">
        <v>2</v>
      </c>
      <c r="I1767" t="str">
        <f>HYPERLINK("tel:+13105409999", "310-540-9999")</f>
        <v>310-540-9999</v>
      </c>
      <c r="J1767" t="s">
        <v>7413</v>
      </c>
      <c r="K1767" t="s">
        <v>707</v>
      </c>
      <c r="M1767">
        <v>3105409999</v>
      </c>
    </row>
    <row r="1768" spans="1:13" x14ac:dyDescent="0.25">
      <c r="A1768">
        <v>1528313097</v>
      </c>
      <c r="B1768" t="s">
        <v>7414</v>
      </c>
      <c r="C1768">
        <v>10950000</v>
      </c>
      <c r="D1768" t="s">
        <v>7415</v>
      </c>
      <c r="E1768" t="s">
        <v>7416</v>
      </c>
      <c r="F1768">
        <v>2</v>
      </c>
      <c r="I1768" t="str">
        <f>HYPERLINK("tel:+13105431031", "310-543-1031")</f>
        <v>310-543-1031</v>
      </c>
      <c r="J1768" t="s">
        <v>7417</v>
      </c>
      <c r="K1768" t="s">
        <v>4093</v>
      </c>
      <c r="M1768">
        <v>3105431031</v>
      </c>
    </row>
    <row r="1769" spans="1:13" x14ac:dyDescent="0.25">
      <c r="A1769">
        <v>9432362354</v>
      </c>
      <c r="B1769" t="s">
        <v>7418</v>
      </c>
      <c r="C1769">
        <v>1599900</v>
      </c>
      <c r="D1769" t="s">
        <v>7419</v>
      </c>
      <c r="E1769" t="s">
        <v>7420</v>
      </c>
      <c r="F1769">
        <v>2</v>
      </c>
      <c r="I1769" t="str">
        <f>HYPERLINK("tel:+13105442244", "310-544-2244")</f>
        <v>310-544-2244</v>
      </c>
      <c r="J1769" t="s">
        <v>7421</v>
      </c>
      <c r="K1769" t="s">
        <v>7422</v>
      </c>
      <c r="M1769">
        <v>3105442244</v>
      </c>
    </row>
    <row r="1770" spans="1:13" x14ac:dyDescent="0.25">
      <c r="A1770">
        <v>1626331514</v>
      </c>
      <c r="B1770" t="s">
        <v>7423</v>
      </c>
      <c r="C1770">
        <v>3599999</v>
      </c>
      <c r="D1770" t="s">
        <v>7424</v>
      </c>
      <c r="E1770" t="s">
        <v>7425</v>
      </c>
      <c r="F1770">
        <v>2</v>
      </c>
      <c r="I1770" t="str">
        <f>HYPERLINK("tel:+13105444333", "310-544-4333")</f>
        <v>310-544-4333</v>
      </c>
      <c r="J1770" t="s">
        <v>7426</v>
      </c>
      <c r="K1770" t="s">
        <v>6750</v>
      </c>
      <c r="M1770">
        <v>3105444333</v>
      </c>
    </row>
    <row r="1771" spans="1:13" x14ac:dyDescent="0.25">
      <c r="A1771">
        <v>1688758021</v>
      </c>
      <c r="B1771" t="s">
        <v>7152</v>
      </c>
      <c r="C1771">
        <v>1235000</v>
      </c>
      <c r="D1771" t="s">
        <v>7153</v>
      </c>
      <c r="E1771" t="s">
        <v>7427</v>
      </c>
      <c r="F1771">
        <v>2</v>
      </c>
      <c r="I1771" t="str">
        <f>HYPERLINK("tel:+13105449999", "310-544-9999")</f>
        <v>310-544-9999</v>
      </c>
      <c r="J1771" t="s">
        <v>7428</v>
      </c>
      <c r="K1771" t="s">
        <v>168</v>
      </c>
      <c r="M1771">
        <v>3105449999</v>
      </c>
    </row>
    <row r="1772" spans="1:13" x14ac:dyDescent="0.25">
      <c r="A1772">
        <v>1125295747</v>
      </c>
      <c r="B1772" t="s">
        <v>7429</v>
      </c>
      <c r="C1772">
        <v>785000</v>
      </c>
      <c r="D1772" t="s">
        <v>7430</v>
      </c>
      <c r="E1772" t="s">
        <v>7431</v>
      </c>
      <c r="F1772">
        <v>2</v>
      </c>
      <c r="I1772" t="str">
        <f>HYPERLINK("tel:+13105576055", "310-557-6055")</f>
        <v>310-557-6055</v>
      </c>
      <c r="J1772" t="s">
        <v>7432</v>
      </c>
      <c r="K1772" t="s">
        <v>4238</v>
      </c>
      <c r="M1772">
        <v>3105576055</v>
      </c>
    </row>
    <row r="1773" spans="1:13" x14ac:dyDescent="0.25">
      <c r="A1773">
        <v>1904121296</v>
      </c>
      <c r="B1773" t="s">
        <v>7433</v>
      </c>
      <c r="C1773">
        <v>549000</v>
      </c>
      <c r="D1773" t="s">
        <v>7434</v>
      </c>
      <c r="E1773" t="s">
        <v>7435</v>
      </c>
      <c r="F1773">
        <v>2</v>
      </c>
      <c r="I1773" t="str">
        <f>HYPERLINK("tel:+13105600204", "310-560-0204")</f>
        <v>310-560-0204</v>
      </c>
      <c r="J1773" t="s">
        <v>7436</v>
      </c>
      <c r="K1773" t="s">
        <v>107</v>
      </c>
      <c r="M1773">
        <v>3105600204</v>
      </c>
    </row>
    <row r="1774" spans="1:13" x14ac:dyDescent="0.25">
      <c r="A1774">
        <v>2156170920</v>
      </c>
      <c r="B1774" t="s">
        <v>7437</v>
      </c>
      <c r="C1774">
        <v>2499000</v>
      </c>
      <c r="D1774" t="s">
        <v>7438</v>
      </c>
      <c r="E1774" t="s">
        <v>7439</v>
      </c>
      <c r="F1774">
        <v>2</v>
      </c>
      <c r="I1774" t="str">
        <f>HYPERLINK("tel:+13105675704", "310-567-5704")</f>
        <v>310-567-5704</v>
      </c>
      <c r="J1774" t="s">
        <v>7440</v>
      </c>
      <c r="K1774" t="s">
        <v>4</v>
      </c>
      <c r="M1774">
        <v>3105675704</v>
      </c>
    </row>
    <row r="1775" spans="1:13" x14ac:dyDescent="0.25">
      <c r="A1775">
        <v>2065491509</v>
      </c>
      <c r="B1775" t="s">
        <v>6950</v>
      </c>
      <c r="C1775">
        <v>1997500</v>
      </c>
      <c r="D1775" t="s">
        <v>6951</v>
      </c>
      <c r="E1775" t="s">
        <v>7441</v>
      </c>
      <c r="F1775">
        <v>2</v>
      </c>
      <c r="I1775" t="str">
        <f>HYPERLINK("tel:+13105711335", "310-571-1335")</f>
        <v>310-571-1335</v>
      </c>
      <c r="J1775" t="s">
        <v>7442</v>
      </c>
      <c r="K1775" t="s">
        <v>24</v>
      </c>
      <c r="M1775">
        <v>3105711335</v>
      </c>
    </row>
    <row r="1776" spans="1:13" x14ac:dyDescent="0.25">
      <c r="A1776">
        <v>2047876091</v>
      </c>
      <c r="B1776" t="s">
        <v>7443</v>
      </c>
      <c r="C1776">
        <v>2995000</v>
      </c>
      <c r="D1776" t="s">
        <v>7444</v>
      </c>
      <c r="E1776" t="s">
        <v>7445</v>
      </c>
      <c r="F1776">
        <v>2</v>
      </c>
      <c r="I1776" t="str">
        <f>HYPERLINK("tel:+13105711348", "310-571-1348")</f>
        <v>310-571-1348</v>
      </c>
      <c r="J1776" t="s">
        <v>7446</v>
      </c>
      <c r="K1776" t="s">
        <v>6927</v>
      </c>
      <c r="M1776">
        <v>3105711348</v>
      </c>
    </row>
    <row r="1777" spans="1:13" x14ac:dyDescent="0.25">
      <c r="A1777">
        <v>1792574884</v>
      </c>
      <c r="B1777" t="s">
        <v>7447</v>
      </c>
      <c r="C1777">
        <v>999000</v>
      </c>
      <c r="D1777" t="s">
        <v>7448</v>
      </c>
      <c r="E1777" t="s">
        <v>7449</v>
      </c>
      <c r="F1777">
        <v>2</v>
      </c>
      <c r="I1777" t="str">
        <f>HYPERLINK("tel:+13105774600", "310-577-4600")</f>
        <v>310-577-4600</v>
      </c>
      <c r="J1777" t="s">
        <v>7450</v>
      </c>
      <c r="K1777" t="s">
        <v>7451</v>
      </c>
      <c r="M1777">
        <v>3105774600</v>
      </c>
    </row>
    <row r="1778" spans="1:13" x14ac:dyDescent="0.25">
      <c r="A1778">
        <v>2873945163</v>
      </c>
      <c r="B1778" t="s">
        <v>7452</v>
      </c>
      <c r="C1778">
        <v>2500000</v>
      </c>
      <c r="D1778" t="s">
        <v>7453</v>
      </c>
      <c r="E1778" t="s">
        <v>7454</v>
      </c>
      <c r="F1778">
        <v>2</v>
      </c>
      <c r="I1778" t="str">
        <f>HYPERLINK("tel:+13105778777", "310-577-8777")</f>
        <v>310-577-8777</v>
      </c>
      <c r="J1778" t="s">
        <v>7455</v>
      </c>
      <c r="K1778" t="s">
        <v>7456</v>
      </c>
      <c r="M1778">
        <v>3105778777</v>
      </c>
    </row>
    <row r="1779" spans="1:13" x14ac:dyDescent="0.25">
      <c r="A1779">
        <v>2499725643</v>
      </c>
      <c r="B1779" t="s">
        <v>7457</v>
      </c>
      <c r="C1779">
        <v>1595000</v>
      </c>
      <c r="D1779" t="s">
        <v>7458</v>
      </c>
      <c r="E1779" t="s">
        <v>7459</v>
      </c>
      <c r="F1779">
        <v>2</v>
      </c>
      <c r="I1779" t="str">
        <f>HYPERLINK("tel:+13105860386", "310-586-0386")</f>
        <v>310-586-0386</v>
      </c>
      <c r="J1779" t="s">
        <v>7460</v>
      </c>
      <c r="K1779" t="s">
        <v>24</v>
      </c>
      <c r="M1779">
        <v>3105860386</v>
      </c>
    </row>
    <row r="1780" spans="1:13" x14ac:dyDescent="0.25">
      <c r="A1780">
        <v>2941788774</v>
      </c>
      <c r="B1780" t="s">
        <v>7461</v>
      </c>
      <c r="C1780">
        <v>1750000</v>
      </c>
      <c r="D1780" t="s">
        <v>7462</v>
      </c>
      <c r="E1780" t="s">
        <v>7463</v>
      </c>
      <c r="F1780">
        <v>2</v>
      </c>
      <c r="I1780" t="str">
        <f>HYPERLINK("tel:+13105891202", "310-589-1202")</f>
        <v>310-589-1202</v>
      </c>
      <c r="J1780" t="s">
        <v>7464</v>
      </c>
      <c r="K1780" t="s">
        <v>7465</v>
      </c>
      <c r="M1780">
        <v>3105891202</v>
      </c>
    </row>
    <row r="1781" spans="1:13" x14ac:dyDescent="0.25">
      <c r="A1781">
        <v>1759071334</v>
      </c>
      <c r="B1781" t="s">
        <v>7466</v>
      </c>
      <c r="C1781">
        <v>499990</v>
      </c>
      <c r="D1781" t="s">
        <v>7467</v>
      </c>
      <c r="E1781" t="s">
        <v>7468</v>
      </c>
      <c r="F1781">
        <v>2</v>
      </c>
      <c r="I1781" t="str">
        <f>HYPERLINK("tel:+13105923630", "310-592-3630")</f>
        <v>310-592-3630</v>
      </c>
      <c r="J1781" t="s">
        <v>7469</v>
      </c>
      <c r="K1781" t="s">
        <v>168</v>
      </c>
      <c r="M1781">
        <v>3105923630</v>
      </c>
    </row>
    <row r="1782" spans="1:13" x14ac:dyDescent="0.25">
      <c r="A1782">
        <v>1320929350</v>
      </c>
      <c r="B1782" t="s">
        <v>7470</v>
      </c>
      <c r="C1782">
        <v>975000</v>
      </c>
      <c r="D1782" t="s">
        <v>7471</v>
      </c>
      <c r="E1782" t="s">
        <v>7472</v>
      </c>
      <c r="F1782">
        <v>2</v>
      </c>
      <c r="I1782" t="str">
        <f>HYPERLINK("tel:+13105971914", "310-597-1914")</f>
        <v>310-597-1914</v>
      </c>
      <c r="J1782" t="s">
        <v>7473</v>
      </c>
      <c r="K1782" t="s">
        <v>2917</v>
      </c>
      <c r="M1782">
        <v>3105971914</v>
      </c>
    </row>
    <row r="1783" spans="1:13" x14ac:dyDescent="0.25">
      <c r="A1783">
        <v>1320929350</v>
      </c>
      <c r="B1783" t="s">
        <v>7470</v>
      </c>
      <c r="C1783">
        <v>975000</v>
      </c>
      <c r="D1783" t="s">
        <v>7471</v>
      </c>
      <c r="E1783" t="s">
        <v>7474</v>
      </c>
      <c r="F1783">
        <v>2</v>
      </c>
      <c r="I1783" t="str">
        <f>HYPERLINK("tel:+13105971915", "310-597-1915")</f>
        <v>310-597-1915</v>
      </c>
      <c r="J1783" t="s">
        <v>7475</v>
      </c>
      <c r="K1783" t="s">
        <v>2917</v>
      </c>
      <c r="M1783">
        <v>3105971915</v>
      </c>
    </row>
    <row r="1784" spans="1:13" x14ac:dyDescent="0.25">
      <c r="A1784">
        <v>2561454033</v>
      </c>
      <c r="B1784" t="s">
        <v>7476</v>
      </c>
      <c r="C1784">
        <v>2995000</v>
      </c>
      <c r="D1784" t="s">
        <v>7477</v>
      </c>
      <c r="E1784" t="s">
        <v>7478</v>
      </c>
      <c r="F1784">
        <v>2</v>
      </c>
      <c r="I1784" t="str">
        <f>HYPERLINK("tel:+13105976507", "310-597-6507")</f>
        <v>310-597-6507</v>
      </c>
      <c r="J1784" t="s">
        <v>7479</v>
      </c>
      <c r="K1784" t="s">
        <v>7478</v>
      </c>
      <c r="M1784">
        <v>3105976507</v>
      </c>
    </row>
    <row r="1785" spans="1:13" x14ac:dyDescent="0.25">
      <c r="A1785">
        <v>2410376435</v>
      </c>
      <c r="B1785" t="s">
        <v>7480</v>
      </c>
      <c r="C1785">
        <v>3950000</v>
      </c>
      <c r="D1785" t="s">
        <v>7481</v>
      </c>
      <c r="E1785" t="s">
        <v>7482</v>
      </c>
      <c r="F1785">
        <v>2</v>
      </c>
      <c r="I1785" t="str">
        <f>HYPERLINK("tel:+13106008209", "310-600-8209")</f>
        <v>310-600-8209</v>
      </c>
      <c r="J1785" t="s">
        <v>7483</v>
      </c>
      <c r="K1785" t="s">
        <v>4</v>
      </c>
      <c r="M1785">
        <v>3106008209</v>
      </c>
    </row>
    <row r="1786" spans="1:13" x14ac:dyDescent="0.25">
      <c r="A1786">
        <v>1381759964</v>
      </c>
      <c r="B1786" t="s">
        <v>7484</v>
      </c>
      <c r="C1786">
        <v>875000</v>
      </c>
      <c r="D1786" t="s">
        <v>7485</v>
      </c>
      <c r="E1786" t="s">
        <v>7486</v>
      </c>
      <c r="F1786">
        <v>2</v>
      </c>
      <c r="I1786" t="str">
        <f>HYPERLINK("tel:+13106009083", "310-600-9083")</f>
        <v>310-600-9083</v>
      </c>
      <c r="J1786" t="s">
        <v>7487</v>
      </c>
      <c r="K1786" t="s">
        <v>7488</v>
      </c>
      <c r="M1786">
        <v>3106009083</v>
      </c>
    </row>
    <row r="1787" spans="1:13" x14ac:dyDescent="0.25">
      <c r="A1787">
        <v>2627350124</v>
      </c>
      <c r="B1787" t="s">
        <v>7489</v>
      </c>
      <c r="C1787">
        <v>780000</v>
      </c>
      <c r="D1787" t="s">
        <v>7490</v>
      </c>
      <c r="E1787" t="s">
        <v>7491</v>
      </c>
      <c r="F1787">
        <v>2</v>
      </c>
      <c r="I1787" t="str">
        <f>HYPERLINK("tel:+13106009519", "310-600-9519")</f>
        <v>310-600-9519</v>
      </c>
      <c r="J1787" t="s">
        <v>7492</v>
      </c>
      <c r="K1787" t="s">
        <v>24</v>
      </c>
      <c r="M1787">
        <v>3106009519</v>
      </c>
    </row>
    <row r="1788" spans="1:13" x14ac:dyDescent="0.25">
      <c r="A1788">
        <v>1384192399</v>
      </c>
      <c r="B1788" t="s">
        <v>7493</v>
      </c>
      <c r="C1788">
        <v>1795000</v>
      </c>
      <c r="D1788" t="s">
        <v>7494</v>
      </c>
      <c r="E1788" t="s">
        <v>7495</v>
      </c>
      <c r="F1788">
        <v>2</v>
      </c>
      <c r="I1788" s="1" t="str">
        <f>HYPERLINK("tel:+13106123019", "310-612-3019")</f>
        <v>310-612-3019</v>
      </c>
      <c r="J1788" t="s">
        <v>7496</v>
      </c>
      <c r="K1788" t="s">
        <v>112</v>
      </c>
      <c r="M1788">
        <v>3106123019</v>
      </c>
    </row>
    <row r="1789" spans="1:13" x14ac:dyDescent="0.25">
      <c r="A1789">
        <v>2108712390</v>
      </c>
      <c r="B1789" t="s">
        <v>2740</v>
      </c>
      <c r="C1789">
        <v>3600000</v>
      </c>
      <c r="D1789" t="s">
        <v>2741</v>
      </c>
      <c r="E1789" t="s">
        <v>7497</v>
      </c>
      <c r="F1789">
        <v>2</v>
      </c>
      <c r="I1789" t="str">
        <f>HYPERLINK("tel:+13106135582", "310-613-5582")</f>
        <v>310-613-5582</v>
      </c>
      <c r="J1789" t="s">
        <v>7498</v>
      </c>
      <c r="K1789" t="s">
        <v>4285</v>
      </c>
      <c r="M1789">
        <v>3106135582</v>
      </c>
    </row>
    <row r="1790" spans="1:13" x14ac:dyDescent="0.25">
      <c r="A1790">
        <v>2547911974</v>
      </c>
      <c r="B1790" t="s">
        <v>7499</v>
      </c>
      <c r="C1790">
        <v>385000</v>
      </c>
      <c r="D1790" t="s">
        <v>7500</v>
      </c>
      <c r="E1790" t="s">
        <v>7501</v>
      </c>
      <c r="F1790">
        <v>2</v>
      </c>
      <c r="I1790" t="str">
        <f>HYPERLINK("tel:+13106140530", "310-614-0530")</f>
        <v>310-614-0530</v>
      </c>
      <c r="J1790" t="s">
        <v>7502</v>
      </c>
      <c r="K1790" t="s">
        <v>2206</v>
      </c>
      <c r="M1790">
        <v>3106140530</v>
      </c>
    </row>
    <row r="1791" spans="1:13" x14ac:dyDescent="0.25">
      <c r="A1791">
        <v>2931380204</v>
      </c>
      <c r="B1791" t="s">
        <v>7503</v>
      </c>
      <c r="C1791">
        <v>1190000</v>
      </c>
      <c r="D1791" t="s">
        <v>7504</v>
      </c>
      <c r="E1791" t="s">
        <v>7505</v>
      </c>
      <c r="F1791">
        <v>2</v>
      </c>
      <c r="I1791" t="str">
        <f>HYPERLINK("tel:+13106213835", "310-621-3835")</f>
        <v>310-621-3835</v>
      </c>
      <c r="J1791" t="s">
        <v>7506</v>
      </c>
      <c r="K1791" t="s">
        <v>9</v>
      </c>
      <c r="M1791">
        <v>3106213835</v>
      </c>
    </row>
    <row r="1792" spans="1:13" x14ac:dyDescent="0.25">
      <c r="A1792">
        <v>1040266942</v>
      </c>
      <c r="B1792" t="s">
        <v>7507</v>
      </c>
      <c r="C1792">
        <v>1860000</v>
      </c>
      <c r="D1792" t="s">
        <v>7508</v>
      </c>
      <c r="E1792" t="s">
        <v>7509</v>
      </c>
      <c r="F1792">
        <v>2</v>
      </c>
      <c r="I1792" t="str">
        <f>HYPERLINK("tel:+13106220512", "310-622-0512")</f>
        <v>310-622-0512</v>
      </c>
      <c r="J1792" t="s">
        <v>7510</v>
      </c>
      <c r="K1792" t="s">
        <v>24</v>
      </c>
      <c r="M1792">
        <v>3106220512</v>
      </c>
    </row>
    <row r="1793" spans="1:13" x14ac:dyDescent="0.25">
      <c r="A1793">
        <v>1698123848</v>
      </c>
      <c r="B1793" t="s">
        <v>7511</v>
      </c>
      <c r="C1793">
        <v>1898000</v>
      </c>
      <c r="D1793" t="s">
        <v>7512</v>
      </c>
      <c r="E1793" t="s">
        <v>7513</v>
      </c>
      <c r="F1793">
        <v>2</v>
      </c>
      <c r="I1793" t="str">
        <f>HYPERLINK("tel:+13106227147", "310-622-7147")</f>
        <v>310-622-7147</v>
      </c>
      <c r="J1793" t="s">
        <v>7514</v>
      </c>
      <c r="K1793" t="s">
        <v>4247</v>
      </c>
      <c r="M1793">
        <v>3106227147</v>
      </c>
    </row>
    <row r="1794" spans="1:13" x14ac:dyDescent="0.25">
      <c r="A1794">
        <v>1005550827</v>
      </c>
      <c r="B1794" t="s">
        <v>7515</v>
      </c>
      <c r="C1794">
        <v>4995000</v>
      </c>
      <c r="D1794" t="s">
        <v>7516</v>
      </c>
      <c r="E1794" t="s">
        <v>7517</v>
      </c>
      <c r="F1794">
        <v>2</v>
      </c>
      <c r="I1794" t="str">
        <f>HYPERLINK("tel:+13106227447", "310-622-7447")</f>
        <v>310-622-7447</v>
      </c>
      <c r="J1794" t="s">
        <v>7518</v>
      </c>
      <c r="K1794" t="s">
        <v>24</v>
      </c>
      <c r="M1794">
        <v>3106227447</v>
      </c>
    </row>
    <row r="1795" spans="1:13" x14ac:dyDescent="0.25">
      <c r="A1795">
        <v>1738706459</v>
      </c>
      <c r="B1795" t="s">
        <v>7519</v>
      </c>
      <c r="C1795">
        <v>1199000</v>
      </c>
      <c r="D1795" t="s">
        <v>7520</v>
      </c>
      <c r="E1795" t="s">
        <v>7521</v>
      </c>
      <c r="F1795">
        <v>2</v>
      </c>
      <c r="I1795" t="str">
        <f>HYPERLINK("tel:+13106238718", "310-623-8718")</f>
        <v>310-623-8718</v>
      </c>
      <c r="J1795" t="s">
        <v>7522</v>
      </c>
      <c r="K1795" t="s">
        <v>117</v>
      </c>
      <c r="M1795">
        <v>3106238718</v>
      </c>
    </row>
    <row r="1796" spans="1:13" x14ac:dyDescent="0.25">
      <c r="A1796">
        <v>1533672392</v>
      </c>
      <c r="B1796" t="s">
        <v>7523</v>
      </c>
      <c r="C1796">
        <v>1249000</v>
      </c>
      <c r="D1796" t="s">
        <v>7524</v>
      </c>
      <c r="E1796" t="s">
        <v>7525</v>
      </c>
      <c r="F1796">
        <v>2</v>
      </c>
      <c r="I1796" t="str">
        <f>HYPERLINK("tel:+13106252061", "310-625-2061")</f>
        <v>310-625-2061</v>
      </c>
      <c r="J1796" t="s">
        <v>7526</v>
      </c>
      <c r="K1796" t="s">
        <v>24</v>
      </c>
      <c r="M1796">
        <v>3106252061</v>
      </c>
    </row>
    <row r="1797" spans="1:13" x14ac:dyDescent="0.25">
      <c r="A1797">
        <v>2127188166</v>
      </c>
      <c r="B1797" t="s">
        <v>7527</v>
      </c>
      <c r="C1797">
        <v>3699000</v>
      </c>
      <c r="D1797" t="s">
        <v>7528</v>
      </c>
      <c r="E1797" t="s">
        <v>7529</v>
      </c>
      <c r="F1797">
        <v>2</v>
      </c>
      <c r="I1797" t="str">
        <f>HYPERLINK("tel:+13106252206", "310-625-2206")</f>
        <v>310-625-2206</v>
      </c>
      <c r="J1797" t="s">
        <v>7530</v>
      </c>
      <c r="K1797" t="s">
        <v>24</v>
      </c>
      <c r="M1797">
        <v>3106252206</v>
      </c>
    </row>
    <row r="1798" spans="1:13" x14ac:dyDescent="0.25">
      <c r="A1798">
        <v>2670148971</v>
      </c>
      <c r="B1798" t="s">
        <v>7531</v>
      </c>
      <c r="C1798">
        <v>589000</v>
      </c>
      <c r="D1798" t="s">
        <v>7532</v>
      </c>
      <c r="E1798" t="s">
        <v>7533</v>
      </c>
      <c r="F1798">
        <v>2</v>
      </c>
      <c r="I1798" t="str">
        <f>HYPERLINK("tel:+13106262121", "310-626-2121")</f>
        <v>310-626-2121</v>
      </c>
      <c r="J1798" t="s">
        <v>7534</v>
      </c>
      <c r="K1798" t="s">
        <v>825</v>
      </c>
      <c r="M1798">
        <v>3106262121</v>
      </c>
    </row>
    <row r="1799" spans="1:13" x14ac:dyDescent="0.25">
      <c r="A1799">
        <v>1817026172</v>
      </c>
      <c r="B1799" t="s">
        <v>7535</v>
      </c>
      <c r="C1799">
        <v>680000</v>
      </c>
      <c r="D1799" t="s">
        <v>7536</v>
      </c>
      <c r="E1799" t="s">
        <v>7537</v>
      </c>
      <c r="F1799">
        <v>2</v>
      </c>
      <c r="I1799" t="str">
        <f>HYPERLINK("tel:+13106262325", "310-626-2325")</f>
        <v>310-626-2325</v>
      </c>
      <c r="J1799" t="s">
        <v>7538</v>
      </c>
      <c r="K1799" t="s">
        <v>7539</v>
      </c>
      <c r="M1799">
        <v>3106262325</v>
      </c>
    </row>
    <row r="1800" spans="1:13" x14ac:dyDescent="0.25">
      <c r="A1800">
        <v>2719839118</v>
      </c>
      <c r="B1800" t="s">
        <v>7540</v>
      </c>
      <c r="C1800">
        <v>1648000</v>
      </c>
      <c r="D1800" t="s">
        <v>7541</v>
      </c>
      <c r="E1800" t="s">
        <v>7542</v>
      </c>
      <c r="F1800">
        <v>2</v>
      </c>
      <c r="I1800" t="str">
        <f>HYPERLINK("tel:+13106265630", "310-626-5630")</f>
        <v>310-626-5630</v>
      </c>
      <c r="J1800" t="s">
        <v>7543</v>
      </c>
      <c r="K1800" t="s">
        <v>4</v>
      </c>
      <c r="M1800">
        <v>3106265630</v>
      </c>
    </row>
    <row r="1801" spans="1:13" x14ac:dyDescent="0.25">
      <c r="A1801">
        <v>1815887375</v>
      </c>
      <c r="B1801" t="s">
        <v>7544</v>
      </c>
      <c r="C1801">
        <v>1100000</v>
      </c>
      <c r="D1801" t="s">
        <v>7545</v>
      </c>
      <c r="E1801" t="s">
        <v>7546</v>
      </c>
      <c r="F1801">
        <v>2</v>
      </c>
      <c r="I1801" t="str">
        <f>HYPERLINK("tel:+13106287008", "310-628-7008")</f>
        <v>310-628-7008</v>
      </c>
      <c r="J1801" t="s">
        <v>7547</v>
      </c>
      <c r="K1801" t="s">
        <v>7548</v>
      </c>
      <c r="M1801">
        <v>3106287008</v>
      </c>
    </row>
    <row r="1802" spans="1:13" x14ac:dyDescent="0.25">
      <c r="A1802">
        <v>9751869028</v>
      </c>
      <c r="B1802" t="s">
        <v>7549</v>
      </c>
      <c r="C1802">
        <v>1068800</v>
      </c>
      <c r="D1802" t="s">
        <v>7550</v>
      </c>
      <c r="E1802" t="s">
        <v>7551</v>
      </c>
      <c r="F1802">
        <v>2</v>
      </c>
      <c r="I1802" t="str">
        <f>HYPERLINK("tel:+13106330641", "310-633-0641")</f>
        <v>310-633-0641</v>
      </c>
      <c r="J1802" t="s">
        <v>7552</v>
      </c>
      <c r="K1802" t="s">
        <v>7553</v>
      </c>
      <c r="M1802">
        <v>3106330641</v>
      </c>
    </row>
    <row r="1803" spans="1:13" x14ac:dyDescent="0.25">
      <c r="A1803">
        <v>9301864518</v>
      </c>
      <c r="B1803" t="s">
        <v>7554</v>
      </c>
      <c r="C1803">
        <v>2999000</v>
      </c>
      <c r="D1803" t="s">
        <v>7555</v>
      </c>
      <c r="E1803" t="s">
        <v>7556</v>
      </c>
      <c r="F1803">
        <v>2</v>
      </c>
      <c r="I1803" t="str">
        <f>HYPERLINK("tel:+13106549612", "310-654-9612")</f>
        <v>310-654-9612</v>
      </c>
      <c r="J1803" t="s">
        <v>7557</v>
      </c>
      <c r="K1803" t="s">
        <v>249</v>
      </c>
      <c r="M1803">
        <v>3106549612</v>
      </c>
    </row>
    <row r="1804" spans="1:13" x14ac:dyDescent="0.25">
      <c r="A1804">
        <v>2899430696</v>
      </c>
      <c r="B1804" t="s">
        <v>7558</v>
      </c>
      <c r="C1804">
        <v>459000</v>
      </c>
      <c r="D1804" t="s">
        <v>7559</v>
      </c>
      <c r="E1804" t="s">
        <v>7560</v>
      </c>
      <c r="F1804">
        <v>2</v>
      </c>
      <c r="I1804" t="str">
        <f>HYPERLINK("tel:+13106587060", "310-658-7060")</f>
        <v>310-658-7060</v>
      </c>
      <c r="J1804" t="s">
        <v>7561</v>
      </c>
      <c r="K1804" t="s">
        <v>2917</v>
      </c>
      <c r="M1804">
        <v>3106587060</v>
      </c>
    </row>
    <row r="1805" spans="1:13" x14ac:dyDescent="0.25">
      <c r="A1805">
        <v>1144207495</v>
      </c>
      <c r="B1805" t="s">
        <v>7562</v>
      </c>
      <c r="C1805">
        <v>7800000</v>
      </c>
      <c r="D1805" t="s">
        <v>7563</v>
      </c>
      <c r="E1805" t="s">
        <v>7564</v>
      </c>
      <c r="F1805">
        <v>2</v>
      </c>
      <c r="I1805" t="str">
        <f>HYPERLINK("tel:+13106635224", "310-663-5224")</f>
        <v>310-663-5224</v>
      </c>
      <c r="J1805" t="s">
        <v>7565</v>
      </c>
      <c r="K1805" t="s">
        <v>249</v>
      </c>
      <c r="M1805">
        <v>3106635224</v>
      </c>
    </row>
    <row r="1806" spans="1:13" x14ac:dyDescent="0.25">
      <c r="A1806">
        <v>1355698475</v>
      </c>
      <c r="B1806" t="s">
        <v>7566</v>
      </c>
      <c r="C1806">
        <v>2500000</v>
      </c>
      <c r="D1806" t="s">
        <v>7567</v>
      </c>
      <c r="E1806" t="s">
        <v>7568</v>
      </c>
      <c r="F1806">
        <v>2</v>
      </c>
      <c r="I1806" t="str">
        <f>HYPERLINK("tel:+13106637600", "310-663-7600")</f>
        <v>310-663-7600</v>
      </c>
      <c r="J1806" t="s">
        <v>7569</v>
      </c>
      <c r="K1806" t="s">
        <v>431</v>
      </c>
      <c r="M1806">
        <v>3106637600</v>
      </c>
    </row>
    <row r="1807" spans="1:13" x14ac:dyDescent="0.25">
      <c r="A1807">
        <v>2413267434</v>
      </c>
      <c r="B1807" t="s">
        <v>7570</v>
      </c>
      <c r="C1807">
        <v>1895000</v>
      </c>
      <c r="D1807" t="s">
        <v>7571</v>
      </c>
      <c r="E1807" t="s">
        <v>7572</v>
      </c>
      <c r="F1807">
        <v>2</v>
      </c>
      <c r="I1807" t="str">
        <f>HYPERLINK("tel:+13106668380", "310-666-8380")</f>
        <v>310-666-8380</v>
      </c>
      <c r="J1807" t="s">
        <v>7573</v>
      </c>
      <c r="K1807" t="s">
        <v>24</v>
      </c>
      <c r="M1807">
        <v>3106668380</v>
      </c>
    </row>
    <row r="1808" spans="1:13" x14ac:dyDescent="0.25">
      <c r="A1808">
        <v>1844762183</v>
      </c>
      <c r="B1808" t="s">
        <v>7574</v>
      </c>
      <c r="C1808">
        <v>1449000</v>
      </c>
      <c r="D1808" t="s">
        <v>7575</v>
      </c>
      <c r="E1808" t="s">
        <v>7576</v>
      </c>
      <c r="F1808">
        <v>2</v>
      </c>
      <c r="I1808" t="str">
        <f>HYPERLINK("tel:+13106671469", "310-667-1469")</f>
        <v>310-667-1469</v>
      </c>
      <c r="J1808" t="s">
        <v>7577</v>
      </c>
      <c r="K1808" t="s">
        <v>7578</v>
      </c>
      <c r="M1808">
        <v>3106671469</v>
      </c>
    </row>
    <row r="1809" spans="1:13" x14ac:dyDescent="0.25">
      <c r="A1809">
        <v>2311982974</v>
      </c>
      <c r="B1809" t="s">
        <v>7579</v>
      </c>
      <c r="C1809">
        <v>495000</v>
      </c>
      <c r="D1809" t="s">
        <v>7580</v>
      </c>
      <c r="E1809" t="s">
        <v>7581</v>
      </c>
      <c r="F1809">
        <v>2</v>
      </c>
      <c r="I1809" t="str">
        <f>HYPERLINK("tel:+13106743863", "310-674-3863")</f>
        <v>310-674-3863</v>
      </c>
      <c r="J1809" t="s">
        <v>7582</v>
      </c>
      <c r="K1809" t="s">
        <v>7583</v>
      </c>
      <c r="M1809">
        <v>3106743863</v>
      </c>
    </row>
    <row r="1810" spans="1:13" x14ac:dyDescent="0.25">
      <c r="A1810">
        <v>9942342686</v>
      </c>
      <c r="B1810" t="s">
        <v>7584</v>
      </c>
      <c r="C1810">
        <v>1480000</v>
      </c>
      <c r="D1810" t="s">
        <v>7585</v>
      </c>
      <c r="E1810" t="s">
        <v>7586</v>
      </c>
      <c r="F1810">
        <v>2</v>
      </c>
      <c r="I1810" t="str">
        <f>HYPERLINK("tel:+13106780699", "310-678-0699")</f>
        <v>310-678-0699</v>
      </c>
      <c r="J1810" t="s">
        <v>7587</v>
      </c>
      <c r="K1810" t="s">
        <v>7588</v>
      </c>
      <c r="M1810">
        <v>3106780699</v>
      </c>
    </row>
    <row r="1811" spans="1:13" x14ac:dyDescent="0.25">
      <c r="A1811">
        <v>1049861501</v>
      </c>
      <c r="B1811" t="s">
        <v>7589</v>
      </c>
      <c r="C1811">
        <v>2199000</v>
      </c>
      <c r="D1811" t="s">
        <v>7590</v>
      </c>
      <c r="E1811" t="s">
        <v>7591</v>
      </c>
      <c r="F1811">
        <v>2</v>
      </c>
      <c r="I1811" t="str">
        <f>HYPERLINK("tel:+13106782108", "310-678-2108")</f>
        <v>310-678-2108</v>
      </c>
      <c r="J1811" t="s">
        <v>7592</v>
      </c>
      <c r="K1811" t="s">
        <v>7593</v>
      </c>
      <c r="M1811">
        <v>3106782108</v>
      </c>
    </row>
    <row r="1812" spans="1:13" x14ac:dyDescent="0.25">
      <c r="A1812">
        <v>2379724234</v>
      </c>
      <c r="B1812" t="s">
        <v>7594</v>
      </c>
      <c r="C1812">
        <v>1500000</v>
      </c>
      <c r="D1812" t="s">
        <v>7595</v>
      </c>
      <c r="E1812" t="s">
        <v>7596</v>
      </c>
      <c r="F1812">
        <v>2</v>
      </c>
      <c r="I1812" t="str">
        <f>HYPERLINK("tel:+13106785544", "310-678-5544")</f>
        <v>310-678-5544</v>
      </c>
      <c r="J1812" t="s">
        <v>7597</v>
      </c>
      <c r="K1812" t="s">
        <v>7388</v>
      </c>
      <c r="M1812">
        <v>3106785544</v>
      </c>
    </row>
    <row r="1813" spans="1:13" x14ac:dyDescent="0.25">
      <c r="A1813">
        <v>1790912896</v>
      </c>
      <c r="B1813" t="s">
        <v>7598</v>
      </c>
      <c r="C1813">
        <v>3150000</v>
      </c>
      <c r="D1813" t="s">
        <v>7599</v>
      </c>
      <c r="E1813" t="s">
        <v>7600</v>
      </c>
      <c r="F1813">
        <v>2</v>
      </c>
      <c r="I1813" t="str">
        <f>HYPERLINK("tel:+13106838253", "310-683-8253")</f>
        <v>310-683-8253</v>
      </c>
      <c r="J1813" t="s">
        <v>7601</v>
      </c>
      <c r="K1813" t="s">
        <v>7602</v>
      </c>
      <c r="M1813">
        <v>3106838253</v>
      </c>
    </row>
    <row r="1814" spans="1:13" x14ac:dyDescent="0.25">
      <c r="A1814">
        <v>1085474902</v>
      </c>
      <c r="B1814" t="s">
        <v>7603</v>
      </c>
      <c r="C1814">
        <v>3450000</v>
      </c>
      <c r="D1814" t="s">
        <v>7604</v>
      </c>
      <c r="E1814" t="s">
        <v>7605</v>
      </c>
      <c r="F1814">
        <v>2</v>
      </c>
      <c r="I1814" t="str">
        <f>HYPERLINK("tel:+13106899689", "310-689-9689")</f>
        <v>310-689-9689</v>
      </c>
      <c r="J1814" t="s">
        <v>7606</v>
      </c>
      <c r="K1814" t="s">
        <v>7607</v>
      </c>
      <c r="M1814">
        <v>3106899689</v>
      </c>
    </row>
    <row r="1815" spans="1:13" x14ac:dyDescent="0.25">
      <c r="A1815">
        <v>2327153362</v>
      </c>
      <c r="B1815" t="s">
        <v>7608</v>
      </c>
      <c r="C1815">
        <v>2499000</v>
      </c>
      <c r="D1815" t="s">
        <v>7609</v>
      </c>
      <c r="E1815" t="s">
        <v>7610</v>
      </c>
      <c r="F1815">
        <v>2</v>
      </c>
      <c r="I1815" t="str">
        <f>HYPERLINK("tel:+13106919707", "310-691-9707")</f>
        <v>310-691-9707</v>
      </c>
      <c r="J1815" t="s">
        <v>7611</v>
      </c>
      <c r="K1815" t="s">
        <v>1886</v>
      </c>
      <c r="M1815">
        <v>3106919707</v>
      </c>
    </row>
    <row r="1816" spans="1:13" x14ac:dyDescent="0.25">
      <c r="A1816">
        <v>1204639921</v>
      </c>
      <c r="B1816" t="s">
        <v>7612</v>
      </c>
      <c r="C1816">
        <v>1167200</v>
      </c>
      <c r="D1816" t="s">
        <v>7613</v>
      </c>
      <c r="E1816" t="s">
        <v>7614</v>
      </c>
      <c r="F1816">
        <v>2</v>
      </c>
      <c r="I1816" t="str">
        <f>HYPERLINK("tel:+13106920409", "310-692-0409")</f>
        <v>310-692-0409</v>
      </c>
      <c r="J1816" t="s">
        <v>7615</v>
      </c>
      <c r="K1816" t="s">
        <v>532</v>
      </c>
      <c r="M1816">
        <v>3106920409</v>
      </c>
    </row>
    <row r="1817" spans="1:13" x14ac:dyDescent="0.25">
      <c r="A1817">
        <v>2976191537</v>
      </c>
      <c r="B1817" t="s">
        <v>7616</v>
      </c>
      <c r="C1817">
        <v>4498000</v>
      </c>
      <c r="D1817" t="s">
        <v>7617</v>
      </c>
      <c r="E1817" t="s">
        <v>7618</v>
      </c>
      <c r="F1817">
        <v>2</v>
      </c>
      <c r="I1817" t="str">
        <f>HYPERLINK("tel:+13106921885", "310-692-1885")</f>
        <v>310-692-1885</v>
      </c>
      <c r="J1817" t="s">
        <v>7619</v>
      </c>
      <c r="K1817" t="s">
        <v>168</v>
      </c>
      <c r="M1817">
        <v>3106921885</v>
      </c>
    </row>
    <row r="1818" spans="1:13" x14ac:dyDescent="0.25">
      <c r="A1818">
        <v>2665648140</v>
      </c>
      <c r="B1818" t="s">
        <v>7620</v>
      </c>
      <c r="C1818">
        <v>3600000</v>
      </c>
      <c r="D1818" t="s">
        <v>7621</v>
      </c>
      <c r="E1818" t="s">
        <v>7622</v>
      </c>
      <c r="F1818">
        <v>2</v>
      </c>
      <c r="I1818" t="str">
        <f>HYPERLINK("tel:+13106940079", "310-694-0079")</f>
        <v>310-694-0079</v>
      </c>
      <c r="J1818" t="s">
        <v>7623</v>
      </c>
      <c r="K1818" t="s">
        <v>7624</v>
      </c>
      <c r="M1818">
        <v>3106940079</v>
      </c>
    </row>
    <row r="1819" spans="1:13" x14ac:dyDescent="0.25">
      <c r="A1819">
        <v>9270533611</v>
      </c>
      <c r="B1819" t="s">
        <v>7625</v>
      </c>
      <c r="C1819">
        <v>1649000</v>
      </c>
      <c r="D1819" t="s">
        <v>7626</v>
      </c>
      <c r="E1819" t="s">
        <v>7627</v>
      </c>
      <c r="F1819">
        <v>2</v>
      </c>
      <c r="I1819" t="str">
        <f>HYPERLINK("tel:+13106941641", "310-694-1641")</f>
        <v>310-694-1641</v>
      </c>
      <c r="J1819" t="s">
        <v>7628</v>
      </c>
      <c r="K1819" t="s">
        <v>3511</v>
      </c>
      <c r="M1819">
        <v>3106941641</v>
      </c>
    </row>
    <row r="1820" spans="1:13" x14ac:dyDescent="0.25">
      <c r="A1820">
        <v>2797979502</v>
      </c>
      <c r="B1820" t="s">
        <v>7629</v>
      </c>
      <c r="C1820">
        <v>3490000</v>
      </c>
      <c r="D1820" t="s">
        <v>7630</v>
      </c>
      <c r="E1820" t="s">
        <v>7631</v>
      </c>
      <c r="F1820">
        <v>2</v>
      </c>
      <c r="I1820" t="str">
        <f>HYPERLINK("tel:+13107010224", "310-701-0224")</f>
        <v>310-701-0224</v>
      </c>
      <c r="J1820" t="s">
        <v>7632</v>
      </c>
      <c r="K1820" t="s">
        <v>532</v>
      </c>
      <c r="M1820">
        <v>3107010224</v>
      </c>
    </row>
    <row r="1821" spans="1:13" x14ac:dyDescent="0.25">
      <c r="A1821">
        <v>2750838085</v>
      </c>
      <c r="B1821" t="s">
        <v>7633</v>
      </c>
      <c r="C1821">
        <v>13488000</v>
      </c>
      <c r="D1821" t="s">
        <v>7634</v>
      </c>
      <c r="E1821" t="s">
        <v>7635</v>
      </c>
      <c r="F1821">
        <v>2</v>
      </c>
      <c r="I1821" t="str">
        <f>HYPERLINK("tel:+13107010712", "310-701-0712")</f>
        <v>310-701-0712</v>
      </c>
      <c r="J1821" t="s">
        <v>7636</v>
      </c>
      <c r="K1821" t="s">
        <v>4</v>
      </c>
      <c r="M1821">
        <v>3107010712</v>
      </c>
    </row>
    <row r="1822" spans="1:13" x14ac:dyDescent="0.25">
      <c r="A1822">
        <v>2645002014</v>
      </c>
      <c r="B1822" t="s">
        <v>7637</v>
      </c>
      <c r="C1822">
        <v>645000</v>
      </c>
      <c r="D1822" t="s">
        <v>7638</v>
      </c>
      <c r="E1822" t="s">
        <v>7639</v>
      </c>
      <c r="F1822">
        <v>2</v>
      </c>
      <c r="I1822" t="str">
        <f>HYPERLINK("tel:+13107012486", "310-701-2486")</f>
        <v>310-701-2486</v>
      </c>
      <c r="J1822" t="s">
        <v>7640</v>
      </c>
      <c r="K1822" t="s">
        <v>68</v>
      </c>
      <c r="M1822">
        <v>3107012486</v>
      </c>
    </row>
    <row r="1823" spans="1:13" x14ac:dyDescent="0.25">
      <c r="A1823">
        <v>1747511891</v>
      </c>
      <c r="B1823" t="s">
        <v>7641</v>
      </c>
      <c r="C1823">
        <v>949900</v>
      </c>
      <c r="D1823" t="s">
        <v>7642</v>
      </c>
      <c r="E1823" t="s">
        <v>7643</v>
      </c>
      <c r="F1823">
        <v>2</v>
      </c>
      <c r="I1823" t="str">
        <f>HYPERLINK("tel:+13107027224", "310-702-7224")</f>
        <v>310-702-7224</v>
      </c>
      <c r="J1823" t="s">
        <v>7644</v>
      </c>
      <c r="K1823" t="s">
        <v>825</v>
      </c>
      <c r="M1823">
        <v>3107027224</v>
      </c>
    </row>
    <row r="1824" spans="1:13" x14ac:dyDescent="0.25">
      <c r="A1824">
        <v>1180917963</v>
      </c>
      <c r="B1824" t="s">
        <v>7645</v>
      </c>
      <c r="C1824">
        <v>34999999</v>
      </c>
      <c r="D1824" t="s">
        <v>7646</v>
      </c>
      <c r="E1824" t="s">
        <v>7647</v>
      </c>
      <c r="F1824">
        <v>2</v>
      </c>
      <c r="I1824" t="str">
        <f>HYPERLINK("tel:+13107029808", "310-702-9808")</f>
        <v>310-702-9808</v>
      </c>
      <c r="J1824" t="s">
        <v>7648</v>
      </c>
      <c r="K1824" t="s">
        <v>249</v>
      </c>
      <c r="M1824">
        <v>3107029808</v>
      </c>
    </row>
    <row r="1825" spans="1:13" x14ac:dyDescent="0.25">
      <c r="A1825">
        <v>1134624308</v>
      </c>
      <c r="B1825" t="s">
        <v>7649</v>
      </c>
      <c r="C1825">
        <v>4895000</v>
      </c>
      <c r="D1825" t="s">
        <v>7650</v>
      </c>
      <c r="E1825" t="s">
        <v>7651</v>
      </c>
      <c r="F1825">
        <v>2</v>
      </c>
      <c r="I1825" t="str">
        <f>HYPERLINK("tel:+13107046580", "310-704-6580")</f>
        <v>310-704-6580</v>
      </c>
      <c r="J1825" t="s">
        <v>7652</v>
      </c>
      <c r="K1825" t="s">
        <v>63</v>
      </c>
      <c r="M1825">
        <v>3107046580</v>
      </c>
    </row>
    <row r="1826" spans="1:13" x14ac:dyDescent="0.25">
      <c r="A1826">
        <v>1698123848</v>
      </c>
      <c r="B1826" t="s">
        <v>7511</v>
      </c>
      <c r="C1826">
        <v>1898000</v>
      </c>
      <c r="D1826" t="s">
        <v>7512</v>
      </c>
      <c r="E1826" t="s">
        <v>7653</v>
      </c>
      <c r="F1826">
        <v>2</v>
      </c>
      <c r="I1826" t="str">
        <f>HYPERLINK("tel:+13107047152", "310-704-7152")</f>
        <v>310-704-7152</v>
      </c>
      <c r="J1826" t="s">
        <v>7654</v>
      </c>
      <c r="K1826" t="s">
        <v>24</v>
      </c>
      <c r="M1826">
        <v>3107047152</v>
      </c>
    </row>
    <row r="1827" spans="1:13" x14ac:dyDescent="0.25">
      <c r="A1827">
        <v>9273573188</v>
      </c>
      <c r="B1827" t="s">
        <v>7655</v>
      </c>
      <c r="C1827">
        <v>1699000</v>
      </c>
      <c r="D1827" t="s">
        <v>7656</v>
      </c>
      <c r="E1827" t="s">
        <v>7657</v>
      </c>
      <c r="F1827">
        <v>2</v>
      </c>
      <c r="I1827" t="str">
        <f>HYPERLINK("tel:+13107072126", "310-707-2126")</f>
        <v>310-707-2126</v>
      </c>
      <c r="J1827" t="s">
        <v>7658</v>
      </c>
      <c r="K1827" t="s">
        <v>68</v>
      </c>
      <c r="M1827">
        <v>3107072126</v>
      </c>
    </row>
    <row r="1828" spans="1:13" x14ac:dyDescent="0.25">
      <c r="A1828">
        <v>9442509050</v>
      </c>
      <c r="B1828" t="s">
        <v>7659</v>
      </c>
      <c r="C1828">
        <v>1599999</v>
      </c>
      <c r="D1828" t="s">
        <v>7660</v>
      </c>
      <c r="E1828" t="s">
        <v>7661</v>
      </c>
      <c r="F1828">
        <v>2</v>
      </c>
      <c r="I1828" t="str">
        <f>HYPERLINK("tel:+13107077378", "310-707-7378")</f>
        <v>310-707-7378</v>
      </c>
      <c r="J1828" t="s">
        <v>7662</v>
      </c>
      <c r="K1828" t="s">
        <v>990</v>
      </c>
      <c r="M1828">
        <v>3107077378</v>
      </c>
    </row>
    <row r="1829" spans="1:13" x14ac:dyDescent="0.25">
      <c r="A1829">
        <v>1160210787</v>
      </c>
      <c r="B1829" t="s">
        <v>1366</v>
      </c>
      <c r="C1829">
        <v>2250000</v>
      </c>
      <c r="D1829" t="s">
        <v>1367</v>
      </c>
      <c r="E1829" t="s">
        <v>7663</v>
      </c>
      <c r="F1829">
        <v>2</v>
      </c>
      <c r="I1829" t="str">
        <f>HYPERLINK("tel:+13107091701", "310-709-1701")</f>
        <v>310-709-1701</v>
      </c>
      <c r="J1829" t="s">
        <v>7664</v>
      </c>
      <c r="K1829" t="s">
        <v>24</v>
      </c>
      <c r="M1829">
        <v>3107091701</v>
      </c>
    </row>
    <row r="1830" spans="1:13" x14ac:dyDescent="0.25">
      <c r="A1830">
        <v>1835249921</v>
      </c>
      <c r="B1830" t="s">
        <v>7665</v>
      </c>
      <c r="C1830">
        <v>1889000</v>
      </c>
      <c r="D1830" t="s">
        <v>7666</v>
      </c>
      <c r="E1830" t="s">
        <v>7667</v>
      </c>
      <c r="F1830">
        <v>2</v>
      </c>
      <c r="I1830" t="str">
        <f>HYPERLINK("tel:+13107098898", "310-709-8898")</f>
        <v>310-709-8898</v>
      </c>
      <c r="J1830" t="s">
        <v>7668</v>
      </c>
      <c r="K1830" t="s">
        <v>7669</v>
      </c>
      <c r="M1830">
        <v>3107098898</v>
      </c>
    </row>
    <row r="1831" spans="1:13" x14ac:dyDescent="0.25">
      <c r="A1831">
        <v>2965049020</v>
      </c>
      <c r="B1831" t="s">
        <v>7670</v>
      </c>
      <c r="C1831">
        <v>5799000</v>
      </c>
      <c r="D1831" t="s">
        <v>7671</v>
      </c>
      <c r="E1831" t="s">
        <v>7672</v>
      </c>
      <c r="F1831">
        <v>2</v>
      </c>
      <c r="I1831" t="str">
        <f>HYPERLINK("tel:+13107105151", "310-710-5151")</f>
        <v>310-710-5151</v>
      </c>
      <c r="J1831" t="s">
        <v>7673</v>
      </c>
      <c r="K1831" t="s">
        <v>351</v>
      </c>
      <c r="M1831">
        <v>3107105151</v>
      </c>
    </row>
    <row r="1832" spans="1:13" x14ac:dyDescent="0.25">
      <c r="A1832">
        <v>1677530303</v>
      </c>
      <c r="B1832" t="s">
        <v>7674</v>
      </c>
      <c r="C1832">
        <v>2680000</v>
      </c>
      <c r="D1832" t="s">
        <v>7675</v>
      </c>
      <c r="E1832" t="s">
        <v>7676</v>
      </c>
      <c r="F1832">
        <v>2</v>
      </c>
      <c r="I1832" t="str">
        <f>HYPERLINK("tel:+13107138234", "310-713-8234")</f>
        <v>310-713-8234</v>
      </c>
      <c r="J1832" t="s">
        <v>7677</v>
      </c>
      <c r="K1832" t="s">
        <v>4</v>
      </c>
      <c r="M1832">
        <v>3107138234</v>
      </c>
    </row>
    <row r="1833" spans="1:13" x14ac:dyDescent="0.25">
      <c r="A1833">
        <v>2093466860</v>
      </c>
      <c r="B1833" t="s">
        <v>7678</v>
      </c>
      <c r="C1833">
        <v>4500000</v>
      </c>
      <c r="D1833" t="s">
        <v>7679</v>
      </c>
      <c r="E1833" t="s">
        <v>7680</v>
      </c>
      <c r="F1833">
        <v>2</v>
      </c>
      <c r="I1833" t="str">
        <f>HYPERLINK("tel:+13107170029", "310-717-0029")</f>
        <v>310-717-0029</v>
      </c>
      <c r="J1833" t="s">
        <v>7681</v>
      </c>
      <c r="K1833" t="s">
        <v>7682</v>
      </c>
      <c r="M1833">
        <v>3107170029</v>
      </c>
    </row>
    <row r="1834" spans="1:13" x14ac:dyDescent="0.25">
      <c r="A1834">
        <v>1419573523</v>
      </c>
      <c r="B1834" t="s">
        <v>7683</v>
      </c>
      <c r="C1834">
        <v>325000</v>
      </c>
      <c r="D1834" t="s">
        <v>7684</v>
      </c>
      <c r="E1834" t="s">
        <v>7685</v>
      </c>
      <c r="F1834">
        <v>2</v>
      </c>
      <c r="I1834" t="str">
        <f>HYPERLINK("tel:+13107175377", "310-717-5377")</f>
        <v>310-717-5377</v>
      </c>
      <c r="J1834" t="s">
        <v>7686</v>
      </c>
      <c r="K1834" t="s">
        <v>2704</v>
      </c>
      <c r="M1834">
        <v>3107175377</v>
      </c>
    </row>
    <row r="1835" spans="1:13" x14ac:dyDescent="0.25">
      <c r="A1835">
        <v>2820718025</v>
      </c>
      <c r="B1835" t="s">
        <v>7687</v>
      </c>
      <c r="C1835">
        <v>1649000</v>
      </c>
      <c r="D1835" t="s">
        <v>7688</v>
      </c>
      <c r="E1835" t="s">
        <v>7689</v>
      </c>
      <c r="F1835">
        <v>2</v>
      </c>
      <c r="I1835" t="str">
        <f>HYPERLINK("tel:+13107177886", "310-717-7886")</f>
        <v>310-717-7886</v>
      </c>
      <c r="J1835" t="s">
        <v>7690</v>
      </c>
      <c r="K1835" t="s">
        <v>24</v>
      </c>
      <c r="M1835">
        <v>3107177886</v>
      </c>
    </row>
    <row r="1836" spans="1:13" x14ac:dyDescent="0.25">
      <c r="A1836">
        <v>2820717566</v>
      </c>
      <c r="B1836" t="s">
        <v>7691</v>
      </c>
      <c r="C1836">
        <v>1098000</v>
      </c>
      <c r="D1836" t="s">
        <v>7692</v>
      </c>
      <c r="E1836" t="s">
        <v>7693</v>
      </c>
      <c r="F1836">
        <v>2</v>
      </c>
      <c r="I1836" t="str">
        <f>HYPERLINK("tel:+13107212455", "310-721-2455")</f>
        <v>310-721-2455</v>
      </c>
      <c r="J1836" t="s">
        <v>7694</v>
      </c>
      <c r="K1836" t="s">
        <v>5640</v>
      </c>
      <c r="M1836">
        <v>3107212455</v>
      </c>
    </row>
    <row r="1837" spans="1:13" x14ac:dyDescent="0.25">
      <c r="A1837">
        <v>2806221573</v>
      </c>
      <c r="B1837" t="s">
        <v>7695</v>
      </c>
      <c r="C1837">
        <v>2450000</v>
      </c>
      <c r="D1837" t="s">
        <v>7696</v>
      </c>
      <c r="E1837" t="s">
        <v>7697</v>
      </c>
      <c r="F1837">
        <v>2</v>
      </c>
      <c r="I1837" t="str">
        <f>HYPERLINK("tel:+13107215395", "310-721-5395")</f>
        <v>310-721-5395</v>
      </c>
      <c r="J1837" t="s">
        <v>7698</v>
      </c>
      <c r="K1837" t="s">
        <v>14</v>
      </c>
      <c r="M1837">
        <v>3107215395</v>
      </c>
    </row>
    <row r="1838" spans="1:13" x14ac:dyDescent="0.25">
      <c r="A1838">
        <v>1215723223</v>
      </c>
      <c r="B1838" t="s">
        <v>7699</v>
      </c>
      <c r="C1838">
        <v>650000</v>
      </c>
      <c r="D1838" t="s">
        <v>7700</v>
      </c>
      <c r="E1838" t="s">
        <v>7701</v>
      </c>
      <c r="F1838">
        <v>2</v>
      </c>
      <c r="I1838" t="str">
        <f>HYPERLINK("tel:+13107218584", "310-721-8584")</f>
        <v>310-721-8584</v>
      </c>
      <c r="J1838" t="s">
        <v>7702</v>
      </c>
      <c r="K1838" t="s">
        <v>14</v>
      </c>
      <c r="M1838">
        <v>3107218584</v>
      </c>
    </row>
    <row r="1839" spans="1:13" x14ac:dyDescent="0.25">
      <c r="A1839">
        <v>9688012517</v>
      </c>
      <c r="B1839" t="s">
        <v>7703</v>
      </c>
      <c r="C1839">
        <v>999000</v>
      </c>
      <c r="D1839" t="s">
        <v>7704</v>
      </c>
      <c r="E1839" t="s">
        <v>7705</v>
      </c>
      <c r="F1839">
        <v>2</v>
      </c>
      <c r="I1839" t="str">
        <f>HYPERLINK("tel:+13107285795", "310-728-5795")</f>
        <v>310-728-5795</v>
      </c>
      <c r="J1839" t="s">
        <v>7706</v>
      </c>
      <c r="K1839" t="s">
        <v>7707</v>
      </c>
      <c r="M1839">
        <v>3107285795</v>
      </c>
    </row>
    <row r="1840" spans="1:13" x14ac:dyDescent="0.25">
      <c r="A1840">
        <v>1530873075</v>
      </c>
      <c r="B1840" t="s">
        <v>7708</v>
      </c>
      <c r="C1840">
        <v>820000</v>
      </c>
      <c r="D1840" t="s">
        <v>7709</v>
      </c>
      <c r="E1840" t="s">
        <v>7710</v>
      </c>
      <c r="F1840">
        <v>2</v>
      </c>
      <c r="I1840" t="str">
        <f>HYPERLINK("tel:+13107291096", "310-729-1096")</f>
        <v>310-729-1096</v>
      </c>
      <c r="J1840" t="s">
        <v>7711</v>
      </c>
      <c r="K1840" t="s">
        <v>24</v>
      </c>
      <c r="M1840">
        <v>3107291096</v>
      </c>
    </row>
    <row r="1841" spans="1:13" x14ac:dyDescent="0.25">
      <c r="A1841">
        <v>2870264058</v>
      </c>
      <c r="B1841" t="s">
        <v>7712</v>
      </c>
      <c r="C1841">
        <v>985000</v>
      </c>
      <c r="D1841" t="s">
        <v>7713</v>
      </c>
      <c r="E1841" t="s">
        <v>7714</v>
      </c>
      <c r="F1841">
        <v>2</v>
      </c>
      <c r="I1841" t="str">
        <f>HYPERLINK("tel:+13107355995", "310-735-5995")</f>
        <v>310-735-5995</v>
      </c>
      <c r="J1841" t="s">
        <v>7715</v>
      </c>
      <c r="K1841" t="s">
        <v>7716</v>
      </c>
      <c r="M1841">
        <v>3107355995</v>
      </c>
    </row>
    <row r="1842" spans="1:13" x14ac:dyDescent="0.25">
      <c r="A1842">
        <v>1885864592</v>
      </c>
      <c r="B1842" t="s">
        <v>7717</v>
      </c>
      <c r="C1842">
        <v>3995000</v>
      </c>
      <c r="D1842" t="s">
        <v>7718</v>
      </c>
      <c r="E1842" t="s">
        <v>7719</v>
      </c>
      <c r="F1842">
        <v>2</v>
      </c>
      <c r="I1842" t="str">
        <f>HYPERLINK("tel:+13107382065", "310-738-2065")</f>
        <v>310-738-2065</v>
      </c>
      <c r="J1842" t="s">
        <v>7720</v>
      </c>
      <c r="K1842" t="s">
        <v>450</v>
      </c>
      <c r="M1842">
        <v>3107382065</v>
      </c>
    </row>
    <row r="1843" spans="1:13" x14ac:dyDescent="0.25">
      <c r="A1843">
        <v>2360968093</v>
      </c>
      <c r="B1843" t="s">
        <v>7721</v>
      </c>
      <c r="C1843">
        <v>1995000</v>
      </c>
      <c r="D1843" t="s">
        <v>7722</v>
      </c>
      <c r="E1843" t="s">
        <v>7723</v>
      </c>
      <c r="F1843">
        <v>2</v>
      </c>
      <c r="I1843" t="str">
        <f>HYPERLINK("tel:+13107393148", "310-739-3148")</f>
        <v>310-739-3148</v>
      </c>
      <c r="J1843" t="s">
        <v>7724</v>
      </c>
      <c r="K1843" t="s">
        <v>173</v>
      </c>
      <c r="M1843">
        <v>3107393148</v>
      </c>
    </row>
    <row r="1844" spans="1:13" x14ac:dyDescent="0.25">
      <c r="A1844">
        <v>2054088131</v>
      </c>
      <c r="B1844" t="s">
        <v>7725</v>
      </c>
      <c r="C1844">
        <v>1600000</v>
      </c>
      <c r="D1844" t="s">
        <v>7726</v>
      </c>
      <c r="E1844" t="s">
        <v>7727</v>
      </c>
      <c r="F1844">
        <v>2</v>
      </c>
      <c r="I1844" t="str">
        <f>HYPERLINK("tel:+13107398647", "310-739-8647")</f>
        <v>310-739-8647</v>
      </c>
      <c r="J1844" t="s">
        <v>7728</v>
      </c>
      <c r="K1844" t="s">
        <v>112</v>
      </c>
      <c r="M1844">
        <v>3107398647</v>
      </c>
    </row>
    <row r="1845" spans="1:13" x14ac:dyDescent="0.25">
      <c r="A1845">
        <v>2145303786</v>
      </c>
      <c r="B1845" t="s">
        <v>7729</v>
      </c>
      <c r="C1845">
        <v>10495000</v>
      </c>
      <c r="D1845" t="s">
        <v>7730</v>
      </c>
      <c r="E1845" t="s">
        <v>7731</v>
      </c>
      <c r="F1845">
        <v>2</v>
      </c>
      <c r="I1845" t="str">
        <f>HYPERLINK("tel:+13107399432", "310-739-9432")</f>
        <v>310-739-9432</v>
      </c>
      <c r="J1845" t="s">
        <v>7732</v>
      </c>
      <c r="K1845" t="s">
        <v>107</v>
      </c>
      <c r="M1845">
        <v>3107399432</v>
      </c>
    </row>
    <row r="1846" spans="1:13" x14ac:dyDescent="0.25">
      <c r="A1846">
        <v>9463185330</v>
      </c>
      <c r="B1846" t="s">
        <v>7733</v>
      </c>
      <c r="C1846">
        <v>2550000</v>
      </c>
      <c r="D1846" t="s">
        <v>7734</v>
      </c>
      <c r="E1846" t="s">
        <v>7735</v>
      </c>
      <c r="F1846">
        <v>2</v>
      </c>
      <c r="I1846" t="str">
        <f>HYPERLINK("tel:+13107439383", "310-743-9383")</f>
        <v>310-743-9383</v>
      </c>
      <c r="J1846" t="s">
        <v>7736</v>
      </c>
      <c r="K1846" t="s">
        <v>7737</v>
      </c>
      <c r="M1846">
        <v>3107439383</v>
      </c>
    </row>
    <row r="1847" spans="1:13" x14ac:dyDescent="0.25">
      <c r="A1847">
        <v>9301864518</v>
      </c>
      <c r="B1847" t="s">
        <v>7554</v>
      </c>
      <c r="C1847">
        <v>2999000</v>
      </c>
      <c r="D1847" t="s">
        <v>7555</v>
      </c>
      <c r="E1847" t="s">
        <v>7738</v>
      </c>
      <c r="F1847">
        <v>2</v>
      </c>
      <c r="I1847" t="str">
        <f>HYPERLINK("tel:+13107445584", "310-744-5584")</f>
        <v>310-744-5584</v>
      </c>
      <c r="J1847" t="s">
        <v>7739</v>
      </c>
      <c r="K1847" t="s">
        <v>249</v>
      </c>
      <c r="M1847">
        <v>3107445584</v>
      </c>
    </row>
    <row r="1848" spans="1:13" x14ac:dyDescent="0.25">
      <c r="A1848">
        <v>1561518275</v>
      </c>
      <c r="B1848" t="s">
        <v>7740</v>
      </c>
      <c r="C1848">
        <v>799000</v>
      </c>
      <c r="D1848" t="s">
        <v>7741</v>
      </c>
      <c r="E1848" t="s">
        <v>7742</v>
      </c>
      <c r="F1848">
        <v>2</v>
      </c>
      <c r="I1848" t="str">
        <f>HYPERLINK("tel:+13107451055", "310-745-1055")</f>
        <v>310-745-1055</v>
      </c>
      <c r="J1848" t="s">
        <v>7743</v>
      </c>
      <c r="K1848" t="s">
        <v>24</v>
      </c>
      <c r="M1848">
        <v>3107451055</v>
      </c>
    </row>
    <row r="1849" spans="1:13" x14ac:dyDescent="0.25">
      <c r="A1849">
        <v>1942588431</v>
      </c>
      <c r="B1849" t="s">
        <v>7744</v>
      </c>
      <c r="C1849">
        <v>2450000</v>
      </c>
      <c r="D1849" t="s">
        <v>7745</v>
      </c>
      <c r="E1849" t="s">
        <v>7746</v>
      </c>
      <c r="F1849">
        <v>2</v>
      </c>
      <c r="I1849" t="str">
        <f>HYPERLINK("tel:+13107457660", "310-745-7660")</f>
        <v>310-745-7660</v>
      </c>
      <c r="J1849" t="s">
        <v>7747</v>
      </c>
      <c r="K1849" t="s">
        <v>24</v>
      </c>
      <c r="M1849">
        <v>3107457660</v>
      </c>
    </row>
    <row r="1850" spans="1:13" x14ac:dyDescent="0.25">
      <c r="A1850">
        <v>2619759244</v>
      </c>
      <c r="B1850" t="s">
        <v>7748</v>
      </c>
      <c r="C1850">
        <v>765000</v>
      </c>
      <c r="D1850" t="s">
        <v>7749</v>
      </c>
      <c r="E1850" t="s">
        <v>7750</v>
      </c>
      <c r="F1850">
        <v>2</v>
      </c>
      <c r="I1850" t="str">
        <f>HYPERLINK("tel:+13107459724", "310-745-9724")</f>
        <v>310-745-9724</v>
      </c>
      <c r="J1850" t="s">
        <v>7751</v>
      </c>
      <c r="K1850" t="s">
        <v>24</v>
      </c>
      <c r="M1850">
        <v>3107459724</v>
      </c>
    </row>
    <row r="1851" spans="1:13" x14ac:dyDescent="0.25">
      <c r="A1851">
        <v>2149814065</v>
      </c>
      <c r="B1851" t="s">
        <v>7752</v>
      </c>
      <c r="C1851">
        <v>235000</v>
      </c>
      <c r="D1851" t="s">
        <v>7753</v>
      </c>
      <c r="E1851" t="s">
        <v>7754</v>
      </c>
      <c r="F1851">
        <v>2</v>
      </c>
      <c r="I1851" t="str">
        <f>HYPERLINK("tel:+13107467704", "310-746-7704")</f>
        <v>310-746-7704</v>
      </c>
      <c r="J1851" t="s">
        <v>7755</v>
      </c>
      <c r="K1851" t="s">
        <v>5073</v>
      </c>
      <c r="M1851">
        <v>3107467704</v>
      </c>
    </row>
    <row r="1852" spans="1:13" x14ac:dyDescent="0.25">
      <c r="A1852">
        <v>2967412518</v>
      </c>
      <c r="B1852" t="s">
        <v>7304</v>
      </c>
      <c r="C1852">
        <v>1398880</v>
      </c>
      <c r="D1852" t="s">
        <v>7305</v>
      </c>
      <c r="E1852" t="s">
        <v>7756</v>
      </c>
      <c r="F1852">
        <v>2</v>
      </c>
      <c r="I1852" t="str">
        <f>HYPERLINK("tel:+13107480689", "310-748-0689")</f>
        <v>310-748-0689</v>
      </c>
      <c r="J1852" t="s">
        <v>7757</v>
      </c>
      <c r="K1852" t="s">
        <v>7308</v>
      </c>
      <c r="M1852">
        <v>3107480689</v>
      </c>
    </row>
    <row r="1853" spans="1:13" x14ac:dyDescent="0.25">
      <c r="A1853">
        <v>2970796199</v>
      </c>
      <c r="B1853" t="s">
        <v>7758</v>
      </c>
      <c r="C1853">
        <v>699000</v>
      </c>
      <c r="D1853" t="s">
        <v>7759</v>
      </c>
      <c r="E1853" t="s">
        <v>7760</v>
      </c>
      <c r="F1853">
        <v>2</v>
      </c>
      <c r="I1853" t="str">
        <f>HYPERLINK("tel:+13107481445", "310-748-1445")</f>
        <v>310-748-1445</v>
      </c>
      <c r="J1853" t="s">
        <v>7761</v>
      </c>
      <c r="K1853" t="s">
        <v>173</v>
      </c>
      <c r="M1853">
        <v>3107481445</v>
      </c>
    </row>
    <row r="1854" spans="1:13" x14ac:dyDescent="0.25">
      <c r="A1854">
        <v>1181893267</v>
      </c>
      <c r="B1854" t="s">
        <v>6919</v>
      </c>
      <c r="C1854">
        <v>1950000</v>
      </c>
      <c r="D1854" t="s">
        <v>6920</v>
      </c>
      <c r="E1854" t="s">
        <v>7762</v>
      </c>
      <c r="F1854">
        <v>2</v>
      </c>
      <c r="I1854" t="str">
        <f>HYPERLINK("tel:+13107487717", "310-748-7717")</f>
        <v>310-748-7717</v>
      </c>
      <c r="J1854" t="s">
        <v>7763</v>
      </c>
      <c r="K1854" t="s">
        <v>409</v>
      </c>
      <c r="M1854">
        <v>3107487717</v>
      </c>
    </row>
    <row r="1855" spans="1:13" x14ac:dyDescent="0.25">
      <c r="A1855">
        <v>2148324253</v>
      </c>
      <c r="B1855" t="s">
        <v>7764</v>
      </c>
      <c r="C1855">
        <v>5735000</v>
      </c>
      <c r="D1855" t="s">
        <v>7765</v>
      </c>
      <c r="E1855" t="s">
        <v>7766</v>
      </c>
      <c r="F1855">
        <v>2</v>
      </c>
      <c r="I1855" t="str">
        <f>HYPERLINK("tel:+13107490703", "310-749-0703")</f>
        <v>310-749-0703</v>
      </c>
      <c r="J1855" t="s">
        <v>7767</v>
      </c>
      <c r="K1855" t="s">
        <v>117</v>
      </c>
      <c r="M1855">
        <v>3107490703</v>
      </c>
    </row>
    <row r="1856" spans="1:13" x14ac:dyDescent="0.25">
      <c r="A1856">
        <v>1462823538</v>
      </c>
      <c r="B1856" t="s">
        <v>7768</v>
      </c>
      <c r="C1856">
        <v>2495000</v>
      </c>
      <c r="D1856" t="s">
        <v>7769</v>
      </c>
      <c r="E1856" t="s">
        <v>7770</v>
      </c>
      <c r="F1856">
        <v>2</v>
      </c>
      <c r="I1856" t="str">
        <f>HYPERLINK("tel:+13107518105", "310-751-8105")</f>
        <v>310-751-8105</v>
      </c>
      <c r="J1856" t="s">
        <v>7771</v>
      </c>
      <c r="K1856" t="s">
        <v>168</v>
      </c>
      <c r="M1856">
        <v>3107518105</v>
      </c>
    </row>
    <row r="1857" spans="1:13" x14ac:dyDescent="0.25">
      <c r="A1857">
        <v>1721612061</v>
      </c>
      <c r="B1857" t="s">
        <v>7772</v>
      </c>
      <c r="C1857">
        <v>469900</v>
      </c>
      <c r="D1857" t="s">
        <v>7773</v>
      </c>
      <c r="E1857" t="s">
        <v>7774</v>
      </c>
      <c r="F1857">
        <v>2</v>
      </c>
      <c r="I1857" t="str">
        <f>HYPERLINK("tel:+13107537073", "310-753-7073")</f>
        <v>310-753-7073</v>
      </c>
      <c r="J1857" t="s">
        <v>7775</v>
      </c>
      <c r="K1857" t="s">
        <v>2500</v>
      </c>
      <c r="M1857">
        <v>3107537073</v>
      </c>
    </row>
    <row r="1858" spans="1:13" x14ac:dyDescent="0.25">
      <c r="A1858">
        <v>9340577301</v>
      </c>
      <c r="B1858" t="s">
        <v>7776</v>
      </c>
      <c r="C1858">
        <v>2375000</v>
      </c>
      <c r="D1858" t="s">
        <v>7777</v>
      </c>
      <c r="E1858" t="s">
        <v>7778</v>
      </c>
      <c r="F1858">
        <v>2</v>
      </c>
      <c r="I1858" t="str">
        <f>HYPERLINK("tel:+13107551538", "310-755-1538")</f>
        <v>310-755-1538</v>
      </c>
      <c r="J1858" t="s">
        <v>7779</v>
      </c>
      <c r="K1858" t="s">
        <v>9</v>
      </c>
      <c r="M1858">
        <v>3107551538</v>
      </c>
    </row>
    <row r="1859" spans="1:13" x14ac:dyDescent="0.25">
      <c r="A1859">
        <v>2135290620</v>
      </c>
      <c r="B1859" t="s">
        <v>7780</v>
      </c>
      <c r="C1859">
        <v>6798888</v>
      </c>
      <c r="D1859" t="s">
        <v>7781</v>
      </c>
      <c r="E1859" t="s">
        <v>7782</v>
      </c>
      <c r="F1859">
        <v>2</v>
      </c>
      <c r="I1859" t="str">
        <f>HYPERLINK("tel:+13107562555", "310-756-2555")</f>
        <v>310-756-2555</v>
      </c>
      <c r="J1859" t="s">
        <v>7783</v>
      </c>
      <c r="K1859" t="s">
        <v>1581</v>
      </c>
      <c r="M1859">
        <v>3107562555</v>
      </c>
    </row>
    <row r="1860" spans="1:13" x14ac:dyDescent="0.25">
      <c r="A1860">
        <v>1125292598</v>
      </c>
      <c r="B1860" t="s">
        <v>4140</v>
      </c>
      <c r="C1860">
        <v>2568000</v>
      </c>
      <c r="D1860" t="s">
        <v>4141</v>
      </c>
      <c r="E1860" t="s">
        <v>7784</v>
      </c>
      <c r="F1860">
        <v>2</v>
      </c>
      <c r="I1860" t="str">
        <f>HYPERLINK("tel:+13107665460", "310-766-5460")</f>
        <v>310-766-5460</v>
      </c>
      <c r="J1860" t="s">
        <v>7785</v>
      </c>
      <c r="K1860" t="s">
        <v>4039</v>
      </c>
      <c r="M1860">
        <v>3107665460</v>
      </c>
    </row>
    <row r="1861" spans="1:13" x14ac:dyDescent="0.25">
      <c r="A1861">
        <v>2923777952</v>
      </c>
      <c r="B1861" t="s">
        <v>7786</v>
      </c>
      <c r="C1861">
        <v>2850000</v>
      </c>
      <c r="D1861" t="s">
        <v>7787</v>
      </c>
      <c r="E1861" t="s">
        <v>7788</v>
      </c>
      <c r="F1861">
        <v>2</v>
      </c>
      <c r="I1861" t="str">
        <f>HYPERLINK("tel:+13107667342", "310-766-7342")</f>
        <v>310-766-7342</v>
      </c>
      <c r="J1861" t="s">
        <v>7789</v>
      </c>
      <c r="K1861" t="s">
        <v>7788</v>
      </c>
      <c r="M1861">
        <v>3107667342</v>
      </c>
    </row>
    <row r="1862" spans="1:13" x14ac:dyDescent="0.25">
      <c r="A1862">
        <v>2820718025</v>
      </c>
      <c r="B1862" t="s">
        <v>7687</v>
      </c>
      <c r="C1862">
        <v>1649000</v>
      </c>
      <c r="D1862" t="s">
        <v>7688</v>
      </c>
      <c r="E1862" t="s">
        <v>7790</v>
      </c>
      <c r="F1862">
        <v>2</v>
      </c>
      <c r="I1862" t="str">
        <f>HYPERLINK("tel:+13107700283", "310-770-0283")</f>
        <v>310-770-0283</v>
      </c>
      <c r="J1862" t="s">
        <v>7791</v>
      </c>
      <c r="K1862" t="s">
        <v>24</v>
      </c>
      <c r="M1862">
        <v>3107700283</v>
      </c>
    </row>
    <row r="1863" spans="1:13" x14ac:dyDescent="0.25">
      <c r="A1863">
        <v>2003707725</v>
      </c>
      <c r="B1863" t="s">
        <v>7792</v>
      </c>
      <c r="C1863">
        <v>2595000</v>
      </c>
      <c r="D1863" t="s">
        <v>7793</v>
      </c>
      <c r="E1863" t="s">
        <v>7794</v>
      </c>
      <c r="F1863">
        <v>2</v>
      </c>
      <c r="I1863" t="str">
        <f>HYPERLINK("tel:+13107706247", "310-770-6247")</f>
        <v>310-770-6247</v>
      </c>
      <c r="J1863" t="s">
        <v>7795</v>
      </c>
      <c r="K1863" t="s">
        <v>14</v>
      </c>
      <c r="M1863">
        <v>3107706247</v>
      </c>
    </row>
    <row r="1864" spans="1:13" x14ac:dyDescent="0.25">
      <c r="A1864">
        <v>2505820810</v>
      </c>
      <c r="B1864" t="s">
        <v>7796</v>
      </c>
      <c r="C1864">
        <v>1695000</v>
      </c>
      <c r="D1864" t="s">
        <v>7797</v>
      </c>
      <c r="E1864" t="s">
        <v>7798</v>
      </c>
      <c r="F1864">
        <v>2</v>
      </c>
      <c r="I1864" t="str">
        <f>HYPERLINK("tel:+13107709839", "310-770-9839")</f>
        <v>310-770-9839</v>
      </c>
      <c r="J1864" t="s">
        <v>7799</v>
      </c>
      <c r="K1864" t="s">
        <v>24</v>
      </c>
      <c r="M1864">
        <v>3107709839</v>
      </c>
    </row>
    <row r="1865" spans="1:13" x14ac:dyDescent="0.25">
      <c r="A1865">
        <v>2849508396</v>
      </c>
      <c r="B1865" t="s">
        <v>7800</v>
      </c>
      <c r="C1865">
        <v>4995000</v>
      </c>
      <c r="D1865" t="s">
        <v>7801</v>
      </c>
      <c r="E1865" t="s">
        <v>7802</v>
      </c>
      <c r="F1865">
        <v>2</v>
      </c>
      <c r="I1865" t="str">
        <f>HYPERLINK("tel:+13107731198", "310-773-1198")</f>
        <v>310-773-1198</v>
      </c>
      <c r="J1865" t="s">
        <v>7803</v>
      </c>
      <c r="K1865" t="s">
        <v>107</v>
      </c>
      <c r="M1865">
        <v>3107731198</v>
      </c>
    </row>
    <row r="1866" spans="1:13" x14ac:dyDescent="0.25">
      <c r="A1866">
        <v>1730895133</v>
      </c>
      <c r="B1866" t="s">
        <v>7804</v>
      </c>
      <c r="C1866">
        <v>9795000</v>
      </c>
      <c r="D1866" t="s">
        <v>7805</v>
      </c>
      <c r="E1866" t="s">
        <v>7806</v>
      </c>
      <c r="F1866">
        <v>2</v>
      </c>
      <c r="I1866" t="str">
        <f>HYPERLINK("tel:+13107741209", "310-774-1209")</f>
        <v>310-774-1209</v>
      </c>
      <c r="J1866" t="s">
        <v>7807</v>
      </c>
      <c r="K1866" t="s">
        <v>7808</v>
      </c>
      <c r="M1866">
        <v>3107741209</v>
      </c>
    </row>
    <row r="1867" spans="1:13" x14ac:dyDescent="0.25">
      <c r="A1867">
        <v>2598170891</v>
      </c>
      <c r="B1867" t="s">
        <v>7809</v>
      </c>
      <c r="C1867">
        <v>1200000</v>
      </c>
      <c r="D1867" t="s">
        <v>7810</v>
      </c>
      <c r="E1867" t="s">
        <v>7811</v>
      </c>
      <c r="F1867">
        <v>2</v>
      </c>
      <c r="I1867" t="str">
        <f>HYPERLINK("tel:+13107741347", "310-774-1347")</f>
        <v>310-774-1347</v>
      </c>
      <c r="J1867" t="s">
        <v>7812</v>
      </c>
      <c r="K1867" t="s">
        <v>24</v>
      </c>
      <c r="M1867">
        <v>3107741347</v>
      </c>
    </row>
    <row r="1868" spans="1:13" x14ac:dyDescent="0.25">
      <c r="A1868">
        <v>2801258905</v>
      </c>
      <c r="B1868" t="s">
        <v>7813</v>
      </c>
      <c r="C1868">
        <v>3995000</v>
      </c>
      <c r="D1868" t="s">
        <v>7814</v>
      </c>
      <c r="E1868" t="s">
        <v>7815</v>
      </c>
      <c r="F1868">
        <v>2</v>
      </c>
      <c r="I1868" t="str">
        <f>HYPERLINK("tel:+13107760945", "310-776-0945")</f>
        <v>310-776-0945</v>
      </c>
      <c r="J1868" t="s">
        <v>7816</v>
      </c>
      <c r="K1868" t="s">
        <v>112</v>
      </c>
      <c r="M1868">
        <v>3107760945</v>
      </c>
    </row>
    <row r="1869" spans="1:13" x14ac:dyDescent="0.25">
      <c r="A1869">
        <v>9439596864</v>
      </c>
      <c r="B1869" t="s">
        <v>7817</v>
      </c>
      <c r="C1869">
        <v>2150000</v>
      </c>
      <c r="D1869" t="s">
        <v>7818</v>
      </c>
      <c r="E1869" t="s">
        <v>7819</v>
      </c>
      <c r="F1869">
        <v>2</v>
      </c>
      <c r="I1869" t="str">
        <f>HYPERLINK("tel:+13107770011", "310-777-0011")</f>
        <v>310-777-0011</v>
      </c>
      <c r="J1869" t="s">
        <v>7820</v>
      </c>
      <c r="K1869" t="s">
        <v>14</v>
      </c>
      <c r="M1869">
        <v>3107770011</v>
      </c>
    </row>
    <row r="1870" spans="1:13" x14ac:dyDescent="0.25">
      <c r="A1870">
        <v>1343969149</v>
      </c>
      <c r="B1870" t="s">
        <v>1891</v>
      </c>
      <c r="C1870">
        <v>5295000</v>
      </c>
      <c r="D1870" t="s">
        <v>1892</v>
      </c>
      <c r="E1870" t="s">
        <v>7821</v>
      </c>
      <c r="F1870">
        <v>2</v>
      </c>
      <c r="I1870" t="str">
        <f>HYPERLINK("tel:+13107772863", "310-777-2863")</f>
        <v>310-777-2863</v>
      </c>
      <c r="J1870" t="s">
        <v>7822</v>
      </c>
      <c r="K1870" t="s">
        <v>635</v>
      </c>
      <c r="M1870">
        <v>3107772863</v>
      </c>
    </row>
    <row r="1871" spans="1:13" x14ac:dyDescent="0.25">
      <c r="A1871">
        <v>2324837490</v>
      </c>
      <c r="B1871" t="s">
        <v>7823</v>
      </c>
      <c r="C1871">
        <v>13999000</v>
      </c>
      <c r="D1871" t="s">
        <v>7824</v>
      </c>
      <c r="E1871" t="s">
        <v>7825</v>
      </c>
      <c r="F1871">
        <v>2</v>
      </c>
      <c r="I1871" t="str">
        <f>HYPERLINK("tel:+13107776305", "310-777-6305")</f>
        <v>310-777-6305</v>
      </c>
      <c r="J1871" t="s">
        <v>7826</v>
      </c>
      <c r="K1871" t="s">
        <v>653</v>
      </c>
      <c r="M1871">
        <v>3107776305</v>
      </c>
    </row>
    <row r="1872" spans="1:13" x14ac:dyDescent="0.25">
      <c r="A1872">
        <v>2263312643</v>
      </c>
      <c r="B1872" t="s">
        <v>7827</v>
      </c>
      <c r="C1872">
        <v>18000000</v>
      </c>
      <c r="D1872" t="s">
        <v>7828</v>
      </c>
      <c r="E1872" t="s">
        <v>7829</v>
      </c>
      <c r="F1872">
        <v>2</v>
      </c>
      <c r="I1872" t="str">
        <f>HYPERLINK("tel:+13107776369", "310-777-6369")</f>
        <v>310-777-6369</v>
      </c>
      <c r="J1872" t="s">
        <v>7830</v>
      </c>
      <c r="K1872" t="s">
        <v>249</v>
      </c>
      <c r="M1872">
        <v>3107776369</v>
      </c>
    </row>
    <row r="1873" spans="1:13" x14ac:dyDescent="0.25">
      <c r="A1873">
        <v>2914639572</v>
      </c>
      <c r="B1873" t="s">
        <v>7831</v>
      </c>
      <c r="C1873">
        <v>2895000</v>
      </c>
      <c r="D1873" t="s">
        <v>7832</v>
      </c>
      <c r="E1873" t="s">
        <v>7833</v>
      </c>
      <c r="F1873">
        <v>2</v>
      </c>
      <c r="I1873" t="str">
        <f>HYPERLINK("tel:+13107794578", "310-779-4578")</f>
        <v>310-779-4578</v>
      </c>
      <c r="J1873" t="s">
        <v>7834</v>
      </c>
      <c r="K1873" t="s">
        <v>24</v>
      </c>
      <c r="M1873">
        <v>3107794578</v>
      </c>
    </row>
    <row r="1874" spans="1:13" x14ac:dyDescent="0.25">
      <c r="A1874">
        <v>1165441225</v>
      </c>
      <c r="B1874" t="s">
        <v>7835</v>
      </c>
      <c r="C1874">
        <v>1090000</v>
      </c>
      <c r="D1874" t="s">
        <v>7836</v>
      </c>
      <c r="E1874" t="s">
        <v>7837</v>
      </c>
      <c r="F1874">
        <v>2</v>
      </c>
      <c r="I1874" t="str">
        <f>HYPERLINK("tel:+13107800080", "310-780-0080")</f>
        <v>310-780-0080</v>
      </c>
      <c r="J1874" t="s">
        <v>7838</v>
      </c>
      <c r="K1874" t="s">
        <v>7839</v>
      </c>
      <c r="M1874">
        <v>3107800080</v>
      </c>
    </row>
    <row r="1875" spans="1:13" x14ac:dyDescent="0.25">
      <c r="A1875">
        <v>2990420829</v>
      </c>
      <c r="B1875" t="s">
        <v>7840</v>
      </c>
      <c r="C1875">
        <v>2100000</v>
      </c>
      <c r="D1875" t="s">
        <v>7841</v>
      </c>
      <c r="E1875" t="s">
        <v>7842</v>
      </c>
      <c r="F1875">
        <v>2</v>
      </c>
      <c r="I1875" t="str">
        <f>HYPERLINK("tel:+13107801473", "310-780-1473")</f>
        <v>310-780-1473</v>
      </c>
      <c r="J1875" t="s">
        <v>7843</v>
      </c>
      <c r="K1875" t="s">
        <v>24</v>
      </c>
      <c r="M1875">
        <v>3107801473</v>
      </c>
    </row>
    <row r="1876" spans="1:13" x14ac:dyDescent="0.25">
      <c r="A1876">
        <v>1348754259</v>
      </c>
      <c r="B1876" t="s">
        <v>7844</v>
      </c>
      <c r="C1876">
        <v>2699000</v>
      </c>
      <c r="D1876" t="s">
        <v>7845</v>
      </c>
      <c r="E1876" t="s">
        <v>7846</v>
      </c>
      <c r="F1876">
        <v>2</v>
      </c>
      <c r="I1876" t="str">
        <f>HYPERLINK("tel:+13107801631", "310-780-1631")</f>
        <v>310-780-1631</v>
      </c>
      <c r="J1876" t="s">
        <v>7847</v>
      </c>
      <c r="K1876" t="s">
        <v>532</v>
      </c>
      <c r="M1876">
        <v>3107801631</v>
      </c>
    </row>
    <row r="1877" spans="1:13" x14ac:dyDescent="0.25">
      <c r="A1877">
        <v>2263331323</v>
      </c>
      <c r="B1877" t="s">
        <v>7848</v>
      </c>
      <c r="C1877">
        <v>4950000</v>
      </c>
      <c r="D1877" t="s">
        <v>7849</v>
      </c>
      <c r="E1877" t="s">
        <v>7850</v>
      </c>
      <c r="F1877">
        <v>2</v>
      </c>
      <c r="I1877" t="str">
        <f>HYPERLINK("tel:+13107951959", "310-795-1959")</f>
        <v>310-795-1959</v>
      </c>
      <c r="J1877" t="s">
        <v>7851</v>
      </c>
      <c r="K1877" t="s">
        <v>7852</v>
      </c>
      <c r="M1877">
        <v>3107951959</v>
      </c>
    </row>
    <row r="1878" spans="1:13" x14ac:dyDescent="0.25">
      <c r="A1878">
        <v>2580011004</v>
      </c>
      <c r="B1878" t="s">
        <v>7853</v>
      </c>
      <c r="C1878">
        <v>1475000</v>
      </c>
      <c r="D1878" t="s">
        <v>7854</v>
      </c>
      <c r="E1878" t="s">
        <v>7855</v>
      </c>
      <c r="F1878">
        <v>2</v>
      </c>
      <c r="I1878" t="str">
        <f>HYPERLINK("tel:+13107954406", "310-795-4406")</f>
        <v>310-795-4406</v>
      </c>
      <c r="J1878" t="s">
        <v>7856</v>
      </c>
      <c r="K1878" t="s">
        <v>24</v>
      </c>
      <c r="M1878">
        <v>3107954406</v>
      </c>
    </row>
    <row r="1879" spans="1:13" x14ac:dyDescent="0.25">
      <c r="A1879">
        <v>2876610641</v>
      </c>
      <c r="B1879" t="s">
        <v>7857</v>
      </c>
      <c r="C1879">
        <v>1450000</v>
      </c>
      <c r="D1879" t="s">
        <v>7858</v>
      </c>
      <c r="E1879" t="s">
        <v>7859</v>
      </c>
      <c r="F1879">
        <v>2</v>
      </c>
      <c r="I1879" t="str">
        <f>HYPERLINK("tel:+13107958908", "310-795-8908")</f>
        <v>310-795-8908</v>
      </c>
      <c r="J1879" t="s">
        <v>7860</v>
      </c>
      <c r="K1879" t="s">
        <v>24</v>
      </c>
      <c r="M1879">
        <v>3107958908</v>
      </c>
    </row>
    <row r="1880" spans="1:13" x14ac:dyDescent="0.25">
      <c r="A1880">
        <v>2565339595</v>
      </c>
      <c r="B1880" t="s">
        <v>7861</v>
      </c>
      <c r="C1880">
        <v>2150000</v>
      </c>
      <c r="D1880" t="s">
        <v>7862</v>
      </c>
      <c r="E1880" t="s">
        <v>7863</v>
      </c>
      <c r="F1880">
        <v>2</v>
      </c>
      <c r="I1880" t="str">
        <f>HYPERLINK("tel:+13108006385", "310-800-6385")</f>
        <v>310-800-6385</v>
      </c>
      <c r="J1880" t="s">
        <v>7864</v>
      </c>
      <c r="K1880" t="s">
        <v>24</v>
      </c>
      <c r="M1880">
        <v>3108006385</v>
      </c>
    </row>
    <row r="1881" spans="1:13" x14ac:dyDescent="0.25">
      <c r="A1881">
        <v>2990420829</v>
      </c>
      <c r="B1881" t="s">
        <v>7840</v>
      </c>
      <c r="C1881">
        <v>2100000</v>
      </c>
      <c r="D1881" t="s">
        <v>7841</v>
      </c>
      <c r="E1881" t="s">
        <v>7865</v>
      </c>
      <c r="F1881">
        <v>2</v>
      </c>
      <c r="I1881" t="str">
        <f>HYPERLINK("tel:+13108019805", "310-801-9805")</f>
        <v>310-801-9805</v>
      </c>
      <c r="J1881" t="s">
        <v>7866</v>
      </c>
      <c r="K1881" t="s">
        <v>24</v>
      </c>
      <c r="M1881">
        <v>3108019805</v>
      </c>
    </row>
    <row r="1882" spans="1:13" x14ac:dyDescent="0.25">
      <c r="A1882">
        <v>2349947521</v>
      </c>
      <c r="B1882" t="s">
        <v>7867</v>
      </c>
      <c r="C1882">
        <v>1475000</v>
      </c>
      <c r="D1882" t="s">
        <v>7868</v>
      </c>
      <c r="E1882" t="s">
        <v>7869</v>
      </c>
      <c r="F1882">
        <v>2</v>
      </c>
      <c r="I1882" t="str">
        <f>HYPERLINK("tel:+13108044011", "310-804-4011")</f>
        <v>310-804-4011</v>
      </c>
      <c r="J1882" t="s">
        <v>7870</v>
      </c>
      <c r="K1882" t="s">
        <v>7871</v>
      </c>
      <c r="M1882">
        <v>3108044011</v>
      </c>
    </row>
    <row r="1883" spans="1:13" x14ac:dyDescent="0.25">
      <c r="A1883">
        <v>2882647723</v>
      </c>
      <c r="B1883" t="s">
        <v>7872</v>
      </c>
      <c r="C1883">
        <v>1995000</v>
      </c>
      <c r="D1883" t="s">
        <v>7873</v>
      </c>
      <c r="E1883" t="s">
        <v>7874</v>
      </c>
      <c r="F1883">
        <v>2</v>
      </c>
      <c r="I1883" t="str">
        <f>HYPERLINK("tel:+13108045049", "310-804-5049")</f>
        <v>310-804-5049</v>
      </c>
      <c r="J1883" t="s">
        <v>7875</v>
      </c>
      <c r="K1883" t="s">
        <v>107</v>
      </c>
      <c r="M1883">
        <v>3108045049</v>
      </c>
    </row>
    <row r="1884" spans="1:13" x14ac:dyDescent="0.25">
      <c r="A1884">
        <v>2522255794</v>
      </c>
      <c r="B1884" t="s">
        <v>7876</v>
      </c>
      <c r="C1884">
        <v>550000</v>
      </c>
      <c r="D1884" t="s">
        <v>7877</v>
      </c>
      <c r="E1884" t="s">
        <v>7878</v>
      </c>
      <c r="F1884">
        <v>2</v>
      </c>
      <c r="I1884" t="str">
        <f>HYPERLINK("tel:+13108186554", "310-818-6554")</f>
        <v>310-818-6554</v>
      </c>
      <c r="J1884" t="s">
        <v>7879</v>
      </c>
      <c r="K1884" t="s">
        <v>7880</v>
      </c>
      <c r="M1884">
        <v>3108186554</v>
      </c>
    </row>
    <row r="1885" spans="1:13" x14ac:dyDescent="0.25">
      <c r="A1885">
        <v>1296474668</v>
      </c>
      <c r="B1885" t="s">
        <v>7881</v>
      </c>
      <c r="C1885">
        <v>1850000</v>
      </c>
      <c r="D1885" t="s">
        <v>7882</v>
      </c>
      <c r="E1885" t="s">
        <v>7883</v>
      </c>
      <c r="F1885">
        <v>2</v>
      </c>
      <c r="I1885" t="str">
        <f>HYPERLINK("tel:+13108206888", "310-820-6888")</f>
        <v>310-820-6888</v>
      </c>
      <c r="J1885" t="s">
        <v>7884</v>
      </c>
      <c r="K1885" t="s">
        <v>7885</v>
      </c>
      <c r="M1885">
        <v>3108206888</v>
      </c>
    </row>
    <row r="1886" spans="1:13" x14ac:dyDescent="0.25">
      <c r="A1886">
        <v>2224366372</v>
      </c>
      <c r="B1886" t="s">
        <v>7886</v>
      </c>
      <c r="C1886">
        <v>1999000</v>
      </c>
      <c r="D1886" t="s">
        <v>7887</v>
      </c>
      <c r="E1886" t="s">
        <v>7888</v>
      </c>
      <c r="F1886">
        <v>2</v>
      </c>
      <c r="I1886" t="str">
        <f>HYPERLINK("tel:+13108208955", "310-820-8955")</f>
        <v>310-820-8955</v>
      </c>
      <c r="J1886" t="s">
        <v>7889</v>
      </c>
      <c r="K1886" t="s">
        <v>7890</v>
      </c>
      <c r="M1886">
        <v>3108208955</v>
      </c>
    </row>
    <row r="1887" spans="1:13" x14ac:dyDescent="0.25">
      <c r="A1887">
        <v>1615691583</v>
      </c>
      <c r="B1887" t="s">
        <v>4156</v>
      </c>
      <c r="C1887">
        <v>4995000</v>
      </c>
      <c r="D1887" t="s">
        <v>4157</v>
      </c>
      <c r="E1887" t="s">
        <v>7891</v>
      </c>
      <c r="F1887">
        <v>2</v>
      </c>
      <c r="I1887" t="str">
        <f>HYPERLINK("tel:+13108212900", "310-821-2900")</f>
        <v>310-821-2900</v>
      </c>
      <c r="J1887" t="s">
        <v>7892</v>
      </c>
      <c r="K1887" t="s">
        <v>9</v>
      </c>
      <c r="M1887">
        <v>3108212900</v>
      </c>
    </row>
    <row r="1888" spans="1:13" x14ac:dyDescent="0.25">
      <c r="A1888">
        <v>9591186240</v>
      </c>
      <c r="B1888" t="s">
        <v>7893</v>
      </c>
      <c r="C1888">
        <v>3799000</v>
      </c>
      <c r="D1888" t="s">
        <v>7894</v>
      </c>
      <c r="E1888" t="s">
        <v>7895</v>
      </c>
      <c r="F1888">
        <v>2</v>
      </c>
      <c r="I1888" t="str">
        <f>HYPERLINK("tel:+13108293939", "310-829-3939")</f>
        <v>310-829-3939</v>
      </c>
      <c r="J1888" t="s">
        <v>7896</v>
      </c>
      <c r="K1888" t="s">
        <v>107</v>
      </c>
      <c r="M1888">
        <v>3108293939</v>
      </c>
    </row>
    <row r="1889" spans="1:13" x14ac:dyDescent="0.25">
      <c r="A1889">
        <v>1190540434</v>
      </c>
      <c r="B1889" t="s">
        <v>7897</v>
      </c>
      <c r="C1889">
        <v>2395000</v>
      </c>
      <c r="D1889" t="s">
        <v>7898</v>
      </c>
      <c r="E1889" t="s">
        <v>7899</v>
      </c>
      <c r="F1889">
        <v>2</v>
      </c>
      <c r="I1889" t="str">
        <f>HYPERLINK("tel:+13108297423", "310-829-7423")</f>
        <v>310-829-7423</v>
      </c>
      <c r="J1889" t="s">
        <v>7900</v>
      </c>
      <c r="K1889" t="s">
        <v>7901</v>
      </c>
      <c r="M1889">
        <v>3108297423</v>
      </c>
    </row>
    <row r="1890" spans="1:13" x14ac:dyDescent="0.25">
      <c r="A1890">
        <v>1693964584</v>
      </c>
      <c r="B1890" t="s">
        <v>7902</v>
      </c>
      <c r="C1890">
        <v>3695000</v>
      </c>
      <c r="D1890" t="s">
        <v>7903</v>
      </c>
      <c r="E1890" t="s">
        <v>7904</v>
      </c>
      <c r="F1890">
        <v>2</v>
      </c>
      <c r="I1890" t="str">
        <f>HYPERLINK("tel:+13108495443", "310-849-5443")</f>
        <v>310-849-5443</v>
      </c>
      <c r="J1890" t="s">
        <v>7905</v>
      </c>
      <c r="K1890" t="s">
        <v>24</v>
      </c>
      <c r="M1890">
        <v>3108495443</v>
      </c>
    </row>
    <row r="1891" spans="1:13" x14ac:dyDescent="0.25">
      <c r="A1891">
        <v>2821792529</v>
      </c>
      <c r="B1891" t="s">
        <v>7906</v>
      </c>
      <c r="C1891">
        <v>1999999</v>
      </c>
      <c r="D1891" t="s">
        <v>7907</v>
      </c>
      <c r="E1891" t="s">
        <v>7908</v>
      </c>
      <c r="F1891">
        <v>2</v>
      </c>
      <c r="I1891" t="str">
        <f>HYPERLINK("tel:+13108495653", "310-849-5653")</f>
        <v>310-849-5653</v>
      </c>
      <c r="J1891" t="s">
        <v>7909</v>
      </c>
      <c r="K1891" t="s">
        <v>153</v>
      </c>
      <c r="M1891">
        <v>3108495653</v>
      </c>
    </row>
    <row r="1892" spans="1:13" x14ac:dyDescent="0.25">
      <c r="A1892">
        <v>2183761016</v>
      </c>
      <c r="B1892" t="s">
        <v>7910</v>
      </c>
      <c r="C1892">
        <v>1499995</v>
      </c>
      <c r="D1892" t="s">
        <v>7911</v>
      </c>
      <c r="E1892" t="s">
        <v>7912</v>
      </c>
      <c r="F1892">
        <v>2</v>
      </c>
      <c r="I1892" t="str">
        <f>HYPERLINK("tel:+13108539266", "310-853-9266")</f>
        <v>310-853-9266</v>
      </c>
      <c r="J1892" t="s">
        <v>7913</v>
      </c>
      <c r="K1892" t="s">
        <v>2515</v>
      </c>
      <c r="M1892">
        <v>3108539266</v>
      </c>
    </row>
    <row r="1893" spans="1:13" x14ac:dyDescent="0.25">
      <c r="A1893">
        <v>1184102108</v>
      </c>
      <c r="B1893" t="s">
        <v>7914</v>
      </c>
      <c r="C1893">
        <v>4495000</v>
      </c>
      <c r="D1893" t="s">
        <v>7915</v>
      </c>
      <c r="E1893" t="s">
        <v>7916</v>
      </c>
      <c r="F1893">
        <v>2</v>
      </c>
      <c r="I1893" t="str">
        <f>HYPERLINK("tel:+13108549974", "310-854-9974")</f>
        <v>310-854-9974</v>
      </c>
      <c r="J1893" t="s">
        <v>7917</v>
      </c>
      <c r="K1893" t="s">
        <v>107</v>
      </c>
      <c r="M1893">
        <v>3108549974</v>
      </c>
    </row>
    <row r="1894" spans="1:13" x14ac:dyDescent="0.25">
      <c r="A1894">
        <v>2232836226</v>
      </c>
      <c r="B1894" t="s">
        <v>7918</v>
      </c>
      <c r="C1894">
        <v>8995000</v>
      </c>
      <c r="D1894" t="s">
        <v>7919</v>
      </c>
      <c r="E1894" t="s">
        <v>7920</v>
      </c>
      <c r="F1894">
        <v>2</v>
      </c>
      <c r="I1894" t="str">
        <f>HYPERLINK("tel:+13108578827", "310-857-8827")</f>
        <v>310-857-8827</v>
      </c>
      <c r="J1894" t="s">
        <v>7921</v>
      </c>
      <c r="K1894" t="s">
        <v>24</v>
      </c>
      <c r="M1894">
        <v>3108578827</v>
      </c>
    </row>
    <row r="1895" spans="1:13" x14ac:dyDescent="0.25">
      <c r="A1895">
        <v>1422119682</v>
      </c>
      <c r="B1895" t="s">
        <v>7922</v>
      </c>
      <c r="C1895">
        <v>1999000</v>
      </c>
      <c r="D1895" t="s">
        <v>7923</v>
      </c>
      <c r="E1895" t="s">
        <v>7924</v>
      </c>
      <c r="F1895">
        <v>2</v>
      </c>
      <c r="I1895" t="str">
        <f>HYPERLINK("tel:+13108604515", "310-860-4515")</f>
        <v>310-860-4515</v>
      </c>
      <c r="J1895" t="s">
        <v>7925</v>
      </c>
      <c r="M1895">
        <v>3108604515</v>
      </c>
    </row>
    <row r="1896" spans="1:13" x14ac:dyDescent="0.25">
      <c r="A1896">
        <v>2592530435</v>
      </c>
      <c r="B1896" t="s">
        <v>7926</v>
      </c>
      <c r="C1896">
        <v>595000</v>
      </c>
      <c r="D1896" t="s">
        <v>7927</v>
      </c>
      <c r="E1896" t="s">
        <v>7928</v>
      </c>
      <c r="F1896">
        <v>2</v>
      </c>
      <c r="I1896" t="str">
        <f>HYPERLINK("tel:+13108608851", "310-860-8851")</f>
        <v>310-860-8851</v>
      </c>
      <c r="J1896" t="s">
        <v>7929</v>
      </c>
      <c r="K1896" t="s">
        <v>1465</v>
      </c>
      <c r="M1896">
        <v>3108608851</v>
      </c>
    </row>
    <row r="1897" spans="1:13" x14ac:dyDescent="0.25">
      <c r="A1897">
        <v>2899939121</v>
      </c>
      <c r="B1897" t="s">
        <v>7930</v>
      </c>
      <c r="C1897">
        <v>8150000</v>
      </c>
      <c r="D1897" t="s">
        <v>7931</v>
      </c>
      <c r="E1897" t="s">
        <v>7932</v>
      </c>
      <c r="F1897">
        <v>2</v>
      </c>
      <c r="I1897" t="str">
        <f>HYPERLINK("tel:+13108608885", "310-860-8885")</f>
        <v>310-860-8885</v>
      </c>
      <c r="J1897" t="s">
        <v>7933</v>
      </c>
      <c r="K1897" t="s">
        <v>136</v>
      </c>
      <c r="M1897">
        <v>3108608885</v>
      </c>
    </row>
    <row r="1898" spans="1:13" x14ac:dyDescent="0.25">
      <c r="A1898">
        <v>2232007113</v>
      </c>
      <c r="B1898" t="s">
        <v>7934</v>
      </c>
      <c r="C1898">
        <v>2200000</v>
      </c>
      <c r="D1898" t="s">
        <v>7935</v>
      </c>
      <c r="E1898" t="s">
        <v>7936</v>
      </c>
      <c r="F1898">
        <v>2</v>
      </c>
      <c r="I1898" t="str">
        <f>HYPERLINK("tel:+13108614441", "310-861-4441")</f>
        <v>310-861-4441</v>
      </c>
      <c r="J1898" t="s">
        <v>7937</v>
      </c>
      <c r="K1898" t="s">
        <v>24</v>
      </c>
      <c r="M1898">
        <v>3108614441</v>
      </c>
    </row>
    <row r="1899" spans="1:13" x14ac:dyDescent="0.25">
      <c r="A1899">
        <v>2488257882</v>
      </c>
      <c r="B1899" t="s">
        <v>7938</v>
      </c>
      <c r="C1899">
        <v>835000</v>
      </c>
      <c r="D1899" t="s">
        <v>7939</v>
      </c>
      <c r="E1899" t="s">
        <v>7940</v>
      </c>
      <c r="F1899">
        <v>2</v>
      </c>
      <c r="I1899" t="str">
        <f>HYPERLINK("tel:+13108643093", "310-864-3093")</f>
        <v>310-864-3093</v>
      </c>
      <c r="J1899" t="s">
        <v>7941</v>
      </c>
      <c r="K1899" t="s">
        <v>5485</v>
      </c>
      <c r="M1899">
        <v>3108643093</v>
      </c>
    </row>
    <row r="1900" spans="1:13" x14ac:dyDescent="0.25">
      <c r="A1900">
        <v>1089797751</v>
      </c>
      <c r="B1900" t="s">
        <v>7942</v>
      </c>
      <c r="C1900">
        <v>1475000</v>
      </c>
      <c r="D1900" t="s">
        <v>7943</v>
      </c>
      <c r="E1900" t="s">
        <v>7944</v>
      </c>
      <c r="F1900">
        <v>2</v>
      </c>
      <c r="I1900" t="str">
        <f>HYPERLINK("tel:+13108645347", "310-864-5347")</f>
        <v>310-864-5347</v>
      </c>
      <c r="J1900" t="s">
        <v>7945</v>
      </c>
      <c r="K1900" t="s">
        <v>7946</v>
      </c>
      <c r="M1900">
        <v>3108645347</v>
      </c>
    </row>
    <row r="1901" spans="1:13" x14ac:dyDescent="0.25">
      <c r="A1901">
        <v>2953831971</v>
      </c>
      <c r="B1901" t="s">
        <v>7947</v>
      </c>
      <c r="C1901">
        <v>1999000</v>
      </c>
      <c r="D1901" t="s">
        <v>7948</v>
      </c>
      <c r="E1901" t="s">
        <v>7949</v>
      </c>
      <c r="F1901">
        <v>2</v>
      </c>
      <c r="I1901" t="str">
        <f>HYPERLINK("tel:+13108662222", "310-866-2222")</f>
        <v>310-866-2222</v>
      </c>
      <c r="J1901" t="s">
        <v>7950</v>
      </c>
      <c r="K1901" t="s">
        <v>107</v>
      </c>
      <c r="M1901">
        <v>3108662222</v>
      </c>
    </row>
    <row r="1902" spans="1:13" x14ac:dyDescent="0.25">
      <c r="A1902">
        <v>1697120816</v>
      </c>
      <c r="B1902" t="s">
        <v>7951</v>
      </c>
      <c r="C1902">
        <v>1250000</v>
      </c>
      <c r="D1902" t="s">
        <v>7952</v>
      </c>
      <c r="E1902" t="s">
        <v>7953</v>
      </c>
      <c r="F1902">
        <v>2</v>
      </c>
      <c r="I1902" t="str">
        <f>HYPERLINK("tel:+13108663333", "310-866-3333")</f>
        <v>310-866-3333</v>
      </c>
      <c r="J1902" t="s">
        <v>7954</v>
      </c>
      <c r="K1902" t="s">
        <v>3305</v>
      </c>
      <c r="M1902">
        <v>3108663333</v>
      </c>
    </row>
    <row r="1903" spans="1:13" x14ac:dyDescent="0.25">
      <c r="A1903">
        <v>1196222985</v>
      </c>
      <c r="B1903" t="s">
        <v>7955</v>
      </c>
      <c r="C1903">
        <v>2495000</v>
      </c>
      <c r="D1903" t="s">
        <v>7956</v>
      </c>
      <c r="E1903" t="s">
        <v>7957</v>
      </c>
      <c r="F1903">
        <v>2</v>
      </c>
      <c r="I1903" t="str">
        <f>HYPERLINK("tel:+13108663778", "310-866-3778")</f>
        <v>310-866-3778</v>
      </c>
      <c r="J1903" t="s">
        <v>7958</v>
      </c>
      <c r="K1903" t="s">
        <v>9</v>
      </c>
      <c r="M1903">
        <v>3108663778</v>
      </c>
    </row>
    <row r="1904" spans="1:13" x14ac:dyDescent="0.25">
      <c r="A1904">
        <v>2999408219</v>
      </c>
      <c r="B1904" t="s">
        <v>7959</v>
      </c>
      <c r="C1904">
        <v>1780000</v>
      </c>
      <c r="D1904" t="s">
        <v>7960</v>
      </c>
      <c r="E1904" t="s">
        <v>7961</v>
      </c>
      <c r="F1904">
        <v>2</v>
      </c>
      <c r="I1904" t="str">
        <f>HYPERLINK("tel:+13108665039", "310-866-5039")</f>
        <v>310-866-5039</v>
      </c>
      <c r="J1904" t="s">
        <v>7962</v>
      </c>
      <c r="K1904" t="s">
        <v>24</v>
      </c>
      <c r="M1904">
        <v>3108665039</v>
      </c>
    </row>
    <row r="1905" spans="1:13" x14ac:dyDescent="0.25">
      <c r="A1905">
        <v>9517972842</v>
      </c>
      <c r="B1905" t="s">
        <v>7963</v>
      </c>
      <c r="C1905">
        <v>1950000</v>
      </c>
      <c r="D1905" t="s">
        <v>7964</v>
      </c>
      <c r="E1905" t="s">
        <v>7965</v>
      </c>
      <c r="F1905">
        <v>2</v>
      </c>
      <c r="I1905" t="str">
        <f>HYPERLINK("tel:+13108668008", "310-866-8008")</f>
        <v>310-866-8008</v>
      </c>
      <c r="J1905" t="s">
        <v>7966</v>
      </c>
      <c r="K1905" t="s">
        <v>1707</v>
      </c>
      <c r="M1905">
        <v>3108668008</v>
      </c>
    </row>
    <row r="1906" spans="1:13" x14ac:dyDescent="0.25">
      <c r="A1906">
        <v>2455142980</v>
      </c>
      <c r="B1906" t="s">
        <v>7967</v>
      </c>
      <c r="C1906">
        <v>1679000</v>
      </c>
      <c r="D1906" t="s">
        <v>7968</v>
      </c>
      <c r="E1906" t="s">
        <v>7969</v>
      </c>
      <c r="F1906">
        <v>2</v>
      </c>
      <c r="I1906" t="str">
        <f>HYPERLINK("tel:+13108669711", "310-866-9711")</f>
        <v>310-866-9711</v>
      </c>
      <c r="J1906" t="s">
        <v>7970</v>
      </c>
      <c r="K1906" t="s">
        <v>24</v>
      </c>
      <c r="M1906">
        <v>3108669711</v>
      </c>
    </row>
    <row r="1907" spans="1:13" x14ac:dyDescent="0.25">
      <c r="A1907">
        <v>2908553851</v>
      </c>
      <c r="B1907" t="s">
        <v>7971</v>
      </c>
      <c r="C1907">
        <v>20000000</v>
      </c>
      <c r="D1907" t="s">
        <v>7972</v>
      </c>
      <c r="E1907" t="s">
        <v>7973</v>
      </c>
      <c r="F1907">
        <v>2</v>
      </c>
      <c r="I1907" t="str">
        <f>HYPERLINK("tel:+13108670847", "310-867-0847")</f>
        <v>310-867-0847</v>
      </c>
      <c r="J1907" t="s">
        <v>7974</v>
      </c>
      <c r="K1907" t="s">
        <v>63</v>
      </c>
      <c r="M1907">
        <v>3108670847</v>
      </c>
    </row>
    <row r="1908" spans="1:13" x14ac:dyDescent="0.25">
      <c r="A1908">
        <v>1311999159</v>
      </c>
      <c r="B1908" t="s">
        <v>7975</v>
      </c>
      <c r="C1908">
        <v>699000</v>
      </c>
      <c r="D1908" t="s">
        <v>7976</v>
      </c>
      <c r="E1908" t="s">
        <v>7977</v>
      </c>
      <c r="F1908">
        <v>2</v>
      </c>
      <c r="I1908" t="str">
        <f>HYPERLINK("tel:+13108694021", "310-869-4021")</f>
        <v>310-869-4021</v>
      </c>
      <c r="J1908" t="s">
        <v>7978</v>
      </c>
      <c r="K1908" t="s">
        <v>7979</v>
      </c>
      <c r="M1908">
        <v>3108694021</v>
      </c>
    </row>
    <row r="1909" spans="1:13" x14ac:dyDescent="0.25">
      <c r="A1909">
        <v>1369947363</v>
      </c>
      <c r="B1909" t="s">
        <v>7980</v>
      </c>
      <c r="C1909">
        <v>6499999</v>
      </c>
      <c r="D1909" t="s">
        <v>7981</v>
      </c>
      <c r="E1909" t="s">
        <v>7982</v>
      </c>
      <c r="F1909">
        <v>2</v>
      </c>
      <c r="I1909" t="str">
        <f>HYPERLINK("tel:+13108714208", "310-871-4208")</f>
        <v>310-871-4208</v>
      </c>
      <c r="J1909" t="s">
        <v>7983</v>
      </c>
      <c r="K1909" t="s">
        <v>63</v>
      </c>
      <c r="M1909">
        <v>3108714208</v>
      </c>
    </row>
    <row r="1910" spans="1:13" x14ac:dyDescent="0.25">
      <c r="A1910">
        <v>2037971574</v>
      </c>
      <c r="B1910" t="s">
        <v>7984</v>
      </c>
      <c r="C1910">
        <v>679000</v>
      </c>
      <c r="D1910" t="s">
        <v>7985</v>
      </c>
      <c r="E1910" t="s">
        <v>7986</v>
      </c>
      <c r="F1910">
        <v>2</v>
      </c>
      <c r="I1910" t="str">
        <f>HYPERLINK("tel:+13108721892", "310-872-1892")</f>
        <v>310-872-1892</v>
      </c>
      <c r="J1910" t="s">
        <v>7987</v>
      </c>
      <c r="K1910" t="s">
        <v>4969</v>
      </c>
      <c r="M1910">
        <v>3108721892</v>
      </c>
    </row>
    <row r="1911" spans="1:13" x14ac:dyDescent="0.25">
      <c r="A1911">
        <v>1048500789</v>
      </c>
      <c r="B1911" t="s">
        <v>7988</v>
      </c>
      <c r="C1911">
        <v>2350000</v>
      </c>
      <c r="D1911" t="s">
        <v>7989</v>
      </c>
      <c r="E1911" t="s">
        <v>7990</v>
      </c>
      <c r="F1911">
        <v>2</v>
      </c>
      <c r="I1911" t="str">
        <f>HYPERLINK("tel:+13108741465", "310-874-1465")</f>
        <v>310-874-1465</v>
      </c>
      <c r="J1911" t="s">
        <v>7991</v>
      </c>
      <c r="K1911" t="s">
        <v>4556</v>
      </c>
      <c r="M1911">
        <v>3108741465</v>
      </c>
    </row>
    <row r="1912" spans="1:13" x14ac:dyDescent="0.25">
      <c r="A1912">
        <v>2234615026</v>
      </c>
      <c r="B1912" t="s">
        <v>7992</v>
      </c>
      <c r="C1912">
        <v>625000</v>
      </c>
      <c r="D1912" t="s">
        <v>7993</v>
      </c>
      <c r="E1912" t="s">
        <v>7994</v>
      </c>
      <c r="F1912">
        <v>2</v>
      </c>
      <c r="I1912" t="str">
        <f>HYPERLINK("tel:+13108748928", "310-874-8928")</f>
        <v>310-874-8928</v>
      </c>
      <c r="J1912" t="s">
        <v>7995</v>
      </c>
      <c r="K1912" t="s">
        <v>7996</v>
      </c>
      <c r="M1912">
        <v>3108748928</v>
      </c>
    </row>
    <row r="1913" spans="1:13" x14ac:dyDescent="0.25">
      <c r="A1913">
        <v>2103862132</v>
      </c>
      <c r="B1913" t="s">
        <v>7997</v>
      </c>
      <c r="C1913">
        <v>650000</v>
      </c>
      <c r="D1913" t="s">
        <v>7998</v>
      </c>
      <c r="E1913" t="s">
        <v>7999</v>
      </c>
      <c r="F1913">
        <v>2</v>
      </c>
      <c r="I1913" t="str">
        <f>HYPERLINK("tel:+13108770632", "310-877-0632")</f>
        <v>310-877-0632</v>
      </c>
      <c r="J1913" t="s">
        <v>8000</v>
      </c>
      <c r="K1913" t="s">
        <v>8001</v>
      </c>
      <c r="M1913">
        <v>3108770632</v>
      </c>
    </row>
    <row r="1914" spans="1:13" x14ac:dyDescent="0.25">
      <c r="A1914">
        <v>1173253866</v>
      </c>
      <c r="B1914" t="s">
        <v>8002</v>
      </c>
      <c r="C1914">
        <v>8995000</v>
      </c>
      <c r="D1914" t="s">
        <v>8003</v>
      </c>
      <c r="E1914" t="s">
        <v>8004</v>
      </c>
      <c r="F1914">
        <v>2</v>
      </c>
      <c r="I1914" t="str">
        <f>HYPERLINK("tel:+13108800582", "310-880-0582")</f>
        <v>310-880-0582</v>
      </c>
      <c r="J1914" t="s">
        <v>8005</v>
      </c>
      <c r="K1914" t="s">
        <v>107</v>
      </c>
      <c r="M1914">
        <v>3108800582</v>
      </c>
    </row>
    <row r="1915" spans="1:13" x14ac:dyDescent="0.25">
      <c r="A1915">
        <v>1999291021</v>
      </c>
      <c r="B1915" t="s">
        <v>8006</v>
      </c>
      <c r="C1915">
        <v>5295000</v>
      </c>
      <c r="D1915" t="s">
        <v>8007</v>
      </c>
      <c r="E1915" t="s">
        <v>8008</v>
      </c>
      <c r="F1915">
        <v>2</v>
      </c>
      <c r="I1915" t="str">
        <f>HYPERLINK("tel:+13108804828", "310-880-4828")</f>
        <v>310-880-4828</v>
      </c>
      <c r="J1915" t="s">
        <v>8009</v>
      </c>
      <c r="K1915" t="s">
        <v>24</v>
      </c>
      <c r="M1915">
        <v>3108804828</v>
      </c>
    </row>
    <row r="1916" spans="1:13" x14ac:dyDescent="0.25">
      <c r="A1916">
        <v>2965049020</v>
      </c>
      <c r="B1916" t="s">
        <v>7670</v>
      </c>
      <c r="C1916">
        <v>5799000</v>
      </c>
      <c r="D1916" t="s">
        <v>7671</v>
      </c>
      <c r="E1916" t="s">
        <v>8010</v>
      </c>
      <c r="F1916">
        <v>2</v>
      </c>
      <c r="I1916" t="str">
        <f>HYPERLINK("tel:+13108809255", "310-880-9255")</f>
        <v>310-880-9255</v>
      </c>
      <c r="J1916" t="s">
        <v>8011</v>
      </c>
      <c r="K1916" t="s">
        <v>351</v>
      </c>
      <c r="M1916">
        <v>3108809255</v>
      </c>
    </row>
    <row r="1917" spans="1:13" x14ac:dyDescent="0.25">
      <c r="A1917">
        <v>1136582527</v>
      </c>
      <c r="B1917" t="s">
        <v>8012</v>
      </c>
      <c r="C1917">
        <v>599000</v>
      </c>
      <c r="D1917" t="s">
        <v>8013</v>
      </c>
      <c r="E1917" t="s">
        <v>8014</v>
      </c>
      <c r="F1917">
        <v>2</v>
      </c>
      <c r="I1917" t="str">
        <f>HYPERLINK("tel:+13108838921", "310-883-8921")</f>
        <v>310-883-8921</v>
      </c>
      <c r="J1917" t="s">
        <v>8015</v>
      </c>
      <c r="K1917" t="s">
        <v>6927</v>
      </c>
      <c r="M1917">
        <v>3108838921</v>
      </c>
    </row>
    <row r="1918" spans="1:13" x14ac:dyDescent="0.25">
      <c r="A1918">
        <v>1453978915</v>
      </c>
      <c r="B1918" t="s">
        <v>8016</v>
      </c>
      <c r="C1918">
        <v>1899999</v>
      </c>
      <c r="D1918" t="s">
        <v>8017</v>
      </c>
      <c r="E1918" t="s">
        <v>8018</v>
      </c>
      <c r="F1918">
        <v>2</v>
      </c>
      <c r="I1918" t="str">
        <f>HYPERLINK("tel:+13108903278", "310-890-3278")</f>
        <v>310-890-3278</v>
      </c>
      <c r="J1918" t="s">
        <v>8019</v>
      </c>
      <c r="K1918" t="s">
        <v>63</v>
      </c>
      <c r="M1918">
        <v>3108903278</v>
      </c>
    </row>
    <row r="1919" spans="1:13" x14ac:dyDescent="0.25">
      <c r="A1919">
        <v>1353581528</v>
      </c>
      <c r="B1919" t="s">
        <v>8020</v>
      </c>
      <c r="C1919">
        <v>350000</v>
      </c>
      <c r="D1919" t="s">
        <v>8021</v>
      </c>
      <c r="E1919" t="s">
        <v>8022</v>
      </c>
      <c r="F1919">
        <v>2</v>
      </c>
      <c r="I1919" t="str">
        <f>HYPERLINK("tel:+13108907895", "310-890-7895")</f>
        <v>310-890-7895</v>
      </c>
      <c r="J1919" t="s">
        <v>8023</v>
      </c>
      <c r="K1919" t="s">
        <v>8024</v>
      </c>
      <c r="M1919">
        <v>3108907895</v>
      </c>
    </row>
    <row r="1920" spans="1:13" x14ac:dyDescent="0.25">
      <c r="A1920">
        <v>9972891313</v>
      </c>
      <c r="B1920" t="s">
        <v>8025</v>
      </c>
      <c r="C1920">
        <v>3575000</v>
      </c>
      <c r="D1920" t="s">
        <v>8026</v>
      </c>
      <c r="E1920" t="s">
        <v>8027</v>
      </c>
      <c r="F1920">
        <v>2</v>
      </c>
      <c r="I1920" t="str">
        <f>HYPERLINK("tel:+13108913650", "310-891-3650")</f>
        <v>310-891-3650</v>
      </c>
      <c r="J1920" t="s">
        <v>8028</v>
      </c>
      <c r="K1920" t="s">
        <v>8029</v>
      </c>
      <c r="M1920">
        <v>3108913650</v>
      </c>
    </row>
    <row r="1921" spans="1:13" x14ac:dyDescent="0.25">
      <c r="A1921">
        <v>1895406599</v>
      </c>
      <c r="B1921" t="s">
        <v>8030</v>
      </c>
      <c r="C1921">
        <v>3995000</v>
      </c>
      <c r="D1921" t="s">
        <v>8031</v>
      </c>
      <c r="E1921" t="s">
        <v>8032</v>
      </c>
      <c r="F1921">
        <v>2</v>
      </c>
      <c r="I1921" t="str">
        <f>HYPERLINK("tel:+13108920225", "310-892-0225")</f>
        <v>310-892-0225</v>
      </c>
      <c r="J1921" t="s">
        <v>8033</v>
      </c>
      <c r="K1921" t="s">
        <v>4</v>
      </c>
      <c r="M1921">
        <v>3108920225</v>
      </c>
    </row>
    <row r="1922" spans="1:13" x14ac:dyDescent="0.25">
      <c r="A1922">
        <v>2042634188</v>
      </c>
      <c r="B1922" t="s">
        <v>8034</v>
      </c>
      <c r="C1922">
        <v>1269000</v>
      </c>
      <c r="D1922" t="s">
        <v>8035</v>
      </c>
      <c r="E1922" t="s">
        <v>8036</v>
      </c>
      <c r="F1922">
        <v>2</v>
      </c>
      <c r="I1922" t="str">
        <f>HYPERLINK("tel:+13108922783", "310-892-2783")</f>
        <v>310-892-2783</v>
      </c>
      <c r="J1922" t="s">
        <v>8037</v>
      </c>
      <c r="K1922" t="s">
        <v>8038</v>
      </c>
      <c r="M1922">
        <v>3108922783</v>
      </c>
    </row>
    <row r="1923" spans="1:13" x14ac:dyDescent="0.25">
      <c r="A1923">
        <v>1453978915</v>
      </c>
      <c r="B1923" t="s">
        <v>8016</v>
      </c>
      <c r="C1923">
        <v>1899999</v>
      </c>
      <c r="D1923" t="s">
        <v>8017</v>
      </c>
      <c r="E1923" t="s">
        <v>8039</v>
      </c>
      <c r="F1923">
        <v>2</v>
      </c>
      <c r="I1923" t="str">
        <f>HYPERLINK("tel:+13108953556", "310-895-3556")</f>
        <v>310-895-3556</v>
      </c>
      <c r="J1923" t="s">
        <v>8040</v>
      </c>
      <c r="K1923" t="s">
        <v>63</v>
      </c>
      <c r="M1923">
        <v>3108953556</v>
      </c>
    </row>
    <row r="1924" spans="1:13" x14ac:dyDescent="0.25">
      <c r="A1924">
        <v>2991672647</v>
      </c>
      <c r="B1924" t="s">
        <v>8041</v>
      </c>
      <c r="C1924">
        <v>1110000</v>
      </c>
      <c r="D1924" t="s">
        <v>8042</v>
      </c>
      <c r="E1924" t="s">
        <v>8043</v>
      </c>
      <c r="F1924">
        <v>2</v>
      </c>
      <c r="I1924" t="str">
        <f>HYPERLINK("tel:+13108978340", "310-897-8340")</f>
        <v>310-897-8340</v>
      </c>
      <c r="J1924" t="s">
        <v>8044</v>
      </c>
      <c r="K1924" t="s">
        <v>8045</v>
      </c>
      <c r="M1924">
        <v>3108978340</v>
      </c>
    </row>
    <row r="1925" spans="1:13" x14ac:dyDescent="0.25">
      <c r="A1925">
        <v>2945440837</v>
      </c>
      <c r="B1925" t="s">
        <v>8046</v>
      </c>
      <c r="C1925">
        <v>2399000</v>
      </c>
      <c r="D1925" t="s">
        <v>8047</v>
      </c>
      <c r="E1925" t="s">
        <v>8048</v>
      </c>
      <c r="F1925">
        <v>2</v>
      </c>
      <c r="I1925" t="str">
        <f>HYPERLINK("tel:+13108993588", "310-899-3588")</f>
        <v>310-899-3588</v>
      </c>
      <c r="J1925" t="s">
        <v>8049</v>
      </c>
      <c r="K1925" t="s">
        <v>24</v>
      </c>
      <c r="M1925">
        <v>3108993588</v>
      </c>
    </row>
    <row r="1926" spans="1:13" x14ac:dyDescent="0.25">
      <c r="A1926">
        <v>1738941427</v>
      </c>
      <c r="B1926" t="s">
        <v>8050</v>
      </c>
      <c r="C1926">
        <v>3995000</v>
      </c>
      <c r="D1926" t="s">
        <v>8051</v>
      </c>
      <c r="E1926" t="s">
        <v>8052</v>
      </c>
      <c r="F1926">
        <v>2</v>
      </c>
      <c r="I1926" t="str">
        <f>HYPERLINK("tel:+13109020221", "310-902-0221")</f>
        <v>310-902-0221</v>
      </c>
      <c r="J1926" t="s">
        <v>8053</v>
      </c>
      <c r="K1926" t="s">
        <v>351</v>
      </c>
      <c r="M1926">
        <v>3109020221</v>
      </c>
    </row>
    <row r="1927" spans="1:13" x14ac:dyDescent="0.25">
      <c r="A1927">
        <v>2619997361</v>
      </c>
      <c r="B1927" t="s">
        <v>8054</v>
      </c>
      <c r="C1927">
        <v>750000</v>
      </c>
      <c r="D1927" t="s">
        <v>8055</v>
      </c>
      <c r="E1927" t="s">
        <v>8056</v>
      </c>
      <c r="F1927">
        <v>2</v>
      </c>
      <c r="I1927" t="str">
        <f>HYPERLINK("tel:+13109027170", "310-902-7170")</f>
        <v>310-902-7170</v>
      </c>
      <c r="J1927" t="s">
        <v>8057</v>
      </c>
      <c r="K1927" t="s">
        <v>1281</v>
      </c>
      <c r="M1927">
        <v>3109027170</v>
      </c>
    </row>
    <row r="1928" spans="1:13" x14ac:dyDescent="0.25">
      <c r="A1928">
        <v>1401881127</v>
      </c>
      <c r="B1928" t="s">
        <v>8058</v>
      </c>
      <c r="C1928">
        <v>2299000</v>
      </c>
      <c r="D1928" t="s">
        <v>8059</v>
      </c>
      <c r="E1928" t="s">
        <v>8060</v>
      </c>
      <c r="F1928">
        <v>2</v>
      </c>
      <c r="I1928" t="str">
        <f>HYPERLINK("tel:+13109028301", "310-902-8301")</f>
        <v>310-902-8301</v>
      </c>
      <c r="J1928" t="s">
        <v>8061</v>
      </c>
      <c r="K1928" t="s">
        <v>24</v>
      </c>
      <c r="M1928">
        <v>3109028301</v>
      </c>
    </row>
    <row r="1929" spans="1:13" x14ac:dyDescent="0.25">
      <c r="A1929">
        <v>1212606702</v>
      </c>
      <c r="B1929" t="s">
        <v>8062</v>
      </c>
      <c r="C1929">
        <v>1698000</v>
      </c>
      <c r="D1929" t="s">
        <v>8063</v>
      </c>
      <c r="E1929" t="s">
        <v>8064</v>
      </c>
      <c r="F1929">
        <v>2</v>
      </c>
      <c r="I1929" t="str">
        <f>HYPERLINK("tel:+13109036293", "310-903-6293")</f>
        <v>310-903-6293</v>
      </c>
      <c r="J1929" t="s">
        <v>8065</v>
      </c>
      <c r="K1929" t="s">
        <v>193</v>
      </c>
      <c r="M1929">
        <v>3109036293</v>
      </c>
    </row>
    <row r="1930" spans="1:13" x14ac:dyDescent="0.25">
      <c r="A1930">
        <v>9726266140</v>
      </c>
      <c r="B1930" t="s">
        <v>8066</v>
      </c>
      <c r="C1930">
        <v>1619999</v>
      </c>
      <c r="D1930" t="s">
        <v>8067</v>
      </c>
      <c r="E1930" t="s">
        <v>8068</v>
      </c>
      <c r="F1930">
        <v>2</v>
      </c>
      <c r="I1930" t="str">
        <f>HYPERLINK("tel:+13109065858", "310-906-5858")</f>
        <v>310-906-5858</v>
      </c>
      <c r="J1930" t="s">
        <v>8069</v>
      </c>
      <c r="K1930" t="s">
        <v>8070</v>
      </c>
      <c r="M1930">
        <v>3109065858</v>
      </c>
    </row>
    <row r="1931" spans="1:13" x14ac:dyDescent="0.25">
      <c r="A1931">
        <v>9924112486</v>
      </c>
      <c r="B1931" t="s">
        <v>8071</v>
      </c>
      <c r="C1931">
        <v>89000</v>
      </c>
      <c r="D1931" t="s">
        <v>8072</v>
      </c>
      <c r="E1931" t="s">
        <v>8073</v>
      </c>
      <c r="F1931">
        <v>2</v>
      </c>
      <c r="I1931" t="str">
        <f>HYPERLINK("tel:+13109068989", "310-906-8989")</f>
        <v>310-906-8989</v>
      </c>
      <c r="J1931" t="s">
        <v>8074</v>
      </c>
      <c r="K1931" t="s">
        <v>8075</v>
      </c>
      <c r="M1931">
        <v>3109068989</v>
      </c>
    </row>
    <row r="1932" spans="1:13" x14ac:dyDescent="0.25">
      <c r="A1932">
        <v>2337378751</v>
      </c>
      <c r="B1932" t="s">
        <v>8076</v>
      </c>
      <c r="C1932">
        <v>2495000</v>
      </c>
      <c r="D1932" t="s">
        <v>8077</v>
      </c>
      <c r="E1932" t="s">
        <v>8078</v>
      </c>
      <c r="F1932">
        <v>2</v>
      </c>
      <c r="I1932" t="str">
        <f>HYPERLINK("tel:+13109085092", "310-908-5092")</f>
        <v>310-908-5092</v>
      </c>
      <c r="J1932" t="s">
        <v>8079</v>
      </c>
      <c r="K1932" t="s">
        <v>173</v>
      </c>
      <c r="M1932">
        <v>3109085092</v>
      </c>
    </row>
    <row r="1933" spans="1:13" x14ac:dyDescent="0.25">
      <c r="A1933">
        <v>1359126941</v>
      </c>
      <c r="B1933" t="s">
        <v>8080</v>
      </c>
      <c r="C1933">
        <v>3495000</v>
      </c>
      <c r="D1933" t="s">
        <v>8081</v>
      </c>
      <c r="E1933" t="s">
        <v>8082</v>
      </c>
      <c r="F1933">
        <v>2</v>
      </c>
      <c r="I1933" t="str">
        <f>HYPERLINK("tel:+13109086860", "310-908-6860")</f>
        <v>310-908-6860</v>
      </c>
      <c r="J1933" t="s">
        <v>8083</v>
      </c>
      <c r="K1933" t="s">
        <v>63</v>
      </c>
      <c r="M1933">
        <v>3109086860</v>
      </c>
    </row>
    <row r="1934" spans="1:13" x14ac:dyDescent="0.25">
      <c r="A1934">
        <v>1536347408</v>
      </c>
      <c r="B1934" t="s">
        <v>2479</v>
      </c>
      <c r="C1934">
        <v>3000000</v>
      </c>
      <c r="D1934" t="s">
        <v>2480</v>
      </c>
      <c r="E1934" t="s">
        <v>8084</v>
      </c>
      <c r="F1934">
        <v>2</v>
      </c>
      <c r="I1934" t="str">
        <f>HYPERLINK("tel:+13109095428", "310-909-5428")</f>
        <v>310-909-5428</v>
      </c>
      <c r="J1934" t="s">
        <v>8085</v>
      </c>
      <c r="K1934" t="s">
        <v>8084</v>
      </c>
      <c r="M1934">
        <v>3109095428</v>
      </c>
    </row>
    <row r="1935" spans="1:13" x14ac:dyDescent="0.25">
      <c r="A1935">
        <v>2805149084</v>
      </c>
      <c r="B1935" t="s">
        <v>8086</v>
      </c>
      <c r="C1935">
        <v>860000</v>
      </c>
      <c r="D1935" t="s">
        <v>8087</v>
      </c>
      <c r="E1935" t="s">
        <v>8088</v>
      </c>
      <c r="F1935">
        <v>2</v>
      </c>
      <c r="I1935" t="str">
        <f>HYPERLINK("tel:+13109180020", "310-918-0020")</f>
        <v>310-918-0020</v>
      </c>
      <c r="J1935" t="s">
        <v>8089</v>
      </c>
      <c r="K1935" t="s">
        <v>825</v>
      </c>
      <c r="M1935">
        <v>3109180020</v>
      </c>
    </row>
    <row r="1936" spans="1:13" x14ac:dyDescent="0.25">
      <c r="A1936">
        <v>2052730813</v>
      </c>
      <c r="B1936" t="s">
        <v>1126</v>
      </c>
      <c r="C1936">
        <v>2299000</v>
      </c>
      <c r="D1936" t="s">
        <v>1127</v>
      </c>
      <c r="E1936" t="s">
        <v>8090</v>
      </c>
      <c r="F1936">
        <v>2</v>
      </c>
      <c r="I1936" t="str">
        <f>HYPERLINK("tel:+13109196081", "310-919-6081")</f>
        <v>310-919-6081</v>
      </c>
      <c r="J1936" t="s">
        <v>8091</v>
      </c>
      <c r="K1936" t="s">
        <v>24</v>
      </c>
      <c r="M1936">
        <v>3109196081</v>
      </c>
    </row>
    <row r="1937" spans="1:13" x14ac:dyDescent="0.25">
      <c r="A1937">
        <v>2249867649</v>
      </c>
      <c r="B1937" t="s">
        <v>8092</v>
      </c>
      <c r="C1937">
        <v>1550000</v>
      </c>
      <c r="D1937" t="s">
        <v>8093</v>
      </c>
      <c r="E1937" t="s">
        <v>8094</v>
      </c>
      <c r="F1937">
        <v>2</v>
      </c>
      <c r="I1937" t="str">
        <f>HYPERLINK("tel:+13109198133", "310-919-8133")</f>
        <v>310-919-8133</v>
      </c>
      <c r="J1937" t="s">
        <v>8095</v>
      </c>
      <c r="K1937" t="s">
        <v>9</v>
      </c>
      <c r="M1937">
        <v>3109198133</v>
      </c>
    </row>
    <row r="1938" spans="1:13" x14ac:dyDescent="0.25">
      <c r="A1938">
        <v>1626331514</v>
      </c>
      <c r="B1938" t="s">
        <v>7423</v>
      </c>
      <c r="C1938">
        <v>3599999</v>
      </c>
      <c r="D1938" t="s">
        <v>7424</v>
      </c>
      <c r="E1938" t="s">
        <v>8096</v>
      </c>
      <c r="F1938">
        <v>2</v>
      </c>
      <c r="I1938" t="str">
        <f>HYPERLINK("tel:+13109205066", "310-920-5066")</f>
        <v>310-920-5066</v>
      </c>
      <c r="J1938" t="s">
        <v>8097</v>
      </c>
      <c r="K1938" t="s">
        <v>6750</v>
      </c>
      <c r="M1938">
        <v>3109205066</v>
      </c>
    </row>
    <row r="1939" spans="1:13" x14ac:dyDescent="0.25">
      <c r="A1939">
        <v>2230228344</v>
      </c>
      <c r="B1939" t="s">
        <v>8098</v>
      </c>
      <c r="C1939">
        <v>405000</v>
      </c>
      <c r="D1939" t="s">
        <v>8099</v>
      </c>
      <c r="E1939" t="s">
        <v>8100</v>
      </c>
      <c r="F1939">
        <v>2</v>
      </c>
      <c r="I1939" t="str">
        <f>HYPERLINK("tel:+13109219100", "310-921-9100")</f>
        <v>310-921-9100</v>
      </c>
      <c r="J1939" t="s">
        <v>8101</v>
      </c>
      <c r="K1939" t="s">
        <v>4361</v>
      </c>
      <c r="M1939">
        <v>3109219100</v>
      </c>
    </row>
    <row r="1940" spans="1:13" x14ac:dyDescent="0.25">
      <c r="A1940">
        <v>9561777688</v>
      </c>
      <c r="B1940" t="s">
        <v>8102</v>
      </c>
      <c r="C1940">
        <v>95000</v>
      </c>
      <c r="D1940" t="s">
        <v>8103</v>
      </c>
      <c r="E1940" t="s">
        <v>8104</v>
      </c>
      <c r="F1940">
        <v>2</v>
      </c>
      <c r="I1940" t="str">
        <f>HYPERLINK("tel:+13109223478", "310-922-3478")</f>
        <v>310-922-3478</v>
      </c>
      <c r="J1940" t="s">
        <v>8105</v>
      </c>
      <c r="K1940" t="s">
        <v>825</v>
      </c>
      <c r="M1940">
        <v>3109223478</v>
      </c>
    </row>
    <row r="1941" spans="1:13" x14ac:dyDescent="0.25">
      <c r="A1941">
        <v>2959496395</v>
      </c>
      <c r="B1941" t="s">
        <v>8106</v>
      </c>
      <c r="C1941">
        <v>4995000</v>
      </c>
      <c r="D1941" t="s">
        <v>8107</v>
      </c>
      <c r="E1941" t="s">
        <v>8108</v>
      </c>
      <c r="F1941">
        <v>2</v>
      </c>
      <c r="I1941" t="str">
        <f>HYPERLINK("tel:+13109244664", "310-924-4664")</f>
        <v>310-924-4664</v>
      </c>
      <c r="J1941" t="s">
        <v>8109</v>
      </c>
      <c r="K1941" t="s">
        <v>995</v>
      </c>
      <c r="M1941">
        <v>3109244664</v>
      </c>
    </row>
    <row r="1942" spans="1:13" x14ac:dyDescent="0.25">
      <c r="A1942">
        <v>2019739081</v>
      </c>
      <c r="B1942" t="s">
        <v>8110</v>
      </c>
      <c r="C1942">
        <v>264000</v>
      </c>
      <c r="D1942" t="s">
        <v>8111</v>
      </c>
      <c r="E1942" t="s">
        <v>8112</v>
      </c>
      <c r="F1942">
        <v>2</v>
      </c>
      <c r="I1942" t="str">
        <f>HYPERLINK("tel:+13109245106", "310-924-5106")</f>
        <v>310-924-5106</v>
      </c>
      <c r="J1942" t="s">
        <v>8113</v>
      </c>
      <c r="K1942" t="s">
        <v>9</v>
      </c>
      <c r="M1942">
        <v>3109245106</v>
      </c>
    </row>
    <row r="1943" spans="1:13" x14ac:dyDescent="0.25">
      <c r="A1943">
        <v>2771870598</v>
      </c>
      <c r="B1943" t="s">
        <v>8114</v>
      </c>
      <c r="C1943">
        <v>996000</v>
      </c>
      <c r="D1943" t="s">
        <v>8115</v>
      </c>
      <c r="E1943" t="s">
        <v>8116</v>
      </c>
      <c r="F1943">
        <v>2</v>
      </c>
      <c r="I1943" t="str">
        <f>HYPERLINK("tel:+13109247244", "310-924-7244")</f>
        <v>310-924-7244</v>
      </c>
      <c r="J1943" t="s">
        <v>8117</v>
      </c>
      <c r="K1943" t="s">
        <v>14</v>
      </c>
      <c r="M1943">
        <v>3109247244</v>
      </c>
    </row>
    <row r="1944" spans="1:13" x14ac:dyDescent="0.25">
      <c r="A1944">
        <v>2207382548</v>
      </c>
      <c r="B1944" t="s">
        <v>8118</v>
      </c>
      <c r="C1944">
        <v>715000</v>
      </c>
      <c r="D1944" t="s">
        <v>8119</v>
      </c>
      <c r="E1944" t="s">
        <v>8120</v>
      </c>
      <c r="F1944">
        <v>2</v>
      </c>
      <c r="I1944" t="str">
        <f>HYPERLINK("tel:+13109247415", "310-924-7415")</f>
        <v>310-924-7415</v>
      </c>
      <c r="J1944" t="s">
        <v>8121</v>
      </c>
      <c r="K1944" t="s">
        <v>8122</v>
      </c>
      <c r="M1944">
        <v>3109247415</v>
      </c>
    </row>
    <row r="1945" spans="1:13" x14ac:dyDescent="0.25">
      <c r="A1945">
        <v>2725590149</v>
      </c>
      <c r="B1945" t="s">
        <v>8123</v>
      </c>
      <c r="C1945">
        <v>2499000</v>
      </c>
      <c r="D1945" t="s">
        <v>8124</v>
      </c>
      <c r="E1945" t="s">
        <v>8125</v>
      </c>
      <c r="F1945">
        <v>2</v>
      </c>
      <c r="I1945" t="str">
        <f>HYPERLINK("tel:+13109249993", "310-924-9993")</f>
        <v>310-924-9993</v>
      </c>
      <c r="J1945" t="s">
        <v>8126</v>
      </c>
      <c r="K1945" t="s">
        <v>9</v>
      </c>
      <c r="M1945">
        <v>3109249993</v>
      </c>
    </row>
    <row r="1946" spans="1:13" x14ac:dyDescent="0.25">
      <c r="A1946">
        <v>1919006090</v>
      </c>
      <c r="B1946" t="s">
        <v>8127</v>
      </c>
      <c r="C1946">
        <v>1695000</v>
      </c>
      <c r="D1946" t="s">
        <v>8128</v>
      </c>
      <c r="E1946" t="s">
        <v>8129</v>
      </c>
      <c r="F1946">
        <v>2</v>
      </c>
      <c r="I1946" t="str">
        <f>HYPERLINK("tel:+13109262201", "310-926-2201")</f>
        <v>310-926-2201</v>
      </c>
      <c r="J1946" t="s">
        <v>8130</v>
      </c>
      <c r="K1946" t="s">
        <v>24</v>
      </c>
      <c r="M1946">
        <v>3109262201</v>
      </c>
    </row>
    <row r="1947" spans="1:13" x14ac:dyDescent="0.25">
      <c r="A1947">
        <v>1780653389</v>
      </c>
      <c r="B1947" t="s">
        <v>8131</v>
      </c>
      <c r="C1947">
        <v>3390000</v>
      </c>
      <c r="D1947" t="s">
        <v>8132</v>
      </c>
      <c r="E1947" t="s">
        <v>8133</v>
      </c>
      <c r="F1947">
        <v>2</v>
      </c>
      <c r="I1947" t="str">
        <f>HYPERLINK("tel:+13109268377", "310-926-8377")</f>
        <v>310-926-8377</v>
      </c>
      <c r="J1947" t="s">
        <v>8134</v>
      </c>
      <c r="K1947" t="s">
        <v>6772</v>
      </c>
      <c r="M1947">
        <v>3109268377</v>
      </c>
    </row>
    <row r="1948" spans="1:13" x14ac:dyDescent="0.25">
      <c r="A1948">
        <v>1753373497</v>
      </c>
      <c r="B1948" t="s">
        <v>8135</v>
      </c>
      <c r="C1948">
        <v>1699000</v>
      </c>
      <c r="D1948" t="s">
        <v>8136</v>
      </c>
      <c r="E1948" t="s">
        <v>8137</v>
      </c>
      <c r="F1948">
        <v>2</v>
      </c>
      <c r="I1948" t="str">
        <f>HYPERLINK("tel:+13109272038", "310-927-2038")</f>
        <v>310-927-2038</v>
      </c>
      <c r="J1948" t="s">
        <v>8138</v>
      </c>
      <c r="K1948" t="s">
        <v>14</v>
      </c>
      <c r="M1948">
        <v>3109272038</v>
      </c>
    </row>
    <row r="1949" spans="1:13" x14ac:dyDescent="0.25">
      <c r="A1949">
        <v>2214148503</v>
      </c>
      <c r="B1949" t="s">
        <v>8139</v>
      </c>
      <c r="C1949">
        <v>3899000</v>
      </c>
      <c r="D1949" t="s">
        <v>8140</v>
      </c>
      <c r="E1949" t="s">
        <v>8141</v>
      </c>
      <c r="F1949">
        <v>2</v>
      </c>
      <c r="I1949" t="str">
        <f>HYPERLINK("tel:+13109275855", "310-927-5855")</f>
        <v>310-927-5855</v>
      </c>
      <c r="J1949" t="s">
        <v>8142</v>
      </c>
      <c r="K1949" t="s">
        <v>136</v>
      </c>
      <c r="M1949">
        <v>3109275855</v>
      </c>
    </row>
    <row r="1950" spans="1:13" x14ac:dyDescent="0.25">
      <c r="A1950">
        <v>1072357290</v>
      </c>
      <c r="B1950" t="s">
        <v>8143</v>
      </c>
      <c r="C1950">
        <v>849999</v>
      </c>
      <c r="D1950" t="s">
        <v>8144</v>
      </c>
      <c r="E1950" t="s">
        <v>8145</v>
      </c>
      <c r="F1950">
        <v>2</v>
      </c>
      <c r="I1950" t="str">
        <f>HYPERLINK("tel:+13109299748", "310-929-9748")</f>
        <v>310-929-9748</v>
      </c>
      <c r="J1950" t="s">
        <v>8146</v>
      </c>
      <c r="K1950" t="s">
        <v>8147</v>
      </c>
      <c r="M1950">
        <v>3109299748</v>
      </c>
    </row>
    <row r="1951" spans="1:13" x14ac:dyDescent="0.25">
      <c r="A1951">
        <v>1717997968</v>
      </c>
      <c r="B1951" t="s">
        <v>8148</v>
      </c>
      <c r="C1951">
        <v>1945000</v>
      </c>
      <c r="D1951" t="s">
        <v>8149</v>
      </c>
      <c r="E1951" t="s">
        <v>8150</v>
      </c>
      <c r="F1951">
        <v>2</v>
      </c>
      <c r="I1951" t="str">
        <f>HYPERLINK("tel:+13109306222", "310-930-6222")</f>
        <v>310-930-6222</v>
      </c>
      <c r="J1951" t="s">
        <v>8151</v>
      </c>
      <c r="K1951" t="s">
        <v>1771</v>
      </c>
      <c r="M1951">
        <v>3109306222</v>
      </c>
    </row>
    <row r="1952" spans="1:13" x14ac:dyDescent="0.25">
      <c r="A1952">
        <v>2969573943</v>
      </c>
      <c r="B1952" t="s">
        <v>8152</v>
      </c>
      <c r="C1952">
        <v>1349000</v>
      </c>
      <c r="D1952" t="s">
        <v>8153</v>
      </c>
      <c r="E1952" t="s">
        <v>8154</v>
      </c>
      <c r="F1952">
        <v>2</v>
      </c>
      <c r="I1952" t="str">
        <f>HYPERLINK("tel:+13109361979", "310-936-1979")</f>
        <v>310-936-1979</v>
      </c>
      <c r="J1952" t="s">
        <v>8155</v>
      </c>
      <c r="K1952" t="s">
        <v>68</v>
      </c>
      <c r="M1952">
        <v>3109361979</v>
      </c>
    </row>
    <row r="1953" spans="1:13" x14ac:dyDescent="0.25">
      <c r="A1953">
        <v>1248427496</v>
      </c>
      <c r="B1953" t="s">
        <v>8156</v>
      </c>
      <c r="C1953">
        <v>795000</v>
      </c>
      <c r="D1953" t="s">
        <v>8157</v>
      </c>
      <c r="E1953" t="s">
        <v>8158</v>
      </c>
      <c r="F1953">
        <v>2</v>
      </c>
      <c r="I1953" t="str">
        <f>HYPERLINK("tel:+13109381849", "310-938-1849")</f>
        <v>310-938-1849</v>
      </c>
      <c r="J1953" t="s">
        <v>8159</v>
      </c>
      <c r="K1953" t="s">
        <v>7397</v>
      </c>
      <c r="M1953">
        <v>3109381849</v>
      </c>
    </row>
    <row r="1954" spans="1:13" x14ac:dyDescent="0.25">
      <c r="A1954">
        <v>1741898032</v>
      </c>
      <c r="B1954" t="s">
        <v>8160</v>
      </c>
      <c r="C1954">
        <v>899999</v>
      </c>
      <c r="D1954" t="s">
        <v>8161</v>
      </c>
      <c r="E1954" t="s">
        <v>8162</v>
      </c>
      <c r="F1954">
        <v>2</v>
      </c>
      <c r="I1954" t="str">
        <f>HYPERLINK("tel:+13109418216", "310-941-8216")</f>
        <v>310-941-8216</v>
      </c>
      <c r="J1954" t="s">
        <v>8163</v>
      </c>
      <c r="K1954" t="s">
        <v>8164</v>
      </c>
      <c r="M1954">
        <v>3109418216</v>
      </c>
    </row>
    <row r="1955" spans="1:13" x14ac:dyDescent="0.25">
      <c r="A1955">
        <v>2504330723</v>
      </c>
      <c r="B1955" t="s">
        <v>8165</v>
      </c>
      <c r="C1955">
        <v>1598000</v>
      </c>
      <c r="D1955" t="s">
        <v>8166</v>
      </c>
      <c r="E1955" t="s">
        <v>8167</v>
      </c>
      <c r="F1955">
        <v>2</v>
      </c>
      <c r="I1955" t="str">
        <f>HYPERLINK("tel:+13109445188", "310-944-5188")</f>
        <v>310-944-5188</v>
      </c>
      <c r="J1955" t="s">
        <v>8168</v>
      </c>
      <c r="K1955" t="s">
        <v>825</v>
      </c>
      <c r="M1955">
        <v>3109445188</v>
      </c>
    </row>
    <row r="1956" spans="1:13" x14ac:dyDescent="0.25">
      <c r="A1956">
        <v>1943390612</v>
      </c>
      <c r="B1956" t="s">
        <v>8169</v>
      </c>
      <c r="C1956">
        <v>1200000</v>
      </c>
      <c r="D1956" t="s">
        <v>8170</v>
      </c>
      <c r="E1956" t="s">
        <v>8171</v>
      </c>
      <c r="F1956">
        <v>2</v>
      </c>
      <c r="I1956" t="str">
        <f>HYPERLINK("tel:+13109461093", "310-946-1093")</f>
        <v>310-946-1093</v>
      </c>
      <c r="J1956" t="s">
        <v>8172</v>
      </c>
      <c r="K1956" t="s">
        <v>8173</v>
      </c>
      <c r="M1956">
        <v>3109461093</v>
      </c>
    </row>
    <row r="1957" spans="1:13" x14ac:dyDescent="0.25">
      <c r="A1957">
        <v>2031232736</v>
      </c>
      <c r="B1957" t="s">
        <v>8174</v>
      </c>
      <c r="C1957">
        <v>5999999</v>
      </c>
      <c r="D1957" t="s">
        <v>8175</v>
      </c>
      <c r="E1957" t="s">
        <v>8176</v>
      </c>
      <c r="F1957">
        <v>2</v>
      </c>
      <c r="I1957" t="str">
        <f>HYPERLINK("tel:+13109466533", "310-946-6533")</f>
        <v>310-946-6533</v>
      </c>
      <c r="J1957" t="s">
        <v>8177</v>
      </c>
      <c r="K1957" t="s">
        <v>8178</v>
      </c>
      <c r="M1957">
        <v>3109466533</v>
      </c>
    </row>
    <row r="1958" spans="1:13" x14ac:dyDescent="0.25">
      <c r="A1958">
        <v>2663455747</v>
      </c>
      <c r="B1958" t="s">
        <v>8179</v>
      </c>
      <c r="C1958">
        <v>849000</v>
      </c>
      <c r="D1958" t="s">
        <v>8180</v>
      </c>
      <c r="E1958" t="s">
        <v>8181</v>
      </c>
      <c r="F1958">
        <v>2</v>
      </c>
      <c r="I1958" t="str">
        <f>HYPERLINK("tel:+13109485553", "310-948-5553")</f>
        <v>310-948-5553</v>
      </c>
      <c r="J1958" t="s">
        <v>8182</v>
      </c>
      <c r="K1958" t="s">
        <v>24</v>
      </c>
      <c r="M1958">
        <v>3109485553</v>
      </c>
    </row>
    <row r="1959" spans="1:13" x14ac:dyDescent="0.25">
      <c r="A1959">
        <v>2265243075</v>
      </c>
      <c r="B1959" t="s">
        <v>8183</v>
      </c>
      <c r="C1959">
        <v>15000000</v>
      </c>
      <c r="D1959" t="s">
        <v>8184</v>
      </c>
      <c r="E1959" t="s">
        <v>8185</v>
      </c>
      <c r="F1959">
        <v>2</v>
      </c>
      <c r="I1959" t="str">
        <f>HYPERLINK("tel:+13109622288", "310-962-2288")</f>
        <v>310-962-2288</v>
      </c>
      <c r="J1959" t="s">
        <v>8186</v>
      </c>
      <c r="K1959" t="s">
        <v>917</v>
      </c>
      <c r="M1959">
        <v>3109622288</v>
      </c>
    </row>
    <row r="1960" spans="1:13" x14ac:dyDescent="0.25">
      <c r="A1960">
        <v>2991290815</v>
      </c>
      <c r="B1960" t="s">
        <v>8187</v>
      </c>
      <c r="C1960">
        <v>3999000</v>
      </c>
      <c r="D1960" t="s">
        <v>8188</v>
      </c>
      <c r="E1960" t="s">
        <v>8189</v>
      </c>
      <c r="F1960">
        <v>2</v>
      </c>
      <c r="I1960" t="str">
        <f>HYPERLINK("tel:+13109623442", "310-962-3442")</f>
        <v>310-962-3442</v>
      </c>
      <c r="J1960" t="s">
        <v>8190</v>
      </c>
      <c r="K1960" t="s">
        <v>2815</v>
      </c>
      <c r="M1960">
        <v>3109623442</v>
      </c>
    </row>
    <row r="1961" spans="1:13" x14ac:dyDescent="0.25">
      <c r="A1961">
        <v>9579250481</v>
      </c>
      <c r="B1961" t="s">
        <v>8191</v>
      </c>
      <c r="C1961">
        <v>2250000</v>
      </c>
      <c r="D1961" t="s">
        <v>8192</v>
      </c>
      <c r="E1961" t="s">
        <v>8193</v>
      </c>
      <c r="F1961">
        <v>2</v>
      </c>
      <c r="I1961" t="str">
        <f>HYPERLINK("tel:+13109627443", "310-962-7443")</f>
        <v>310-962-7443</v>
      </c>
      <c r="J1961" t="s">
        <v>8194</v>
      </c>
      <c r="K1961" t="s">
        <v>63</v>
      </c>
      <c r="M1961">
        <v>3109627443</v>
      </c>
    </row>
    <row r="1962" spans="1:13" x14ac:dyDescent="0.25">
      <c r="A1962">
        <v>2491953050</v>
      </c>
      <c r="B1962" t="s">
        <v>8195</v>
      </c>
      <c r="C1962">
        <v>11499000</v>
      </c>
      <c r="D1962" t="s">
        <v>8196</v>
      </c>
      <c r="E1962" t="s">
        <v>8197</v>
      </c>
      <c r="F1962">
        <v>2</v>
      </c>
      <c r="I1962" t="str">
        <f>HYPERLINK("tel:+13109632792", "310-963-2792")</f>
        <v>310-963-2792</v>
      </c>
      <c r="J1962" t="s">
        <v>8198</v>
      </c>
      <c r="K1962" t="s">
        <v>8197</v>
      </c>
      <c r="M1962">
        <v>3109632792</v>
      </c>
    </row>
    <row r="1963" spans="1:13" x14ac:dyDescent="0.25">
      <c r="A1963">
        <v>2497915601</v>
      </c>
      <c r="B1963" t="s">
        <v>8199</v>
      </c>
      <c r="C1963">
        <v>2350000</v>
      </c>
      <c r="D1963" t="s">
        <v>8200</v>
      </c>
      <c r="E1963" t="s">
        <v>8201</v>
      </c>
      <c r="F1963">
        <v>2</v>
      </c>
      <c r="I1963" t="str">
        <f>HYPERLINK("tel:+13109633891", "310-963-3891")</f>
        <v>310-963-3891</v>
      </c>
      <c r="J1963" t="s">
        <v>8202</v>
      </c>
      <c r="K1963" t="s">
        <v>3988</v>
      </c>
      <c r="M1963">
        <v>3109633891</v>
      </c>
    </row>
    <row r="1964" spans="1:13" x14ac:dyDescent="0.25">
      <c r="A1964">
        <v>2910671529</v>
      </c>
      <c r="B1964" t="s">
        <v>8203</v>
      </c>
      <c r="C1964">
        <v>1100000</v>
      </c>
      <c r="D1964" t="s">
        <v>8204</v>
      </c>
      <c r="E1964" t="s">
        <v>8205</v>
      </c>
      <c r="F1964">
        <v>2</v>
      </c>
      <c r="I1964" t="str">
        <f>HYPERLINK("tel:+13109635595", "310-963-5595")</f>
        <v>310-963-5595</v>
      </c>
      <c r="J1964" t="s">
        <v>8206</v>
      </c>
      <c r="K1964" t="s">
        <v>4</v>
      </c>
      <c r="M1964">
        <v>3109635595</v>
      </c>
    </row>
    <row r="1965" spans="1:13" x14ac:dyDescent="0.25">
      <c r="A1965">
        <v>2894594347</v>
      </c>
      <c r="B1965" t="s">
        <v>185</v>
      </c>
      <c r="C1965">
        <v>8999000</v>
      </c>
      <c r="D1965" t="s">
        <v>186</v>
      </c>
      <c r="E1965" t="s">
        <v>8207</v>
      </c>
      <c r="F1965">
        <v>2</v>
      </c>
      <c r="I1965" t="str">
        <f>HYPERLINK("tel:+13109636888", "310-963-6888")</f>
        <v>310-963-6888</v>
      </c>
      <c r="J1965" t="s">
        <v>8208</v>
      </c>
      <c r="K1965" t="s">
        <v>63</v>
      </c>
      <c r="M1965">
        <v>3109636888</v>
      </c>
    </row>
    <row r="1966" spans="1:13" x14ac:dyDescent="0.25">
      <c r="A1966">
        <v>2546324060</v>
      </c>
      <c r="B1966" t="s">
        <v>8209</v>
      </c>
      <c r="C1966">
        <v>2195000</v>
      </c>
      <c r="D1966" t="s">
        <v>8210</v>
      </c>
      <c r="E1966" t="s">
        <v>8211</v>
      </c>
      <c r="F1966">
        <v>2</v>
      </c>
      <c r="I1966" t="str">
        <f>HYPERLINK("tel:+13109639826", "310-963-9826")</f>
        <v>310-963-9826</v>
      </c>
      <c r="J1966" t="s">
        <v>8212</v>
      </c>
      <c r="K1966" t="s">
        <v>431</v>
      </c>
      <c r="M1966">
        <v>3109639826</v>
      </c>
    </row>
    <row r="1967" spans="1:13" x14ac:dyDescent="0.25">
      <c r="A1967">
        <v>2515675466</v>
      </c>
      <c r="B1967" t="s">
        <v>8213</v>
      </c>
      <c r="C1967">
        <v>1895000</v>
      </c>
      <c r="D1967" t="s">
        <v>8214</v>
      </c>
      <c r="E1967" t="s">
        <v>8215</v>
      </c>
      <c r="F1967">
        <v>2</v>
      </c>
      <c r="I1967" t="str">
        <f>HYPERLINK("tel:+13109680419", "310-968-0419")</f>
        <v>310-968-0419</v>
      </c>
      <c r="J1967" t="s">
        <v>8216</v>
      </c>
      <c r="K1967" t="s">
        <v>117</v>
      </c>
      <c r="M1967">
        <v>3109680419</v>
      </c>
    </row>
    <row r="1968" spans="1:13" x14ac:dyDescent="0.25">
      <c r="A1968">
        <v>1178694694</v>
      </c>
      <c r="B1968" t="s">
        <v>8217</v>
      </c>
      <c r="C1968">
        <v>919000</v>
      </c>
      <c r="D1968" t="s">
        <v>8218</v>
      </c>
      <c r="E1968" t="s">
        <v>8219</v>
      </c>
      <c r="F1968">
        <v>2</v>
      </c>
      <c r="I1968" t="str">
        <f>HYPERLINK("tel:+13109710434", "310-971-0434")</f>
        <v>310-971-0434</v>
      </c>
      <c r="J1968" t="s">
        <v>8220</v>
      </c>
      <c r="K1968" t="s">
        <v>8221</v>
      </c>
      <c r="M1968">
        <v>3109710434</v>
      </c>
    </row>
    <row r="1969" spans="1:13" x14ac:dyDescent="0.25">
      <c r="A1969">
        <v>1841165057</v>
      </c>
      <c r="B1969" t="s">
        <v>8222</v>
      </c>
      <c r="C1969">
        <v>1155000</v>
      </c>
      <c r="D1969" t="s">
        <v>8223</v>
      </c>
      <c r="E1969" t="s">
        <v>8224</v>
      </c>
      <c r="F1969">
        <v>2</v>
      </c>
      <c r="I1969" t="str">
        <f>HYPERLINK("tel:+13109717866", "310-971-7866")</f>
        <v>310-971-7866</v>
      </c>
      <c r="J1969" t="s">
        <v>8225</v>
      </c>
      <c r="K1969" t="s">
        <v>4764</v>
      </c>
      <c r="M1969">
        <v>3109717866</v>
      </c>
    </row>
    <row r="1970" spans="1:13" x14ac:dyDescent="0.25">
      <c r="A1970">
        <v>2361598465</v>
      </c>
      <c r="B1970" t="s">
        <v>8226</v>
      </c>
      <c r="C1970">
        <v>799000</v>
      </c>
      <c r="D1970" t="s">
        <v>8227</v>
      </c>
      <c r="E1970" t="s">
        <v>8228</v>
      </c>
      <c r="F1970">
        <v>2</v>
      </c>
      <c r="I1970" t="str">
        <f>HYPERLINK("tel:+13109742323", "310-974-2323")</f>
        <v>310-974-2323</v>
      </c>
      <c r="J1970" t="s">
        <v>8229</v>
      </c>
      <c r="K1970" t="s">
        <v>8230</v>
      </c>
      <c r="M1970">
        <v>3109742323</v>
      </c>
    </row>
    <row r="1971" spans="1:13" x14ac:dyDescent="0.25">
      <c r="A1971">
        <v>1091231527</v>
      </c>
      <c r="B1971" t="s">
        <v>8231</v>
      </c>
      <c r="C1971">
        <v>6499000</v>
      </c>
      <c r="D1971" t="s">
        <v>8232</v>
      </c>
      <c r="E1971" t="s">
        <v>8233</v>
      </c>
      <c r="F1971">
        <v>2</v>
      </c>
      <c r="I1971" t="str">
        <f>HYPERLINK("tel:+13109759172", "310-975-9172")</f>
        <v>310-975-9172</v>
      </c>
      <c r="J1971" t="s">
        <v>8234</v>
      </c>
      <c r="K1971" t="s">
        <v>4</v>
      </c>
      <c r="M1971">
        <v>3109759172</v>
      </c>
    </row>
    <row r="1972" spans="1:13" x14ac:dyDescent="0.25">
      <c r="A1972">
        <v>2925525599</v>
      </c>
      <c r="B1972" t="s">
        <v>8235</v>
      </c>
      <c r="C1972">
        <v>785000</v>
      </c>
      <c r="D1972" t="s">
        <v>8236</v>
      </c>
      <c r="E1972" t="s">
        <v>8237</v>
      </c>
      <c r="F1972">
        <v>2</v>
      </c>
      <c r="I1972" t="str">
        <f>HYPERLINK("tel:+13109778495", "310-977-8495")</f>
        <v>310-977-8495</v>
      </c>
      <c r="J1972" t="s">
        <v>8238</v>
      </c>
      <c r="K1972" t="s">
        <v>8239</v>
      </c>
      <c r="M1972">
        <v>3109778495</v>
      </c>
    </row>
    <row r="1973" spans="1:13" x14ac:dyDescent="0.25">
      <c r="A1973">
        <v>2787358708</v>
      </c>
      <c r="B1973" t="s">
        <v>8240</v>
      </c>
      <c r="C1973">
        <v>18995000</v>
      </c>
      <c r="D1973" t="s">
        <v>8241</v>
      </c>
      <c r="E1973" t="s">
        <v>8242</v>
      </c>
      <c r="F1973">
        <v>2</v>
      </c>
      <c r="I1973" t="str">
        <f>HYPERLINK("tel:+13109800261", "310-980-0261")</f>
        <v>310-980-0261</v>
      </c>
      <c r="J1973" t="s">
        <v>8243</v>
      </c>
      <c r="M1973">
        <v>3109800261</v>
      </c>
    </row>
    <row r="1974" spans="1:13" x14ac:dyDescent="0.25">
      <c r="A1974">
        <v>2694215894</v>
      </c>
      <c r="B1974" t="s">
        <v>7217</v>
      </c>
      <c r="C1974">
        <v>549000</v>
      </c>
      <c r="D1974" t="s">
        <v>7218</v>
      </c>
      <c r="E1974" t="s">
        <v>8244</v>
      </c>
      <c r="F1974">
        <v>2</v>
      </c>
      <c r="I1974" t="str">
        <f>HYPERLINK("tel:+13109825503", "310-982-5503")</f>
        <v>310-982-5503</v>
      </c>
      <c r="J1974" t="s">
        <v>8245</v>
      </c>
      <c r="K1974" t="s">
        <v>532</v>
      </c>
      <c r="M1974">
        <v>3109825503</v>
      </c>
    </row>
    <row r="1975" spans="1:13" x14ac:dyDescent="0.25">
      <c r="A1975">
        <v>1556263777</v>
      </c>
      <c r="B1975" t="s">
        <v>8246</v>
      </c>
      <c r="C1975">
        <v>2100000</v>
      </c>
      <c r="D1975" t="s">
        <v>8247</v>
      </c>
      <c r="E1975" t="s">
        <v>8248</v>
      </c>
      <c r="F1975">
        <v>2</v>
      </c>
      <c r="I1975" t="str">
        <f>HYPERLINK("tel:+13109854334", "310-985-4334")</f>
        <v>310-985-4334</v>
      </c>
      <c r="J1975" t="s">
        <v>8249</v>
      </c>
      <c r="K1975" t="s">
        <v>8250</v>
      </c>
      <c r="M1975">
        <v>3109854334</v>
      </c>
    </row>
    <row r="1976" spans="1:13" x14ac:dyDescent="0.25">
      <c r="A1976">
        <v>9669535485</v>
      </c>
      <c r="B1976" t="s">
        <v>8251</v>
      </c>
      <c r="C1976">
        <v>650000</v>
      </c>
      <c r="D1976" t="s">
        <v>8252</v>
      </c>
      <c r="E1976" t="s">
        <v>8253</v>
      </c>
      <c r="F1976">
        <v>2</v>
      </c>
      <c r="I1976" t="str">
        <f>HYPERLINK("tel:+13109880614", "310-988-0614")</f>
        <v>310-988-0614</v>
      </c>
      <c r="J1976" t="s">
        <v>8254</v>
      </c>
      <c r="K1976" t="s">
        <v>825</v>
      </c>
      <c r="M1976">
        <v>3109880614</v>
      </c>
    </row>
    <row r="1977" spans="1:13" x14ac:dyDescent="0.25">
      <c r="A1977">
        <v>2593858711</v>
      </c>
      <c r="B1977" t="s">
        <v>8255</v>
      </c>
      <c r="C1977">
        <v>515000</v>
      </c>
      <c r="D1977" t="s">
        <v>8256</v>
      </c>
      <c r="E1977" t="s">
        <v>8257</v>
      </c>
      <c r="F1977">
        <v>2</v>
      </c>
      <c r="I1977" t="str">
        <f>HYPERLINK("tel:+13109890997", "310-989-0997")</f>
        <v>310-989-0997</v>
      </c>
      <c r="J1977" t="s">
        <v>8258</v>
      </c>
      <c r="K1977" t="s">
        <v>8257</v>
      </c>
      <c r="M1977">
        <v>3109890997</v>
      </c>
    </row>
    <row r="1978" spans="1:13" x14ac:dyDescent="0.25">
      <c r="A1978">
        <v>2555433152</v>
      </c>
      <c r="B1978" t="s">
        <v>8259</v>
      </c>
      <c r="C1978">
        <v>1275000</v>
      </c>
      <c r="D1978" t="s">
        <v>8260</v>
      </c>
      <c r="E1978" t="s">
        <v>8261</v>
      </c>
      <c r="F1978">
        <v>2</v>
      </c>
      <c r="I1978" t="str">
        <f>HYPERLINK("tel:+13109902131", "310-990-2131")</f>
        <v>310-990-2131</v>
      </c>
      <c r="J1978" t="s">
        <v>8262</v>
      </c>
      <c r="K1978" t="s">
        <v>173</v>
      </c>
      <c r="M1978">
        <v>3109902131</v>
      </c>
    </row>
    <row r="1979" spans="1:13" x14ac:dyDescent="0.25">
      <c r="A1979">
        <v>2937913116</v>
      </c>
      <c r="B1979" t="s">
        <v>8263</v>
      </c>
      <c r="C1979">
        <v>360000</v>
      </c>
      <c r="D1979" t="s">
        <v>8264</v>
      </c>
      <c r="E1979" t="s">
        <v>8265</v>
      </c>
      <c r="F1979">
        <v>2</v>
      </c>
      <c r="I1979" t="str">
        <f>HYPERLINK("tel:+13109937097", "310-993-7097")</f>
        <v>310-993-7097</v>
      </c>
      <c r="J1979" t="s">
        <v>8266</v>
      </c>
      <c r="K1979" t="s">
        <v>58</v>
      </c>
      <c r="M1979">
        <v>3109937097</v>
      </c>
    </row>
    <row r="1980" spans="1:13" x14ac:dyDescent="0.25">
      <c r="A1980">
        <v>1049738331</v>
      </c>
      <c r="B1980" t="s">
        <v>8267</v>
      </c>
      <c r="C1980">
        <v>5299000</v>
      </c>
      <c r="D1980" t="s">
        <v>8268</v>
      </c>
      <c r="E1980" t="s">
        <v>8269</v>
      </c>
      <c r="F1980">
        <v>2</v>
      </c>
      <c r="I1980" t="str">
        <f>HYPERLINK("tel:+13109942569", "310-994-2569")</f>
        <v>310-994-2569</v>
      </c>
      <c r="J1980" t="s">
        <v>8270</v>
      </c>
      <c r="K1980" t="s">
        <v>8271</v>
      </c>
      <c r="M1980">
        <v>3109942569</v>
      </c>
    </row>
    <row r="1981" spans="1:13" x14ac:dyDescent="0.25">
      <c r="A1981">
        <v>1199991214</v>
      </c>
      <c r="B1981" t="s">
        <v>8272</v>
      </c>
      <c r="C1981">
        <v>799900</v>
      </c>
      <c r="D1981" t="s">
        <v>8273</v>
      </c>
      <c r="E1981" t="s">
        <v>8274</v>
      </c>
      <c r="F1981">
        <v>2</v>
      </c>
      <c r="I1981" t="str">
        <f>HYPERLINK("tel:+13109945060", "310-994-5060")</f>
        <v>310-994-5060</v>
      </c>
      <c r="J1981" t="s">
        <v>8275</v>
      </c>
      <c r="K1981" t="s">
        <v>8276</v>
      </c>
      <c r="M1981">
        <v>3109945060</v>
      </c>
    </row>
    <row r="1982" spans="1:13" x14ac:dyDescent="0.25">
      <c r="A1982">
        <v>2891503533</v>
      </c>
      <c r="B1982" t="s">
        <v>8277</v>
      </c>
      <c r="C1982">
        <v>2499000</v>
      </c>
      <c r="D1982" t="s">
        <v>8278</v>
      </c>
      <c r="E1982" t="s">
        <v>8279</v>
      </c>
      <c r="F1982">
        <v>2</v>
      </c>
      <c r="I1982" t="str">
        <f>HYPERLINK("tel:+13109952404", "310-995-2404")</f>
        <v>310-995-2404</v>
      </c>
      <c r="J1982" t="s">
        <v>8280</v>
      </c>
      <c r="K1982" t="s">
        <v>24</v>
      </c>
      <c r="M1982">
        <v>3109952404</v>
      </c>
    </row>
    <row r="1983" spans="1:13" x14ac:dyDescent="0.25">
      <c r="A1983">
        <v>1314932772</v>
      </c>
      <c r="B1983" t="s">
        <v>8281</v>
      </c>
      <c r="C1983">
        <v>1300000</v>
      </c>
      <c r="D1983" t="s">
        <v>8282</v>
      </c>
      <c r="E1983" t="s">
        <v>8283</v>
      </c>
      <c r="F1983">
        <v>2</v>
      </c>
      <c r="I1983" t="str">
        <f>HYPERLINK("tel:+13109954475", "310-995-4475")</f>
        <v>310-995-4475</v>
      </c>
      <c r="J1983" t="s">
        <v>8284</v>
      </c>
      <c r="K1983" t="s">
        <v>24</v>
      </c>
      <c r="M1983">
        <v>3109954475</v>
      </c>
    </row>
    <row r="1984" spans="1:13" x14ac:dyDescent="0.25">
      <c r="A1984">
        <v>1237009596</v>
      </c>
      <c r="B1984" t="s">
        <v>8285</v>
      </c>
      <c r="C1984">
        <v>999998</v>
      </c>
      <c r="D1984" t="s">
        <v>8286</v>
      </c>
      <c r="E1984" t="s">
        <v>8287</v>
      </c>
      <c r="F1984">
        <v>2</v>
      </c>
      <c r="I1984" t="str">
        <f>HYPERLINK("tel:+13109956344", "310-995-6344")</f>
        <v>310-995-6344</v>
      </c>
      <c r="J1984" t="s">
        <v>8288</v>
      </c>
      <c r="K1984" t="s">
        <v>8289</v>
      </c>
      <c r="M1984">
        <v>3109956344</v>
      </c>
    </row>
    <row r="1985" spans="1:13" x14ac:dyDescent="0.25">
      <c r="A1985">
        <v>2068856817</v>
      </c>
      <c r="B1985" t="s">
        <v>8290</v>
      </c>
      <c r="C1985">
        <v>4250000</v>
      </c>
      <c r="D1985" t="s">
        <v>8291</v>
      </c>
      <c r="E1985" t="s">
        <v>8292</v>
      </c>
      <c r="F1985">
        <v>2</v>
      </c>
      <c r="I1985" t="str">
        <f>HYPERLINK("tel:+13109959562", "310-995-9562")</f>
        <v>310-995-9562</v>
      </c>
      <c r="J1985" t="s">
        <v>8293</v>
      </c>
      <c r="K1985" t="s">
        <v>2815</v>
      </c>
      <c r="M1985">
        <v>3109959562</v>
      </c>
    </row>
    <row r="1986" spans="1:13" x14ac:dyDescent="0.25">
      <c r="A1986">
        <v>1541776772</v>
      </c>
      <c r="B1986" t="s">
        <v>8294</v>
      </c>
      <c r="C1986">
        <v>2300000</v>
      </c>
      <c r="D1986" t="s">
        <v>8295</v>
      </c>
      <c r="E1986" t="s">
        <v>8296</v>
      </c>
      <c r="F1986">
        <v>2</v>
      </c>
      <c r="I1986" t="str">
        <f>HYPERLINK("tel:+13126369614", "312-636-9614")</f>
        <v>312-636-9614</v>
      </c>
      <c r="J1986" t="s">
        <v>8297</v>
      </c>
      <c r="K1986" t="s">
        <v>8298</v>
      </c>
      <c r="M1986">
        <v>3126369614</v>
      </c>
    </row>
    <row r="1987" spans="1:13" x14ac:dyDescent="0.25">
      <c r="A1987">
        <v>9468502199</v>
      </c>
      <c r="B1987" t="s">
        <v>8299</v>
      </c>
      <c r="C1987">
        <v>780000</v>
      </c>
      <c r="D1987" t="s">
        <v>8300</v>
      </c>
      <c r="E1987" t="s">
        <v>8301</v>
      </c>
      <c r="F1987">
        <v>2</v>
      </c>
      <c r="I1987" t="str">
        <f>HYPERLINK("tel:+13232034534", "323-203-4534")</f>
        <v>323-203-4534</v>
      </c>
      <c r="J1987" t="s">
        <v>8302</v>
      </c>
      <c r="K1987" t="s">
        <v>2917</v>
      </c>
      <c r="M1987">
        <v>3232034534</v>
      </c>
    </row>
    <row r="1988" spans="1:13" x14ac:dyDescent="0.25">
      <c r="A1988">
        <v>1888270676</v>
      </c>
      <c r="B1988" t="s">
        <v>8303</v>
      </c>
      <c r="C1988">
        <v>1195000</v>
      </c>
      <c r="D1988" t="s">
        <v>8304</v>
      </c>
      <c r="E1988" t="s">
        <v>8305</v>
      </c>
      <c r="F1988">
        <v>2</v>
      </c>
      <c r="I1988" t="str">
        <f>HYPERLINK("tel:+13232048305", "323-204-8305")</f>
        <v>323-204-8305</v>
      </c>
      <c r="J1988" t="s">
        <v>8306</v>
      </c>
      <c r="K1988" t="s">
        <v>8307</v>
      </c>
      <c r="M1988">
        <v>3232048305</v>
      </c>
    </row>
    <row r="1989" spans="1:13" x14ac:dyDescent="0.25">
      <c r="A1989">
        <v>1240530265</v>
      </c>
      <c r="B1989" t="s">
        <v>8308</v>
      </c>
      <c r="C1989">
        <v>949000</v>
      </c>
      <c r="D1989" t="s">
        <v>8309</v>
      </c>
      <c r="E1989" t="s">
        <v>8310</v>
      </c>
      <c r="F1989">
        <v>2</v>
      </c>
      <c r="I1989" t="str">
        <f>HYPERLINK("tel:+13232070346", "323-207-0346")</f>
        <v>323-207-0346</v>
      </c>
      <c r="J1989" t="s">
        <v>8311</v>
      </c>
      <c r="K1989" t="s">
        <v>450</v>
      </c>
      <c r="M1989">
        <v>3232070346</v>
      </c>
    </row>
    <row r="1990" spans="1:13" x14ac:dyDescent="0.25">
      <c r="A1990">
        <v>2958911512</v>
      </c>
      <c r="B1990" t="s">
        <v>8312</v>
      </c>
      <c r="C1990">
        <v>1059000</v>
      </c>
      <c r="D1990" t="s">
        <v>8313</v>
      </c>
      <c r="E1990" t="s">
        <v>8314</v>
      </c>
      <c r="F1990">
        <v>2</v>
      </c>
      <c r="I1990" t="str">
        <f>HYPERLINK("tel:+13232155399", "323-215-5399")</f>
        <v>323-215-5399</v>
      </c>
      <c r="J1990" t="s">
        <v>8315</v>
      </c>
      <c r="K1990" t="s">
        <v>1881</v>
      </c>
      <c r="M1990">
        <v>3232155399</v>
      </c>
    </row>
    <row r="1991" spans="1:13" x14ac:dyDescent="0.25">
      <c r="A1991">
        <v>2695114128</v>
      </c>
      <c r="B1991" t="s">
        <v>8316</v>
      </c>
      <c r="C1991">
        <v>1349999</v>
      </c>
      <c r="D1991" t="s">
        <v>8317</v>
      </c>
      <c r="E1991" t="s">
        <v>8318</v>
      </c>
      <c r="F1991">
        <v>2</v>
      </c>
      <c r="I1991" t="str">
        <f>HYPERLINK("tel:+13232283488", "323-228-3488")</f>
        <v>323-228-3488</v>
      </c>
      <c r="J1991" t="s">
        <v>8319</v>
      </c>
      <c r="K1991" t="s">
        <v>8320</v>
      </c>
      <c r="M1991">
        <v>3232283488</v>
      </c>
    </row>
    <row r="1992" spans="1:13" x14ac:dyDescent="0.25">
      <c r="A1992">
        <v>2839712986</v>
      </c>
      <c r="B1992" t="s">
        <v>8321</v>
      </c>
      <c r="C1992">
        <v>396000</v>
      </c>
      <c r="D1992" t="s">
        <v>8322</v>
      </c>
      <c r="E1992" t="s">
        <v>8323</v>
      </c>
      <c r="F1992">
        <v>2</v>
      </c>
      <c r="I1992" t="str">
        <f>HYPERLINK("tel:+13232284536", "323-228-4536")</f>
        <v>323-228-4536</v>
      </c>
      <c r="J1992" t="s">
        <v>8324</v>
      </c>
      <c r="K1992" t="s">
        <v>8323</v>
      </c>
      <c r="M1992">
        <v>3232284536</v>
      </c>
    </row>
    <row r="1993" spans="1:13" x14ac:dyDescent="0.25">
      <c r="A1993">
        <v>2706655198</v>
      </c>
      <c r="B1993" t="s">
        <v>8325</v>
      </c>
      <c r="C1993">
        <v>990000</v>
      </c>
      <c r="D1993" t="s">
        <v>8326</v>
      </c>
      <c r="E1993" t="s">
        <v>8327</v>
      </c>
      <c r="F1993">
        <v>2</v>
      </c>
      <c r="I1993" t="str">
        <f>HYPERLINK("tel:+13232398012", "323-239-8012")</f>
        <v>323-239-8012</v>
      </c>
      <c r="J1993" t="s">
        <v>8328</v>
      </c>
      <c r="K1993" t="s">
        <v>450</v>
      </c>
      <c r="M1993">
        <v>3232398012</v>
      </c>
    </row>
    <row r="1994" spans="1:13" x14ac:dyDescent="0.25">
      <c r="A1994">
        <v>2233899452</v>
      </c>
      <c r="B1994" t="s">
        <v>8329</v>
      </c>
      <c r="C1994">
        <v>799000</v>
      </c>
      <c r="D1994" t="s">
        <v>8330</v>
      </c>
      <c r="E1994" t="s">
        <v>8331</v>
      </c>
      <c r="F1994">
        <v>2</v>
      </c>
      <c r="I1994" t="str">
        <f>HYPERLINK("tel:+13232407799", "323-240-7799")</f>
        <v>323-240-7799</v>
      </c>
      <c r="J1994" t="s">
        <v>8332</v>
      </c>
      <c r="K1994" t="s">
        <v>8333</v>
      </c>
      <c r="M1994">
        <v>3232407799</v>
      </c>
    </row>
    <row r="1995" spans="1:13" x14ac:dyDescent="0.25">
      <c r="A1995">
        <v>1106484670</v>
      </c>
      <c r="B1995" t="s">
        <v>8334</v>
      </c>
      <c r="C1995">
        <v>999000</v>
      </c>
      <c r="D1995" t="s">
        <v>8335</v>
      </c>
      <c r="E1995" t="s">
        <v>8336</v>
      </c>
      <c r="F1995">
        <v>2</v>
      </c>
      <c r="I1995" t="str">
        <f>HYPERLINK("tel:+13232431234", "323-243-1234")</f>
        <v>323-243-1234</v>
      </c>
      <c r="J1995" t="s">
        <v>8337</v>
      </c>
      <c r="K1995" t="s">
        <v>24</v>
      </c>
      <c r="M1995">
        <v>3232431234</v>
      </c>
    </row>
    <row r="1996" spans="1:13" x14ac:dyDescent="0.25">
      <c r="A1996">
        <v>2376171740</v>
      </c>
      <c r="B1996" t="s">
        <v>8338</v>
      </c>
      <c r="C1996">
        <v>1800000</v>
      </c>
      <c r="D1996" t="s">
        <v>8339</v>
      </c>
      <c r="E1996" t="s">
        <v>8340</v>
      </c>
      <c r="F1996">
        <v>2</v>
      </c>
      <c r="I1996" t="str">
        <f>HYPERLINK("tel:+13232443562", "323-244-3562")</f>
        <v>323-244-3562</v>
      </c>
      <c r="J1996" t="s">
        <v>8341</v>
      </c>
      <c r="K1996" t="s">
        <v>8342</v>
      </c>
      <c r="M1996">
        <v>3232443562</v>
      </c>
    </row>
    <row r="1997" spans="1:13" x14ac:dyDescent="0.25">
      <c r="A1997">
        <v>1069330525</v>
      </c>
      <c r="B1997" t="s">
        <v>8343</v>
      </c>
      <c r="C1997">
        <v>1450000</v>
      </c>
      <c r="D1997" t="s">
        <v>8344</v>
      </c>
      <c r="E1997" t="s">
        <v>8345</v>
      </c>
      <c r="F1997">
        <v>2</v>
      </c>
      <c r="I1997" t="str">
        <f>HYPERLINK("tel:+13232511975", "323-251-1975")</f>
        <v>323-251-1975</v>
      </c>
      <c r="J1997" t="s">
        <v>8346</v>
      </c>
      <c r="K1997" t="s">
        <v>8347</v>
      </c>
      <c r="M1997">
        <v>3232511975</v>
      </c>
    </row>
    <row r="1998" spans="1:13" x14ac:dyDescent="0.25">
      <c r="A1998">
        <v>1256152919</v>
      </c>
      <c r="B1998" t="s">
        <v>8348</v>
      </c>
      <c r="C1998">
        <v>1799000</v>
      </c>
      <c r="D1998" t="s">
        <v>8349</v>
      </c>
      <c r="E1998" t="s">
        <v>8350</v>
      </c>
      <c r="F1998">
        <v>2</v>
      </c>
      <c r="I1998" t="str">
        <f>HYPERLINK("tel:+13232515479", "323-251-5479")</f>
        <v>323-251-5479</v>
      </c>
      <c r="J1998" t="s">
        <v>8351</v>
      </c>
      <c r="K1998" t="s">
        <v>117</v>
      </c>
      <c r="M1998">
        <v>3232515479</v>
      </c>
    </row>
    <row r="1999" spans="1:13" x14ac:dyDescent="0.25">
      <c r="A1999">
        <v>1431622498</v>
      </c>
      <c r="B1999" t="s">
        <v>8352</v>
      </c>
      <c r="C1999">
        <v>2795000</v>
      </c>
      <c r="D1999" t="s">
        <v>8353</v>
      </c>
      <c r="E1999" t="s">
        <v>8354</v>
      </c>
      <c r="F1999">
        <v>2</v>
      </c>
      <c r="I1999" t="str">
        <f>HYPERLINK("tel:+13232522264", "323-252-2264")</f>
        <v>323-252-2264</v>
      </c>
      <c r="J1999" t="s">
        <v>8355</v>
      </c>
      <c r="K1999" t="s">
        <v>82</v>
      </c>
      <c r="M1999">
        <v>3232522264</v>
      </c>
    </row>
    <row r="2000" spans="1:13" x14ac:dyDescent="0.25">
      <c r="A2000">
        <v>9623959394</v>
      </c>
      <c r="B2000" t="s">
        <v>8356</v>
      </c>
      <c r="C2000">
        <v>1350000</v>
      </c>
      <c r="D2000" t="s">
        <v>8357</v>
      </c>
      <c r="E2000" t="s">
        <v>8358</v>
      </c>
      <c r="F2000">
        <v>2</v>
      </c>
      <c r="I2000" t="str">
        <f>HYPERLINK("tel:+13232531391", "323-253-1391")</f>
        <v>323-253-1391</v>
      </c>
      <c r="J2000" t="s">
        <v>8359</v>
      </c>
      <c r="K2000" t="s">
        <v>8360</v>
      </c>
      <c r="M2000">
        <v>3232531391</v>
      </c>
    </row>
    <row r="2001" spans="1:13" x14ac:dyDescent="0.25">
      <c r="A2001">
        <v>2834804551</v>
      </c>
      <c r="B2001" t="s">
        <v>8361</v>
      </c>
      <c r="C2001">
        <v>2750000</v>
      </c>
      <c r="D2001" t="s">
        <v>8362</v>
      </c>
      <c r="E2001" t="s">
        <v>8363</v>
      </c>
      <c r="F2001">
        <v>2</v>
      </c>
      <c r="I2001" t="str">
        <f>HYPERLINK("tel:+13232533177", "323-253-3177")</f>
        <v>323-253-3177</v>
      </c>
      <c r="J2001" t="s">
        <v>8364</v>
      </c>
      <c r="K2001" t="s">
        <v>24</v>
      </c>
      <c r="M2001">
        <v>3232533177</v>
      </c>
    </row>
    <row r="2002" spans="1:13" x14ac:dyDescent="0.25">
      <c r="A2002">
        <v>1417130418</v>
      </c>
      <c r="B2002" t="s">
        <v>8365</v>
      </c>
      <c r="C2002">
        <v>1095000</v>
      </c>
      <c r="D2002" t="s">
        <v>8366</v>
      </c>
      <c r="E2002" t="s">
        <v>8367</v>
      </c>
      <c r="F2002">
        <v>2</v>
      </c>
      <c r="I2002" t="str">
        <f>HYPERLINK("tel:+13232535397", "323-253-5397")</f>
        <v>323-253-5397</v>
      </c>
      <c r="J2002" t="s">
        <v>8368</v>
      </c>
      <c r="K2002" t="s">
        <v>450</v>
      </c>
      <c r="M2002">
        <v>3232535397</v>
      </c>
    </row>
    <row r="2003" spans="1:13" x14ac:dyDescent="0.25">
      <c r="A2003">
        <v>2468898485</v>
      </c>
      <c r="B2003" t="s">
        <v>8369</v>
      </c>
      <c r="C2003">
        <v>770000</v>
      </c>
      <c r="D2003" t="s">
        <v>8370</v>
      </c>
      <c r="E2003" t="s">
        <v>8371</v>
      </c>
      <c r="F2003">
        <v>2</v>
      </c>
      <c r="I2003" t="str">
        <f>HYPERLINK("tel:+13232538978", "323-253-8978")</f>
        <v>323-253-8978</v>
      </c>
      <c r="J2003" t="s">
        <v>8372</v>
      </c>
      <c r="K2003" t="s">
        <v>24</v>
      </c>
      <c r="M2003">
        <v>3232538978</v>
      </c>
    </row>
    <row r="2004" spans="1:13" x14ac:dyDescent="0.25">
      <c r="A2004">
        <v>1261622788</v>
      </c>
      <c r="B2004" t="s">
        <v>8373</v>
      </c>
      <c r="C2004">
        <v>629000</v>
      </c>
      <c r="D2004" t="s">
        <v>8374</v>
      </c>
      <c r="E2004" t="s">
        <v>8375</v>
      </c>
      <c r="F2004">
        <v>2</v>
      </c>
      <c r="I2004" t="str">
        <f>HYPERLINK("tel:+13232543966", "323-254-3966")</f>
        <v>323-254-3966</v>
      </c>
      <c r="J2004" t="s">
        <v>8376</v>
      </c>
      <c r="K2004" t="s">
        <v>8375</v>
      </c>
      <c r="M2004">
        <v>3232543966</v>
      </c>
    </row>
    <row r="2005" spans="1:13" x14ac:dyDescent="0.25">
      <c r="A2005">
        <v>9852789245</v>
      </c>
      <c r="B2005" t="s">
        <v>8377</v>
      </c>
      <c r="C2005">
        <v>1450000</v>
      </c>
      <c r="D2005" t="s">
        <v>8378</v>
      </c>
      <c r="E2005" t="s">
        <v>8379</v>
      </c>
      <c r="F2005">
        <v>2</v>
      </c>
      <c r="I2005" t="str">
        <f>HYPERLINK("tel:+13232727184", "323-272-7184")</f>
        <v>323-272-7184</v>
      </c>
      <c r="J2005" t="s">
        <v>8380</v>
      </c>
      <c r="K2005" t="s">
        <v>8381</v>
      </c>
      <c r="M2005">
        <v>3232727184</v>
      </c>
    </row>
    <row r="2006" spans="1:13" x14ac:dyDescent="0.25">
      <c r="A2006">
        <v>9351435788</v>
      </c>
      <c r="B2006" t="s">
        <v>8382</v>
      </c>
      <c r="C2006">
        <v>549000</v>
      </c>
      <c r="D2006" t="s">
        <v>8383</v>
      </c>
      <c r="E2006" t="s">
        <v>8384</v>
      </c>
      <c r="F2006">
        <v>2</v>
      </c>
      <c r="I2006" t="str">
        <f>HYPERLINK("tel:+13232759273", "323-275-9273")</f>
        <v>323-275-9273</v>
      </c>
      <c r="J2006" t="s">
        <v>8385</v>
      </c>
      <c r="K2006" t="s">
        <v>658</v>
      </c>
      <c r="M2006">
        <v>3232759273</v>
      </c>
    </row>
    <row r="2007" spans="1:13" x14ac:dyDescent="0.25">
      <c r="A2007">
        <v>1062204507</v>
      </c>
      <c r="B2007" t="s">
        <v>8386</v>
      </c>
      <c r="C2007">
        <v>715000</v>
      </c>
      <c r="D2007" t="s">
        <v>8387</v>
      </c>
      <c r="E2007" t="s">
        <v>8388</v>
      </c>
      <c r="F2007">
        <v>2</v>
      </c>
      <c r="I2007" t="str">
        <f>HYPERLINK("tel:+13232938217", "323-293-8217")</f>
        <v>323-293-8217</v>
      </c>
      <c r="J2007" t="s">
        <v>8389</v>
      </c>
      <c r="K2007" t="s">
        <v>8390</v>
      </c>
      <c r="M2007">
        <v>3232938217</v>
      </c>
    </row>
    <row r="2008" spans="1:13" x14ac:dyDescent="0.25">
      <c r="A2008">
        <v>2413429093</v>
      </c>
      <c r="B2008" t="s">
        <v>8391</v>
      </c>
      <c r="C2008">
        <v>859000</v>
      </c>
      <c r="D2008" t="s">
        <v>8392</v>
      </c>
      <c r="E2008" t="s">
        <v>8393</v>
      </c>
      <c r="F2008">
        <v>2</v>
      </c>
      <c r="I2008" t="str">
        <f>HYPERLINK("tel:+13232987702", "323-298-7702")</f>
        <v>323-298-7702</v>
      </c>
      <c r="J2008" t="s">
        <v>8394</v>
      </c>
      <c r="K2008" t="s">
        <v>8395</v>
      </c>
      <c r="M2008">
        <v>3232987702</v>
      </c>
    </row>
    <row r="2009" spans="1:13" x14ac:dyDescent="0.25">
      <c r="A2009">
        <v>2909404670</v>
      </c>
      <c r="B2009" t="s">
        <v>8396</v>
      </c>
      <c r="C2009">
        <v>1549000</v>
      </c>
      <c r="D2009" t="s">
        <v>8397</v>
      </c>
      <c r="E2009" t="s">
        <v>8398</v>
      </c>
      <c r="F2009">
        <v>2</v>
      </c>
      <c r="I2009" t="str">
        <f>HYPERLINK("tel:+13233040892", "323-304-0892")</f>
        <v>323-304-0892</v>
      </c>
      <c r="J2009" t="s">
        <v>8399</v>
      </c>
      <c r="K2009" t="s">
        <v>14</v>
      </c>
      <c r="M2009">
        <v>3233040892</v>
      </c>
    </row>
    <row r="2010" spans="1:13" x14ac:dyDescent="0.25">
      <c r="A2010">
        <v>2177869848</v>
      </c>
      <c r="B2010" t="s">
        <v>8400</v>
      </c>
      <c r="C2010">
        <v>1230000</v>
      </c>
      <c r="D2010" t="s">
        <v>8401</v>
      </c>
      <c r="E2010" t="s">
        <v>8402</v>
      </c>
      <c r="F2010">
        <v>2</v>
      </c>
      <c r="I2010" t="str">
        <f>HYPERLINK("tel:+13233362546", "323-336-2546")</f>
        <v>323-336-2546</v>
      </c>
      <c r="J2010" t="s">
        <v>8403</v>
      </c>
      <c r="K2010" t="s">
        <v>431</v>
      </c>
      <c r="M2010">
        <v>3233362546</v>
      </c>
    </row>
    <row r="2011" spans="1:13" x14ac:dyDescent="0.25">
      <c r="A2011">
        <v>1269537689</v>
      </c>
      <c r="B2011" t="s">
        <v>8404</v>
      </c>
      <c r="C2011">
        <v>850000</v>
      </c>
      <c r="D2011" t="s">
        <v>8405</v>
      </c>
      <c r="E2011" t="s">
        <v>8406</v>
      </c>
      <c r="F2011">
        <v>2</v>
      </c>
      <c r="I2011" t="str">
        <f>HYPERLINK("tel:+13233503043", "323-350-3043")</f>
        <v>323-350-3043</v>
      </c>
      <c r="J2011" t="s">
        <v>8407</v>
      </c>
      <c r="K2011" t="s">
        <v>8408</v>
      </c>
      <c r="M2011">
        <v>3233503043</v>
      </c>
    </row>
    <row r="2012" spans="1:13" x14ac:dyDescent="0.25">
      <c r="A2012">
        <v>2097830124</v>
      </c>
      <c r="B2012" t="s">
        <v>8409</v>
      </c>
      <c r="C2012">
        <v>749000</v>
      </c>
      <c r="D2012" t="s">
        <v>8410</v>
      </c>
      <c r="E2012" t="s">
        <v>8411</v>
      </c>
      <c r="F2012">
        <v>2</v>
      </c>
      <c r="I2012" t="str">
        <f>HYPERLINK("tel:+13233542545", "323-354-2545")</f>
        <v>323-354-2545</v>
      </c>
      <c r="J2012" t="s">
        <v>8412</v>
      </c>
      <c r="K2012" t="s">
        <v>8413</v>
      </c>
      <c r="M2012">
        <v>3233542545</v>
      </c>
    </row>
    <row r="2013" spans="1:13" x14ac:dyDescent="0.25">
      <c r="A2013">
        <v>2653496294</v>
      </c>
      <c r="B2013" t="s">
        <v>8414</v>
      </c>
      <c r="C2013">
        <v>435000</v>
      </c>
      <c r="D2013" t="s">
        <v>8415</v>
      </c>
      <c r="E2013" t="s">
        <v>8416</v>
      </c>
      <c r="F2013">
        <v>2</v>
      </c>
      <c r="I2013" t="str">
        <f>HYPERLINK("tel:+13233774067", "323-377-4067")</f>
        <v>323-377-4067</v>
      </c>
      <c r="J2013" t="s">
        <v>8417</v>
      </c>
      <c r="K2013" t="s">
        <v>24</v>
      </c>
      <c r="M2013">
        <v>3233774067</v>
      </c>
    </row>
    <row r="2014" spans="1:13" x14ac:dyDescent="0.25">
      <c r="A2014">
        <v>2783902422</v>
      </c>
      <c r="B2014" t="s">
        <v>8418</v>
      </c>
      <c r="C2014">
        <v>530000</v>
      </c>
      <c r="D2014" t="s">
        <v>8419</v>
      </c>
      <c r="E2014" t="s">
        <v>8420</v>
      </c>
      <c r="F2014">
        <v>2</v>
      </c>
      <c r="I2014" t="str">
        <f>HYPERLINK("tel:+13233837785", "323-383-7785")</f>
        <v>323-383-7785</v>
      </c>
      <c r="J2014" t="s">
        <v>8421</v>
      </c>
      <c r="K2014" t="s">
        <v>8422</v>
      </c>
      <c r="M2014">
        <v>3233837785</v>
      </c>
    </row>
    <row r="2015" spans="1:13" x14ac:dyDescent="0.25">
      <c r="A2015">
        <v>9459160388</v>
      </c>
      <c r="B2015" t="s">
        <v>8423</v>
      </c>
      <c r="C2015">
        <v>1130000</v>
      </c>
      <c r="D2015" t="s">
        <v>8424</v>
      </c>
      <c r="E2015" t="s">
        <v>8425</v>
      </c>
      <c r="F2015">
        <v>2</v>
      </c>
      <c r="I2015" t="str">
        <f>HYPERLINK("tel:+13233847202", "323-384-7202")</f>
        <v>323-384-7202</v>
      </c>
      <c r="J2015" t="s">
        <v>8426</v>
      </c>
      <c r="K2015" t="s">
        <v>450</v>
      </c>
      <c r="M2015">
        <v>3233847202</v>
      </c>
    </row>
    <row r="2016" spans="1:13" x14ac:dyDescent="0.25">
      <c r="A2016">
        <v>9863101566</v>
      </c>
      <c r="B2016" t="s">
        <v>8427</v>
      </c>
      <c r="C2016">
        <v>699000</v>
      </c>
      <c r="D2016" t="s">
        <v>8428</v>
      </c>
      <c r="E2016" t="s">
        <v>8429</v>
      </c>
      <c r="F2016">
        <v>2</v>
      </c>
      <c r="I2016" t="str">
        <f>HYPERLINK("tel:+13233859516", "323-385-9516")</f>
        <v>323-385-9516</v>
      </c>
      <c r="J2016" t="s">
        <v>8430</v>
      </c>
      <c r="K2016" t="s">
        <v>5053</v>
      </c>
      <c r="M2016">
        <v>3233859516</v>
      </c>
    </row>
    <row r="2017" spans="1:13" x14ac:dyDescent="0.25">
      <c r="A2017">
        <v>1182829561</v>
      </c>
      <c r="B2017" t="s">
        <v>8431</v>
      </c>
      <c r="C2017">
        <v>710000</v>
      </c>
      <c r="D2017" t="s">
        <v>8432</v>
      </c>
      <c r="E2017" t="s">
        <v>8433</v>
      </c>
      <c r="F2017">
        <v>2</v>
      </c>
      <c r="I2017" t="str">
        <f>HYPERLINK("tel:+13233930723", "323-393-0723")</f>
        <v>323-393-0723</v>
      </c>
      <c r="J2017" t="s">
        <v>8434</v>
      </c>
      <c r="K2017" t="s">
        <v>24</v>
      </c>
      <c r="M2017">
        <v>3233930723</v>
      </c>
    </row>
    <row r="2018" spans="1:13" x14ac:dyDescent="0.25">
      <c r="A2018">
        <v>2725097468</v>
      </c>
      <c r="B2018" t="s">
        <v>8435</v>
      </c>
      <c r="C2018">
        <v>1599000</v>
      </c>
      <c r="D2018" t="s">
        <v>8436</v>
      </c>
      <c r="E2018" t="s">
        <v>8437</v>
      </c>
      <c r="F2018">
        <v>2</v>
      </c>
      <c r="I2018" t="str">
        <f>HYPERLINK("tel:+13233970800", "323-397-0800")</f>
        <v>323-397-0800</v>
      </c>
      <c r="J2018" t="s">
        <v>8438</v>
      </c>
      <c r="K2018" t="s">
        <v>168</v>
      </c>
      <c r="M2018">
        <v>3233970800</v>
      </c>
    </row>
    <row r="2019" spans="1:13" x14ac:dyDescent="0.25">
      <c r="A2019">
        <v>2437632359</v>
      </c>
      <c r="B2019" t="s">
        <v>8439</v>
      </c>
      <c r="C2019">
        <v>745000</v>
      </c>
      <c r="D2019" t="s">
        <v>8440</v>
      </c>
      <c r="E2019" t="s">
        <v>8441</v>
      </c>
      <c r="F2019">
        <v>2</v>
      </c>
      <c r="I2019" t="str">
        <f>HYPERLINK("tel:+13234037859", "323-403-7859")</f>
        <v>323-403-7859</v>
      </c>
      <c r="J2019" t="s">
        <v>8442</v>
      </c>
      <c r="K2019" t="s">
        <v>8307</v>
      </c>
      <c r="M2019">
        <v>3234037859</v>
      </c>
    </row>
    <row r="2020" spans="1:13" x14ac:dyDescent="0.25">
      <c r="A2020">
        <v>1379412209</v>
      </c>
      <c r="B2020" t="s">
        <v>8443</v>
      </c>
      <c r="C2020">
        <v>695000</v>
      </c>
      <c r="D2020" t="s">
        <v>8444</v>
      </c>
      <c r="E2020" t="s">
        <v>8445</v>
      </c>
      <c r="F2020">
        <v>2</v>
      </c>
      <c r="I2020" t="str">
        <f>HYPERLINK("tel:+13234038896", "323-403-8896")</f>
        <v>323-403-8896</v>
      </c>
      <c r="J2020" t="s">
        <v>8446</v>
      </c>
      <c r="K2020" t="s">
        <v>8342</v>
      </c>
      <c r="M2020">
        <v>3234038896</v>
      </c>
    </row>
    <row r="2021" spans="1:13" x14ac:dyDescent="0.25">
      <c r="A2021">
        <v>9548730697</v>
      </c>
      <c r="B2021" t="s">
        <v>8447</v>
      </c>
      <c r="C2021">
        <v>1450000</v>
      </c>
      <c r="D2021" t="s">
        <v>8448</v>
      </c>
      <c r="E2021" t="s">
        <v>8449</v>
      </c>
      <c r="F2021">
        <v>2</v>
      </c>
      <c r="I2021" t="str">
        <f>HYPERLINK("tel:+13234048824", "323-404-8824")</f>
        <v>323-404-8824</v>
      </c>
      <c r="J2021" t="s">
        <v>8450</v>
      </c>
      <c r="K2021" t="s">
        <v>68</v>
      </c>
      <c r="M2021">
        <v>3234048824</v>
      </c>
    </row>
    <row r="2022" spans="1:13" x14ac:dyDescent="0.25">
      <c r="A2022">
        <v>2234084925</v>
      </c>
      <c r="B2022" t="s">
        <v>8451</v>
      </c>
      <c r="C2022">
        <v>1999999</v>
      </c>
      <c r="D2022" t="s">
        <v>8452</v>
      </c>
      <c r="E2022" t="s">
        <v>8453</v>
      </c>
      <c r="F2022">
        <v>2</v>
      </c>
      <c r="I2022" t="str">
        <f>HYPERLINK("tel:+13234221438", "323-422-1438")</f>
        <v>323-422-1438</v>
      </c>
      <c r="J2022" t="s">
        <v>8454</v>
      </c>
      <c r="K2022" t="s">
        <v>8455</v>
      </c>
      <c r="M2022">
        <v>3234221438</v>
      </c>
    </row>
    <row r="2023" spans="1:13" x14ac:dyDescent="0.25">
      <c r="A2023">
        <v>1851895722</v>
      </c>
      <c r="B2023" t="s">
        <v>8456</v>
      </c>
      <c r="C2023">
        <v>599000</v>
      </c>
      <c r="D2023" t="s">
        <v>8457</v>
      </c>
      <c r="E2023" t="s">
        <v>8458</v>
      </c>
      <c r="F2023">
        <v>2</v>
      </c>
      <c r="I2023" t="str">
        <f>HYPERLINK("tel:+13234228467", "323-422-8467")</f>
        <v>323-422-8467</v>
      </c>
      <c r="J2023" t="s">
        <v>8459</v>
      </c>
      <c r="K2023" t="s">
        <v>830</v>
      </c>
      <c r="M2023">
        <v>3234228467</v>
      </c>
    </row>
    <row r="2024" spans="1:13" x14ac:dyDescent="0.25">
      <c r="A2024">
        <v>1210109884</v>
      </c>
      <c r="B2024" t="s">
        <v>8460</v>
      </c>
      <c r="C2024">
        <v>2199000</v>
      </c>
      <c r="D2024" t="s">
        <v>8461</v>
      </c>
      <c r="E2024" t="s">
        <v>8462</v>
      </c>
      <c r="F2024">
        <v>2</v>
      </c>
      <c r="I2024" t="str">
        <f>HYPERLINK("tel:+13234285266", "323-428-5266")</f>
        <v>323-428-5266</v>
      </c>
      <c r="J2024" t="s">
        <v>8463</v>
      </c>
      <c r="K2024" t="s">
        <v>63</v>
      </c>
      <c r="M2024">
        <v>3234285266</v>
      </c>
    </row>
    <row r="2025" spans="1:13" x14ac:dyDescent="0.25">
      <c r="A2025">
        <v>1311670949</v>
      </c>
      <c r="B2025" t="s">
        <v>8464</v>
      </c>
      <c r="C2025">
        <v>2499000</v>
      </c>
      <c r="D2025" t="s">
        <v>8465</v>
      </c>
      <c r="E2025" t="s">
        <v>8466</v>
      </c>
      <c r="F2025">
        <v>2</v>
      </c>
      <c r="I2025" t="str">
        <f>HYPERLINK("tel:+13234289747", "323-428-9747")</f>
        <v>323-428-9747</v>
      </c>
      <c r="J2025" t="s">
        <v>8467</v>
      </c>
      <c r="K2025" t="s">
        <v>24</v>
      </c>
      <c r="M2025">
        <v>3234289747</v>
      </c>
    </row>
    <row r="2026" spans="1:13" x14ac:dyDescent="0.25">
      <c r="A2026">
        <v>1121909621</v>
      </c>
      <c r="B2026" t="s">
        <v>8468</v>
      </c>
      <c r="C2026">
        <v>2095000</v>
      </c>
      <c r="D2026" t="s">
        <v>8469</v>
      </c>
      <c r="E2026" t="s">
        <v>8470</v>
      </c>
      <c r="F2026">
        <v>2</v>
      </c>
      <c r="I2026" t="str">
        <f>HYPERLINK("tel:+13234434820", "323-443-4820")</f>
        <v>323-443-4820</v>
      </c>
      <c r="J2026" t="s">
        <v>8471</v>
      </c>
      <c r="K2026" t="s">
        <v>8472</v>
      </c>
      <c r="M2026">
        <v>3234434820</v>
      </c>
    </row>
    <row r="2027" spans="1:13" x14ac:dyDescent="0.25">
      <c r="A2027">
        <v>9382293942</v>
      </c>
      <c r="B2027" t="s">
        <v>25</v>
      </c>
      <c r="C2027">
        <v>695000</v>
      </c>
      <c r="D2027" t="s">
        <v>26</v>
      </c>
      <c r="E2027" t="s">
        <v>8473</v>
      </c>
      <c r="F2027">
        <v>2</v>
      </c>
      <c r="I2027" t="str">
        <f>HYPERLINK("tel:+13234469922", "323-446-9922")</f>
        <v>323-446-9922</v>
      </c>
      <c r="J2027" t="s">
        <v>8474</v>
      </c>
      <c r="K2027" t="s">
        <v>29</v>
      </c>
      <c r="M2027">
        <v>3234469922</v>
      </c>
    </row>
    <row r="2028" spans="1:13" x14ac:dyDescent="0.25">
      <c r="A2028">
        <v>1364178662</v>
      </c>
      <c r="B2028" t="s">
        <v>8475</v>
      </c>
      <c r="C2028">
        <v>1800000</v>
      </c>
      <c r="D2028" t="s">
        <v>8476</v>
      </c>
      <c r="E2028" t="s">
        <v>8477</v>
      </c>
      <c r="F2028">
        <v>2</v>
      </c>
      <c r="I2028" t="str">
        <f>HYPERLINK("tel:+13234540596", "323-454-0596")</f>
        <v>323-454-0596</v>
      </c>
      <c r="J2028" t="s">
        <v>8478</v>
      </c>
      <c r="K2028" t="s">
        <v>8477</v>
      </c>
      <c r="M2028">
        <v>3234540596</v>
      </c>
    </row>
    <row r="2029" spans="1:13" x14ac:dyDescent="0.25">
      <c r="A2029">
        <v>1733976833</v>
      </c>
      <c r="B2029" t="s">
        <v>8479</v>
      </c>
      <c r="C2029">
        <v>985000</v>
      </c>
      <c r="D2029" t="s">
        <v>8480</v>
      </c>
      <c r="E2029" t="s">
        <v>8481</v>
      </c>
      <c r="F2029">
        <v>2</v>
      </c>
      <c r="I2029" t="str">
        <f>HYPERLINK("tel:+13234702799", "323-470-2799")</f>
        <v>323-470-2799</v>
      </c>
      <c r="J2029" t="s">
        <v>8482</v>
      </c>
      <c r="K2029" t="s">
        <v>8483</v>
      </c>
      <c r="M2029">
        <v>3234702799</v>
      </c>
    </row>
    <row r="2030" spans="1:13" x14ac:dyDescent="0.25">
      <c r="A2030">
        <v>2547988187</v>
      </c>
      <c r="B2030" t="s">
        <v>8484</v>
      </c>
      <c r="C2030">
        <v>1499999</v>
      </c>
      <c r="D2030" t="s">
        <v>8485</v>
      </c>
      <c r="E2030" t="s">
        <v>8486</v>
      </c>
      <c r="F2030">
        <v>2</v>
      </c>
      <c r="I2030" t="str">
        <f>HYPERLINK("tel:+13234794592", "323-479-4592")</f>
        <v>323-479-4592</v>
      </c>
      <c r="J2030" t="s">
        <v>8487</v>
      </c>
      <c r="K2030" t="s">
        <v>1827</v>
      </c>
      <c r="M2030">
        <v>3234794592</v>
      </c>
    </row>
    <row r="2031" spans="1:13" x14ac:dyDescent="0.25">
      <c r="A2031">
        <v>9654895945</v>
      </c>
      <c r="B2031" t="s">
        <v>8488</v>
      </c>
      <c r="C2031">
        <v>1995000</v>
      </c>
      <c r="D2031" t="s">
        <v>8489</v>
      </c>
      <c r="E2031" t="s">
        <v>8490</v>
      </c>
      <c r="F2031">
        <v>2</v>
      </c>
      <c r="I2031" t="str">
        <f>HYPERLINK("tel:+13234812661", "323-481-2661")</f>
        <v>323-481-2661</v>
      </c>
      <c r="J2031" t="s">
        <v>8491</v>
      </c>
      <c r="K2031" t="s">
        <v>995</v>
      </c>
      <c r="M2031">
        <v>3234812661</v>
      </c>
    </row>
    <row r="2032" spans="1:13" x14ac:dyDescent="0.25">
      <c r="A2032">
        <v>9546389739</v>
      </c>
      <c r="B2032" t="s">
        <v>8492</v>
      </c>
      <c r="C2032">
        <v>1725000</v>
      </c>
      <c r="D2032" t="s">
        <v>8493</v>
      </c>
      <c r="E2032" t="s">
        <v>8494</v>
      </c>
      <c r="F2032">
        <v>2</v>
      </c>
      <c r="I2032" t="str">
        <f>HYPERLINK("tel:+13234815960", "323-481-5960")</f>
        <v>323-481-5960</v>
      </c>
      <c r="J2032" t="s">
        <v>8495</v>
      </c>
      <c r="K2032" t="s">
        <v>8496</v>
      </c>
      <c r="M2032">
        <v>3234815960</v>
      </c>
    </row>
    <row r="2033" spans="1:13" x14ac:dyDescent="0.25">
      <c r="A2033">
        <v>2563831288</v>
      </c>
      <c r="B2033" t="s">
        <v>8497</v>
      </c>
      <c r="C2033">
        <v>889900</v>
      </c>
      <c r="D2033" t="s">
        <v>8498</v>
      </c>
      <c r="E2033" t="s">
        <v>8499</v>
      </c>
      <c r="F2033">
        <v>2</v>
      </c>
      <c r="I2033" t="str">
        <f>HYPERLINK("tel:+13234834275", "323-483-4275")</f>
        <v>323-483-4275</v>
      </c>
      <c r="J2033" t="s">
        <v>8500</v>
      </c>
      <c r="K2033" t="s">
        <v>8501</v>
      </c>
      <c r="M2033">
        <v>3234834275</v>
      </c>
    </row>
    <row r="2034" spans="1:13" x14ac:dyDescent="0.25">
      <c r="A2034">
        <v>9623959394</v>
      </c>
      <c r="B2034" t="s">
        <v>8356</v>
      </c>
      <c r="C2034">
        <v>1350000</v>
      </c>
      <c r="D2034" t="s">
        <v>8357</v>
      </c>
      <c r="E2034" t="s">
        <v>8502</v>
      </c>
      <c r="F2034">
        <v>2</v>
      </c>
      <c r="I2034" t="str">
        <f>HYPERLINK("tel:+13235009474", "323-500-9474")</f>
        <v>323-500-9474</v>
      </c>
      <c r="J2034" t="s">
        <v>8503</v>
      </c>
      <c r="K2034" t="s">
        <v>8360</v>
      </c>
      <c r="M2034">
        <v>3235009474</v>
      </c>
    </row>
    <row r="2035" spans="1:13" x14ac:dyDescent="0.25">
      <c r="A2035">
        <v>1130438447</v>
      </c>
      <c r="B2035" t="s">
        <v>8504</v>
      </c>
      <c r="C2035">
        <v>724999</v>
      </c>
      <c r="D2035" t="s">
        <v>8505</v>
      </c>
      <c r="E2035" t="s">
        <v>8506</v>
      </c>
      <c r="F2035">
        <v>2</v>
      </c>
      <c r="I2035" t="str">
        <f>HYPERLINK("tel:+13235097843", "323-509-7843")</f>
        <v>323-509-7843</v>
      </c>
      <c r="J2035" t="s">
        <v>8507</v>
      </c>
      <c r="K2035" t="s">
        <v>445</v>
      </c>
      <c r="M2035">
        <v>3235097843</v>
      </c>
    </row>
    <row r="2036" spans="1:13" x14ac:dyDescent="0.25">
      <c r="A2036">
        <v>1771635031</v>
      </c>
      <c r="B2036" t="s">
        <v>8508</v>
      </c>
      <c r="C2036">
        <v>1329000</v>
      </c>
      <c r="D2036" t="s">
        <v>8509</v>
      </c>
      <c r="E2036" t="s">
        <v>8510</v>
      </c>
      <c r="F2036">
        <v>2</v>
      </c>
      <c r="I2036" t="str">
        <f>HYPERLINK("tel:+13235099905", "323-509-9905")</f>
        <v>323-509-9905</v>
      </c>
      <c r="J2036" t="s">
        <v>8511</v>
      </c>
      <c r="K2036" t="s">
        <v>8512</v>
      </c>
      <c r="M2036">
        <v>3235099905</v>
      </c>
    </row>
    <row r="2037" spans="1:13" x14ac:dyDescent="0.25">
      <c r="A2037">
        <v>1920401897</v>
      </c>
      <c r="B2037" t="s">
        <v>8513</v>
      </c>
      <c r="C2037">
        <v>445000</v>
      </c>
      <c r="D2037" t="s">
        <v>8514</v>
      </c>
      <c r="E2037" t="s">
        <v>8515</v>
      </c>
      <c r="F2037">
        <v>2</v>
      </c>
      <c r="I2037" t="str">
        <f>HYPERLINK("tel:+13235141291", "323-514-1291")</f>
        <v>323-514-1291</v>
      </c>
      <c r="J2037" t="s">
        <v>8516</v>
      </c>
      <c r="K2037" t="s">
        <v>8517</v>
      </c>
      <c r="M2037">
        <v>3235141291</v>
      </c>
    </row>
    <row r="2038" spans="1:13" x14ac:dyDescent="0.25">
      <c r="A2038">
        <v>1281662294</v>
      </c>
      <c r="B2038" t="s">
        <v>8518</v>
      </c>
      <c r="C2038">
        <v>549000</v>
      </c>
      <c r="D2038" t="s">
        <v>8519</v>
      </c>
      <c r="E2038" t="s">
        <v>8520</v>
      </c>
      <c r="F2038">
        <v>2</v>
      </c>
      <c r="I2038" t="str">
        <f>HYPERLINK("tel:+13235152227", "323-515-2227")</f>
        <v>323-515-2227</v>
      </c>
      <c r="J2038" t="s">
        <v>8521</v>
      </c>
      <c r="K2038" t="s">
        <v>1881</v>
      </c>
      <c r="M2038">
        <v>3235152227</v>
      </c>
    </row>
    <row r="2039" spans="1:13" x14ac:dyDescent="0.25">
      <c r="A2039">
        <v>1629094024</v>
      </c>
      <c r="B2039" t="s">
        <v>8522</v>
      </c>
      <c r="C2039">
        <v>610000</v>
      </c>
      <c r="D2039" t="s">
        <v>8523</v>
      </c>
      <c r="E2039" t="s">
        <v>8524</v>
      </c>
      <c r="F2039">
        <v>2</v>
      </c>
      <c r="I2039" t="str">
        <f>HYPERLINK("tel:+13235323007", "323-532-3007")</f>
        <v>323-532-3007</v>
      </c>
      <c r="J2039" t="s">
        <v>8525</v>
      </c>
      <c r="K2039" t="s">
        <v>8526</v>
      </c>
      <c r="M2039">
        <v>3235323007</v>
      </c>
    </row>
    <row r="2040" spans="1:13" x14ac:dyDescent="0.25">
      <c r="A2040">
        <v>2784607326</v>
      </c>
      <c r="B2040" t="s">
        <v>8527</v>
      </c>
      <c r="C2040">
        <v>499000</v>
      </c>
      <c r="D2040" t="s">
        <v>8528</v>
      </c>
      <c r="E2040" t="s">
        <v>8529</v>
      </c>
      <c r="F2040">
        <v>2</v>
      </c>
      <c r="I2040" t="str">
        <f>HYPERLINK("tel:+13235333770", "323-533-3770")</f>
        <v>323-533-3770</v>
      </c>
      <c r="J2040" t="s">
        <v>8530</v>
      </c>
      <c r="K2040" t="s">
        <v>323</v>
      </c>
      <c r="M2040">
        <v>3235333770</v>
      </c>
    </row>
    <row r="2041" spans="1:13" x14ac:dyDescent="0.25">
      <c r="A2041">
        <v>2244847416</v>
      </c>
      <c r="B2041" t="s">
        <v>8531</v>
      </c>
      <c r="C2041">
        <v>2375000</v>
      </c>
      <c r="D2041" t="s">
        <v>8532</v>
      </c>
      <c r="E2041" t="s">
        <v>8533</v>
      </c>
      <c r="F2041">
        <v>2</v>
      </c>
      <c r="I2041" t="str">
        <f>HYPERLINK("tel:+13235596742", "323-559-6742")</f>
        <v>323-559-6742</v>
      </c>
      <c r="J2041" t="s">
        <v>8534</v>
      </c>
      <c r="K2041" t="s">
        <v>24</v>
      </c>
      <c r="M2041">
        <v>3235596742</v>
      </c>
    </row>
    <row r="2042" spans="1:13" x14ac:dyDescent="0.25">
      <c r="A2042">
        <v>1782357473</v>
      </c>
      <c r="B2042" t="s">
        <v>8535</v>
      </c>
      <c r="C2042">
        <v>899900</v>
      </c>
      <c r="D2042" t="s">
        <v>8536</v>
      </c>
      <c r="E2042" t="s">
        <v>8537</v>
      </c>
      <c r="F2042">
        <v>2</v>
      </c>
      <c r="I2042" t="str">
        <f>HYPERLINK("tel:+13235640840", "323-564-0840")</f>
        <v>323-564-0840</v>
      </c>
      <c r="J2042" t="s">
        <v>8538</v>
      </c>
      <c r="K2042" t="s">
        <v>8539</v>
      </c>
      <c r="M2042">
        <v>3235640840</v>
      </c>
    </row>
    <row r="2043" spans="1:13" x14ac:dyDescent="0.25">
      <c r="A2043">
        <v>2173118700</v>
      </c>
      <c r="B2043" t="s">
        <v>8540</v>
      </c>
      <c r="C2043">
        <v>2349000</v>
      </c>
      <c r="D2043" t="s">
        <v>8541</v>
      </c>
      <c r="E2043" t="s">
        <v>8542</v>
      </c>
      <c r="F2043">
        <v>2</v>
      </c>
      <c r="I2043" t="str">
        <f>HYPERLINK("tel:+13235742317", "323-574-2317")</f>
        <v>323-574-2317</v>
      </c>
      <c r="J2043" t="s">
        <v>8543</v>
      </c>
      <c r="K2043" t="s">
        <v>351</v>
      </c>
      <c r="M2043">
        <v>3235742317</v>
      </c>
    </row>
    <row r="2044" spans="1:13" x14ac:dyDescent="0.25">
      <c r="A2044">
        <v>9385668982</v>
      </c>
      <c r="B2044" t="s">
        <v>8544</v>
      </c>
      <c r="C2044">
        <v>349000</v>
      </c>
      <c r="D2044" t="s">
        <v>8545</v>
      </c>
      <c r="E2044" t="s">
        <v>8546</v>
      </c>
      <c r="F2044">
        <v>2</v>
      </c>
      <c r="I2044" t="str">
        <f>HYPERLINK("tel:+13235954877", "323-595-4877")</f>
        <v>323-595-4877</v>
      </c>
      <c r="J2044" t="s">
        <v>8547</v>
      </c>
      <c r="K2044" t="s">
        <v>1075</v>
      </c>
      <c r="M2044">
        <v>3235954877</v>
      </c>
    </row>
    <row r="2045" spans="1:13" x14ac:dyDescent="0.25">
      <c r="A2045">
        <v>1992584101</v>
      </c>
      <c r="B2045" t="s">
        <v>8548</v>
      </c>
      <c r="C2045">
        <v>1089000</v>
      </c>
      <c r="D2045" t="s">
        <v>8549</v>
      </c>
      <c r="E2045" t="s">
        <v>8550</v>
      </c>
      <c r="F2045">
        <v>2</v>
      </c>
      <c r="I2045" t="str">
        <f>HYPERLINK("tel:+13236005251", "323-600-5251")</f>
        <v>323-600-5251</v>
      </c>
      <c r="J2045" t="s">
        <v>8551</v>
      </c>
      <c r="K2045" t="s">
        <v>6077</v>
      </c>
      <c r="M2045">
        <v>3236005251</v>
      </c>
    </row>
    <row r="2046" spans="1:13" x14ac:dyDescent="0.25">
      <c r="A2046">
        <v>9225655148</v>
      </c>
      <c r="B2046" t="s">
        <v>8552</v>
      </c>
      <c r="C2046">
        <v>1749000</v>
      </c>
      <c r="D2046" t="s">
        <v>8553</v>
      </c>
      <c r="E2046" t="s">
        <v>8554</v>
      </c>
      <c r="F2046">
        <v>2</v>
      </c>
      <c r="I2046" t="str">
        <f>HYPERLINK("tel:+13236036885", "323-603-6885")</f>
        <v>323-603-6885</v>
      </c>
      <c r="J2046" t="s">
        <v>8555</v>
      </c>
      <c r="K2046" t="s">
        <v>8556</v>
      </c>
      <c r="M2046">
        <v>3236036885</v>
      </c>
    </row>
    <row r="2047" spans="1:13" x14ac:dyDescent="0.25">
      <c r="A2047">
        <v>1655557918</v>
      </c>
      <c r="B2047" t="s">
        <v>8557</v>
      </c>
      <c r="C2047">
        <v>995000</v>
      </c>
      <c r="D2047" t="s">
        <v>8558</v>
      </c>
      <c r="E2047" t="s">
        <v>8559</v>
      </c>
      <c r="F2047">
        <v>2</v>
      </c>
      <c r="I2047" t="str">
        <f>HYPERLINK("tel:+13236100474", "323-610-0474")</f>
        <v>323-610-0474</v>
      </c>
      <c r="J2047" t="s">
        <v>8560</v>
      </c>
      <c r="K2047" t="s">
        <v>8561</v>
      </c>
      <c r="M2047">
        <v>3236100474</v>
      </c>
    </row>
    <row r="2048" spans="1:13" x14ac:dyDescent="0.25">
      <c r="A2048">
        <v>1884609625</v>
      </c>
      <c r="B2048" t="s">
        <v>8562</v>
      </c>
      <c r="C2048">
        <v>1699000</v>
      </c>
      <c r="D2048" t="s">
        <v>8563</v>
      </c>
      <c r="E2048" t="s">
        <v>8564</v>
      </c>
      <c r="F2048">
        <v>2</v>
      </c>
      <c r="I2048" t="str">
        <f>HYPERLINK("tel:+13236171063", "323-617-1063")</f>
        <v>323-617-1063</v>
      </c>
      <c r="J2048" t="s">
        <v>8565</v>
      </c>
      <c r="K2048" t="s">
        <v>9</v>
      </c>
      <c r="M2048">
        <v>3236171063</v>
      </c>
    </row>
    <row r="2049" spans="1:13" x14ac:dyDescent="0.25">
      <c r="A2049">
        <v>2220864596</v>
      </c>
      <c r="B2049" t="s">
        <v>8566</v>
      </c>
      <c r="C2049">
        <v>1995000</v>
      </c>
      <c r="D2049" t="s">
        <v>8567</v>
      </c>
      <c r="E2049" t="s">
        <v>8568</v>
      </c>
      <c r="F2049">
        <v>2</v>
      </c>
      <c r="I2049" t="str">
        <f>HYPERLINK("tel:+13236308552", "323-630-8552")</f>
        <v>323-630-8552</v>
      </c>
      <c r="J2049" t="s">
        <v>8569</v>
      </c>
      <c r="K2049" t="s">
        <v>4601</v>
      </c>
      <c r="M2049">
        <v>3236308552</v>
      </c>
    </row>
    <row r="2050" spans="1:13" x14ac:dyDescent="0.25">
      <c r="A2050">
        <v>2537555191</v>
      </c>
      <c r="B2050" t="s">
        <v>8570</v>
      </c>
      <c r="C2050">
        <v>649900</v>
      </c>
      <c r="D2050" t="s">
        <v>8571</v>
      </c>
      <c r="E2050" t="s">
        <v>8572</v>
      </c>
      <c r="F2050">
        <v>2</v>
      </c>
      <c r="I2050" t="str">
        <f>HYPERLINK("tel:+13236331527", "323-633-1527")</f>
        <v>323-633-1527</v>
      </c>
      <c r="J2050" t="s">
        <v>8573</v>
      </c>
      <c r="K2050" t="s">
        <v>8574</v>
      </c>
      <c r="M2050">
        <v>3236331527</v>
      </c>
    </row>
    <row r="2051" spans="1:13" x14ac:dyDescent="0.25">
      <c r="A2051">
        <v>1908552030</v>
      </c>
      <c r="B2051" t="s">
        <v>8575</v>
      </c>
      <c r="C2051">
        <v>1950000</v>
      </c>
      <c r="D2051" t="s">
        <v>8576</v>
      </c>
      <c r="E2051" t="s">
        <v>8577</v>
      </c>
      <c r="F2051">
        <v>2</v>
      </c>
      <c r="I2051" t="str">
        <f>HYPERLINK("tel:+13236362060", "323-636-2060")</f>
        <v>323-636-2060</v>
      </c>
      <c r="J2051" t="s">
        <v>8578</v>
      </c>
      <c r="K2051" t="s">
        <v>8579</v>
      </c>
      <c r="M2051">
        <v>3236362060</v>
      </c>
    </row>
    <row r="2052" spans="1:13" x14ac:dyDescent="0.25">
      <c r="A2052">
        <v>2588716714</v>
      </c>
      <c r="B2052" t="s">
        <v>8580</v>
      </c>
      <c r="C2052">
        <v>639000</v>
      </c>
      <c r="D2052" t="s">
        <v>8581</v>
      </c>
      <c r="E2052" t="s">
        <v>8582</v>
      </c>
      <c r="F2052">
        <v>2</v>
      </c>
      <c r="I2052" t="str">
        <f>HYPERLINK("tel:+13236561800", "323-656-1800")</f>
        <v>323-656-1800</v>
      </c>
      <c r="J2052" t="s">
        <v>8583</v>
      </c>
      <c r="K2052" t="s">
        <v>8584</v>
      </c>
      <c r="M2052">
        <v>3236561800</v>
      </c>
    </row>
    <row r="2053" spans="1:13" x14ac:dyDescent="0.25">
      <c r="A2053">
        <v>1329821020</v>
      </c>
      <c r="B2053" t="s">
        <v>8585</v>
      </c>
      <c r="C2053">
        <v>8995000</v>
      </c>
      <c r="D2053" t="s">
        <v>8586</v>
      </c>
      <c r="E2053" t="s">
        <v>8587</v>
      </c>
      <c r="F2053">
        <v>2</v>
      </c>
      <c r="I2053" t="str">
        <f>HYPERLINK("tel:+13236711233", "323-671-1233")</f>
        <v>323-671-1233</v>
      </c>
      <c r="J2053" t="s">
        <v>8588</v>
      </c>
      <c r="K2053" t="s">
        <v>431</v>
      </c>
      <c r="M2053">
        <v>3236711233</v>
      </c>
    </row>
    <row r="2054" spans="1:13" x14ac:dyDescent="0.25">
      <c r="A2054">
        <v>1149031004</v>
      </c>
      <c r="B2054" t="s">
        <v>8589</v>
      </c>
      <c r="C2054">
        <v>5000000</v>
      </c>
      <c r="D2054" t="s">
        <v>8590</v>
      </c>
      <c r="E2054" t="s">
        <v>8591</v>
      </c>
      <c r="F2054">
        <v>2</v>
      </c>
      <c r="I2054" t="str">
        <f>HYPERLINK("tel:+13236712326", "323-671-2326")</f>
        <v>323-671-2326</v>
      </c>
      <c r="J2054" t="s">
        <v>8592</v>
      </c>
      <c r="K2054" t="s">
        <v>24</v>
      </c>
      <c r="M2054">
        <v>3236712326</v>
      </c>
    </row>
    <row r="2055" spans="1:13" x14ac:dyDescent="0.25">
      <c r="A2055">
        <v>2233899452</v>
      </c>
      <c r="B2055" t="s">
        <v>8329</v>
      </c>
      <c r="C2055">
        <v>799000</v>
      </c>
      <c r="D2055" t="s">
        <v>8330</v>
      </c>
      <c r="E2055" t="s">
        <v>8593</v>
      </c>
      <c r="F2055">
        <v>2</v>
      </c>
      <c r="I2055" t="str">
        <f>HYPERLINK("tel:+13236831762", "323-683-1762")</f>
        <v>323-683-1762</v>
      </c>
      <c r="J2055" t="s">
        <v>8594</v>
      </c>
      <c r="K2055" t="s">
        <v>8595</v>
      </c>
      <c r="M2055">
        <v>3236831762</v>
      </c>
    </row>
    <row r="2056" spans="1:13" x14ac:dyDescent="0.25">
      <c r="A2056">
        <v>1768956500</v>
      </c>
      <c r="B2056" t="s">
        <v>8596</v>
      </c>
      <c r="C2056">
        <v>1190000</v>
      </c>
      <c r="D2056" t="s">
        <v>8597</v>
      </c>
      <c r="E2056" t="s">
        <v>8598</v>
      </c>
      <c r="F2056">
        <v>2</v>
      </c>
      <c r="I2056" t="str">
        <f>HYPERLINK("tel:+13236837622", "323-683-7622")</f>
        <v>323-683-7622</v>
      </c>
      <c r="J2056" t="s">
        <v>8599</v>
      </c>
      <c r="K2056" t="s">
        <v>24</v>
      </c>
      <c r="M2056">
        <v>3236837622</v>
      </c>
    </row>
    <row r="2057" spans="1:13" x14ac:dyDescent="0.25">
      <c r="A2057">
        <v>1106816914</v>
      </c>
      <c r="B2057" t="s">
        <v>8600</v>
      </c>
      <c r="C2057">
        <v>565000</v>
      </c>
      <c r="D2057" t="s">
        <v>8601</v>
      </c>
      <c r="E2057" t="s">
        <v>8602</v>
      </c>
      <c r="F2057">
        <v>2</v>
      </c>
      <c r="I2057" t="str">
        <f>HYPERLINK("tel:+13236972010", "323-697-2010")</f>
        <v>323-697-2010</v>
      </c>
      <c r="J2057" t="s">
        <v>8603</v>
      </c>
      <c r="K2057" t="s">
        <v>8604</v>
      </c>
      <c r="M2057">
        <v>3236972010</v>
      </c>
    </row>
    <row r="2058" spans="1:13" x14ac:dyDescent="0.25">
      <c r="A2058">
        <v>2359872859</v>
      </c>
      <c r="B2058" t="s">
        <v>8605</v>
      </c>
      <c r="C2058">
        <v>2400000</v>
      </c>
      <c r="D2058" t="s">
        <v>8606</v>
      </c>
      <c r="E2058" t="s">
        <v>8607</v>
      </c>
      <c r="F2058">
        <v>2</v>
      </c>
      <c r="I2058" t="str">
        <f>HYPERLINK("tel:+13237021883", "323-702-1883")</f>
        <v>323-702-1883</v>
      </c>
      <c r="J2058" t="s">
        <v>8608</v>
      </c>
      <c r="K2058" t="s">
        <v>8230</v>
      </c>
      <c r="M2058">
        <v>3237021883</v>
      </c>
    </row>
    <row r="2059" spans="1:13" x14ac:dyDescent="0.25">
      <c r="A2059">
        <v>2584239726</v>
      </c>
      <c r="B2059" t="s">
        <v>8609</v>
      </c>
      <c r="C2059">
        <v>850000</v>
      </c>
      <c r="D2059" t="s">
        <v>8610</v>
      </c>
      <c r="E2059" t="s">
        <v>8611</v>
      </c>
      <c r="F2059">
        <v>2</v>
      </c>
      <c r="I2059" t="str">
        <f>HYPERLINK("tel:+13237027001", "323-702-7001")</f>
        <v>323-702-7001</v>
      </c>
      <c r="J2059" t="s">
        <v>8612</v>
      </c>
      <c r="K2059" t="s">
        <v>3389</v>
      </c>
      <c r="M2059">
        <v>3237027001</v>
      </c>
    </row>
    <row r="2060" spans="1:13" x14ac:dyDescent="0.25">
      <c r="A2060">
        <v>2176528274</v>
      </c>
      <c r="B2060" t="s">
        <v>8613</v>
      </c>
      <c r="C2060">
        <v>4800000</v>
      </c>
      <c r="D2060" t="s">
        <v>8614</v>
      </c>
      <c r="E2060" t="s">
        <v>8615</v>
      </c>
      <c r="F2060">
        <v>2</v>
      </c>
      <c r="I2060" t="str">
        <f>HYPERLINK("tel:+13237033581", "323-703-3581")</f>
        <v>323-703-3581</v>
      </c>
      <c r="J2060" t="s">
        <v>8616</v>
      </c>
      <c r="K2060" t="s">
        <v>6844</v>
      </c>
      <c r="M2060">
        <v>3237033581</v>
      </c>
    </row>
    <row r="2061" spans="1:13" x14ac:dyDescent="0.25">
      <c r="A2061">
        <v>1570403313</v>
      </c>
      <c r="B2061" t="s">
        <v>8617</v>
      </c>
      <c r="C2061">
        <v>649000</v>
      </c>
      <c r="D2061" t="s">
        <v>8618</v>
      </c>
      <c r="E2061" t="s">
        <v>8619</v>
      </c>
      <c r="F2061">
        <v>2</v>
      </c>
      <c r="I2061" t="str">
        <f>HYPERLINK("tel:+13237075043", "323-707-5043")</f>
        <v>323-707-5043</v>
      </c>
      <c r="J2061" t="s">
        <v>8620</v>
      </c>
      <c r="K2061" t="s">
        <v>8621</v>
      </c>
      <c r="M2061">
        <v>3237075043</v>
      </c>
    </row>
    <row r="2062" spans="1:13" x14ac:dyDescent="0.25">
      <c r="A2062">
        <v>2818333555</v>
      </c>
      <c r="B2062" t="s">
        <v>8622</v>
      </c>
      <c r="C2062">
        <v>950000</v>
      </c>
      <c r="D2062" t="s">
        <v>8623</v>
      </c>
      <c r="E2062" t="s">
        <v>8624</v>
      </c>
      <c r="F2062">
        <v>2</v>
      </c>
      <c r="I2062" t="str">
        <f>HYPERLINK("tel:+13237177418", "323-717-7418")</f>
        <v>323-717-7418</v>
      </c>
      <c r="J2062" t="s">
        <v>8625</v>
      </c>
      <c r="K2062" t="s">
        <v>8626</v>
      </c>
      <c r="M2062">
        <v>3237177418</v>
      </c>
    </row>
    <row r="2063" spans="1:13" x14ac:dyDescent="0.25">
      <c r="A2063">
        <v>2039024467</v>
      </c>
      <c r="B2063" t="s">
        <v>8627</v>
      </c>
      <c r="C2063">
        <v>410000</v>
      </c>
      <c r="D2063" t="s">
        <v>8628</v>
      </c>
      <c r="E2063" t="s">
        <v>8629</v>
      </c>
      <c r="F2063">
        <v>2</v>
      </c>
      <c r="I2063" t="str">
        <f>HYPERLINK("tel:+13237225514", "323-722-5514")</f>
        <v>323-722-5514</v>
      </c>
      <c r="J2063" t="s">
        <v>8630</v>
      </c>
      <c r="K2063" t="s">
        <v>8631</v>
      </c>
      <c r="M2063">
        <v>3237225514</v>
      </c>
    </row>
    <row r="2064" spans="1:13" x14ac:dyDescent="0.25">
      <c r="A2064">
        <v>1149005813</v>
      </c>
      <c r="B2064" t="s">
        <v>8632</v>
      </c>
      <c r="C2064">
        <v>950000</v>
      </c>
      <c r="D2064" t="s">
        <v>8633</v>
      </c>
      <c r="E2064" t="s">
        <v>8634</v>
      </c>
      <c r="F2064">
        <v>2</v>
      </c>
      <c r="I2064" t="str">
        <f>HYPERLINK("tel:+13237237120", "323-723-7120")</f>
        <v>323-723-7120</v>
      </c>
      <c r="J2064" t="s">
        <v>8635</v>
      </c>
      <c r="K2064" t="s">
        <v>87</v>
      </c>
      <c r="M2064">
        <v>3237237120</v>
      </c>
    </row>
    <row r="2065" spans="1:13" x14ac:dyDescent="0.25">
      <c r="A2065">
        <v>2875539375</v>
      </c>
      <c r="B2065" t="s">
        <v>8636</v>
      </c>
      <c r="C2065">
        <v>1400000</v>
      </c>
      <c r="D2065" t="s">
        <v>8637</v>
      </c>
      <c r="E2065" t="s">
        <v>8638</v>
      </c>
      <c r="F2065">
        <v>2</v>
      </c>
      <c r="I2065" t="str">
        <f>HYPERLINK("tel:+13237474663", "323-747-4663")</f>
        <v>323-747-4663</v>
      </c>
      <c r="J2065" t="s">
        <v>8639</v>
      </c>
      <c r="K2065" t="s">
        <v>8640</v>
      </c>
      <c r="M2065">
        <v>3237474663</v>
      </c>
    </row>
    <row r="2066" spans="1:13" x14ac:dyDescent="0.25">
      <c r="A2066">
        <v>2102372197</v>
      </c>
      <c r="B2066" t="s">
        <v>8641</v>
      </c>
      <c r="C2066">
        <v>1399999</v>
      </c>
      <c r="D2066" t="s">
        <v>8642</v>
      </c>
      <c r="E2066" t="s">
        <v>8643</v>
      </c>
      <c r="F2066">
        <v>2</v>
      </c>
      <c r="I2066" t="str">
        <f>HYPERLINK("tel:+13237882221", "323-788-2221")</f>
        <v>323-788-2221</v>
      </c>
      <c r="J2066" t="s">
        <v>8644</v>
      </c>
      <c r="K2066" t="s">
        <v>8645</v>
      </c>
      <c r="M2066">
        <v>3237882221</v>
      </c>
    </row>
    <row r="2067" spans="1:13" x14ac:dyDescent="0.25">
      <c r="A2067">
        <v>1949841991</v>
      </c>
      <c r="B2067" t="s">
        <v>8646</v>
      </c>
      <c r="C2067">
        <v>688000</v>
      </c>
      <c r="D2067" t="s">
        <v>8647</v>
      </c>
      <c r="E2067" t="s">
        <v>8648</v>
      </c>
      <c r="F2067">
        <v>2</v>
      </c>
      <c r="I2067" t="str">
        <f>HYPERLINK("tel:+13237988180", "323-798-8180")</f>
        <v>323-798-8180</v>
      </c>
      <c r="J2067" t="s">
        <v>8649</v>
      </c>
      <c r="K2067" t="s">
        <v>8648</v>
      </c>
      <c r="M2067">
        <v>3237988180</v>
      </c>
    </row>
    <row r="2068" spans="1:13" x14ac:dyDescent="0.25">
      <c r="A2068">
        <v>1343894617</v>
      </c>
      <c r="B2068" t="s">
        <v>8650</v>
      </c>
      <c r="C2068">
        <v>1995000</v>
      </c>
      <c r="D2068" t="s">
        <v>8651</v>
      </c>
      <c r="E2068" t="s">
        <v>8652</v>
      </c>
      <c r="F2068">
        <v>2</v>
      </c>
      <c r="I2068" t="str">
        <f>HYPERLINK("tel:+13238212102", "323-821-2102")</f>
        <v>323-821-2102</v>
      </c>
      <c r="J2068" t="s">
        <v>8653</v>
      </c>
      <c r="K2068" t="s">
        <v>9</v>
      </c>
      <c r="M2068">
        <v>3238212102</v>
      </c>
    </row>
    <row r="2069" spans="1:13" x14ac:dyDescent="0.25">
      <c r="A2069">
        <v>2131233705</v>
      </c>
      <c r="B2069" t="s">
        <v>8654</v>
      </c>
      <c r="C2069">
        <v>275000</v>
      </c>
      <c r="D2069" t="s">
        <v>8655</v>
      </c>
      <c r="E2069" t="s">
        <v>8656</v>
      </c>
      <c r="F2069">
        <v>2</v>
      </c>
      <c r="I2069" t="str">
        <f>HYPERLINK("tel:+13238281741", "323-828-1741")</f>
        <v>323-828-1741</v>
      </c>
      <c r="J2069" t="s">
        <v>8657</v>
      </c>
      <c r="K2069" t="s">
        <v>8658</v>
      </c>
      <c r="M2069">
        <v>3238281741</v>
      </c>
    </row>
    <row r="2070" spans="1:13" x14ac:dyDescent="0.25">
      <c r="A2070">
        <v>2900541673</v>
      </c>
      <c r="B2070" t="s">
        <v>8659</v>
      </c>
      <c r="C2070">
        <v>2089000</v>
      </c>
      <c r="D2070" t="s">
        <v>8660</v>
      </c>
      <c r="E2070" t="s">
        <v>8661</v>
      </c>
      <c r="F2070">
        <v>2</v>
      </c>
      <c r="I2070" t="str">
        <f>HYPERLINK("tel:+13238287269", "323-828-7269")</f>
        <v>323-828-7269</v>
      </c>
      <c r="J2070" t="s">
        <v>8662</v>
      </c>
      <c r="K2070" t="s">
        <v>2642</v>
      </c>
      <c r="M2070">
        <v>3238287269</v>
      </c>
    </row>
    <row r="2071" spans="1:13" x14ac:dyDescent="0.25">
      <c r="A2071">
        <v>2213908460</v>
      </c>
      <c r="B2071" t="s">
        <v>8663</v>
      </c>
      <c r="C2071">
        <v>799000</v>
      </c>
      <c r="D2071" t="s">
        <v>8664</v>
      </c>
      <c r="E2071" t="s">
        <v>8665</v>
      </c>
      <c r="F2071">
        <v>2</v>
      </c>
      <c r="I2071" t="str">
        <f>HYPERLINK("tel:+13238332370", "323-833-2370")</f>
        <v>323-833-2370</v>
      </c>
      <c r="J2071" t="s">
        <v>8666</v>
      </c>
      <c r="K2071" t="s">
        <v>8667</v>
      </c>
      <c r="M2071">
        <v>3238332370</v>
      </c>
    </row>
    <row r="2072" spans="1:13" x14ac:dyDescent="0.25">
      <c r="A2072">
        <v>2339160424</v>
      </c>
      <c r="B2072" t="s">
        <v>8668</v>
      </c>
      <c r="C2072">
        <v>925000</v>
      </c>
      <c r="D2072" t="s">
        <v>8669</v>
      </c>
      <c r="E2072" t="s">
        <v>8670</v>
      </c>
      <c r="F2072">
        <v>2</v>
      </c>
      <c r="I2072" t="str">
        <f>HYPERLINK("tel:+13238496093", "323-849-6093")</f>
        <v>323-849-6093</v>
      </c>
      <c r="J2072" t="s">
        <v>8671</v>
      </c>
      <c r="K2072" t="s">
        <v>8672</v>
      </c>
      <c r="M2072">
        <v>3238496093</v>
      </c>
    </row>
    <row r="2073" spans="1:13" x14ac:dyDescent="0.25">
      <c r="A2073">
        <v>1887489772</v>
      </c>
      <c r="B2073" t="s">
        <v>8673</v>
      </c>
      <c r="C2073">
        <v>1095000</v>
      </c>
      <c r="D2073" t="s">
        <v>8674</v>
      </c>
      <c r="E2073" t="s">
        <v>8675</v>
      </c>
      <c r="F2073">
        <v>2</v>
      </c>
      <c r="I2073" t="str">
        <f>HYPERLINK("tel:+13238554380", "323-855-4380")</f>
        <v>323-855-4380</v>
      </c>
      <c r="J2073" t="s">
        <v>8676</v>
      </c>
      <c r="K2073" t="s">
        <v>24</v>
      </c>
      <c r="M2073">
        <v>3238554380</v>
      </c>
    </row>
    <row r="2074" spans="1:13" x14ac:dyDescent="0.25">
      <c r="A2074">
        <v>9468502199</v>
      </c>
      <c r="B2074" t="s">
        <v>8299</v>
      </c>
      <c r="C2074">
        <v>780000</v>
      </c>
      <c r="D2074" t="s">
        <v>8300</v>
      </c>
      <c r="E2074" t="s">
        <v>8677</v>
      </c>
      <c r="F2074">
        <v>2</v>
      </c>
      <c r="I2074" t="str">
        <f>HYPERLINK("tel:+13238596284", "323-859-6284")</f>
        <v>323-859-6284</v>
      </c>
      <c r="J2074" t="s">
        <v>8678</v>
      </c>
      <c r="K2074" t="s">
        <v>2917</v>
      </c>
      <c r="M2074">
        <v>3238596284</v>
      </c>
    </row>
    <row r="2075" spans="1:13" x14ac:dyDescent="0.25">
      <c r="A2075">
        <v>2804601467</v>
      </c>
      <c r="B2075" t="s">
        <v>8679</v>
      </c>
      <c r="C2075">
        <v>750000</v>
      </c>
      <c r="D2075" t="s">
        <v>8680</v>
      </c>
      <c r="E2075" t="s">
        <v>8681</v>
      </c>
      <c r="F2075">
        <v>2</v>
      </c>
      <c r="I2075" t="str">
        <f>HYPERLINK("tel:+13238644116", "323-864-4116")</f>
        <v>323-864-4116</v>
      </c>
      <c r="J2075" t="s">
        <v>8682</v>
      </c>
      <c r="K2075" t="s">
        <v>8683</v>
      </c>
      <c r="M2075">
        <v>3238644116</v>
      </c>
    </row>
    <row r="2076" spans="1:13" x14ac:dyDescent="0.25">
      <c r="A2076">
        <v>1871703533</v>
      </c>
      <c r="B2076" t="s">
        <v>4805</v>
      </c>
      <c r="C2076">
        <v>5199000</v>
      </c>
      <c r="D2076" t="s">
        <v>4806</v>
      </c>
      <c r="E2076" t="s">
        <v>8684</v>
      </c>
      <c r="F2076">
        <v>2</v>
      </c>
      <c r="I2076" t="str">
        <f>HYPERLINK("tel:+13238647406", "323-864-7406")</f>
        <v>323-864-7406</v>
      </c>
      <c r="J2076" t="s">
        <v>8685</v>
      </c>
      <c r="K2076" t="s">
        <v>4</v>
      </c>
      <c r="M2076">
        <v>3238647406</v>
      </c>
    </row>
    <row r="2077" spans="1:13" x14ac:dyDescent="0.25">
      <c r="A2077">
        <v>2132743237</v>
      </c>
      <c r="B2077" t="s">
        <v>8686</v>
      </c>
      <c r="C2077">
        <v>575000</v>
      </c>
      <c r="D2077" t="s">
        <v>8687</v>
      </c>
      <c r="E2077" t="s">
        <v>8688</v>
      </c>
      <c r="F2077">
        <v>2</v>
      </c>
      <c r="I2077" t="str">
        <f>HYPERLINK("tel:+13238683993", "323-868-3993")</f>
        <v>323-868-3993</v>
      </c>
      <c r="J2077" t="s">
        <v>8689</v>
      </c>
      <c r="K2077" t="s">
        <v>4238</v>
      </c>
      <c r="M2077">
        <v>3238683993</v>
      </c>
    </row>
    <row r="2078" spans="1:13" x14ac:dyDescent="0.25">
      <c r="A2078">
        <v>2934870607</v>
      </c>
      <c r="B2078" t="s">
        <v>8690</v>
      </c>
      <c r="C2078">
        <v>279000</v>
      </c>
      <c r="D2078" t="s">
        <v>8691</v>
      </c>
      <c r="E2078" t="s">
        <v>8692</v>
      </c>
      <c r="F2078">
        <v>2</v>
      </c>
      <c r="I2078" t="str">
        <f>HYPERLINK("tel:+13238686463", "323-868-6463")</f>
        <v>323-868-6463</v>
      </c>
      <c r="J2078" t="s">
        <v>8693</v>
      </c>
      <c r="K2078" t="s">
        <v>724</v>
      </c>
      <c r="M2078">
        <v>3238686463</v>
      </c>
    </row>
    <row r="2079" spans="1:13" x14ac:dyDescent="0.25">
      <c r="A2079">
        <v>1404377945</v>
      </c>
      <c r="B2079" t="s">
        <v>8694</v>
      </c>
      <c r="C2079">
        <v>735000</v>
      </c>
      <c r="D2079" t="s">
        <v>8695</v>
      </c>
      <c r="E2079" t="s">
        <v>8696</v>
      </c>
      <c r="F2079">
        <v>2</v>
      </c>
      <c r="I2079" t="str">
        <f>HYPERLINK("tel:+13238710545", "323-871-0545")</f>
        <v>323-871-0545</v>
      </c>
      <c r="J2079" t="s">
        <v>8697</v>
      </c>
      <c r="K2079" t="s">
        <v>8698</v>
      </c>
      <c r="M2079">
        <v>3238710545</v>
      </c>
    </row>
    <row r="2080" spans="1:13" x14ac:dyDescent="0.25">
      <c r="A2080">
        <v>1162799195</v>
      </c>
      <c r="B2080" t="s">
        <v>8699</v>
      </c>
      <c r="C2080">
        <v>1499000</v>
      </c>
      <c r="D2080" t="s">
        <v>8700</v>
      </c>
      <c r="E2080" t="s">
        <v>8701</v>
      </c>
      <c r="F2080">
        <v>2</v>
      </c>
      <c r="I2080" t="str">
        <f>HYPERLINK("tel:+13238774943", "323-877-4943")</f>
        <v>323-877-4943</v>
      </c>
      <c r="J2080" t="s">
        <v>8702</v>
      </c>
      <c r="K2080" t="s">
        <v>4215</v>
      </c>
      <c r="M2080">
        <v>3238774943</v>
      </c>
    </row>
    <row r="2081" spans="1:13" x14ac:dyDescent="0.25">
      <c r="A2081">
        <v>1417130418</v>
      </c>
      <c r="B2081" t="s">
        <v>8365</v>
      </c>
      <c r="C2081">
        <v>1095000</v>
      </c>
      <c r="D2081" t="s">
        <v>8366</v>
      </c>
      <c r="E2081" t="s">
        <v>8703</v>
      </c>
      <c r="F2081">
        <v>2</v>
      </c>
      <c r="I2081" t="str">
        <f>HYPERLINK("tel:+13238982991", "323-898-2991")</f>
        <v>323-898-2991</v>
      </c>
      <c r="J2081" t="s">
        <v>8704</v>
      </c>
      <c r="K2081" t="s">
        <v>450</v>
      </c>
      <c r="M2081">
        <v>3238982991</v>
      </c>
    </row>
    <row r="2082" spans="1:13" x14ac:dyDescent="0.25">
      <c r="A2082">
        <v>1845674236</v>
      </c>
      <c r="B2082" t="s">
        <v>8705</v>
      </c>
      <c r="C2082">
        <v>3495000</v>
      </c>
      <c r="D2082" t="s">
        <v>8706</v>
      </c>
      <c r="E2082" t="s">
        <v>8707</v>
      </c>
      <c r="F2082">
        <v>2</v>
      </c>
      <c r="I2082" t="str">
        <f>HYPERLINK("tel:+13238990391", "323-899-0391")</f>
        <v>323-899-0391</v>
      </c>
      <c r="J2082" t="s">
        <v>8708</v>
      </c>
      <c r="K2082" t="s">
        <v>24</v>
      </c>
      <c r="M2082">
        <v>3238990391</v>
      </c>
    </row>
    <row r="2083" spans="1:13" x14ac:dyDescent="0.25">
      <c r="A2083">
        <v>2464614369</v>
      </c>
      <c r="B2083" t="s">
        <v>8709</v>
      </c>
      <c r="C2083">
        <v>680000</v>
      </c>
      <c r="D2083" t="s">
        <v>8710</v>
      </c>
      <c r="E2083" t="s">
        <v>8711</v>
      </c>
      <c r="F2083">
        <v>2</v>
      </c>
      <c r="I2083" t="str">
        <f>HYPERLINK("tel:+13239017081", "323-901-7081")</f>
        <v>323-901-7081</v>
      </c>
      <c r="J2083" t="s">
        <v>8712</v>
      </c>
      <c r="K2083" t="s">
        <v>8713</v>
      </c>
      <c r="M2083">
        <v>3239017081</v>
      </c>
    </row>
    <row r="2084" spans="1:13" x14ac:dyDescent="0.25">
      <c r="A2084">
        <v>2956887779</v>
      </c>
      <c r="B2084" t="s">
        <v>3993</v>
      </c>
      <c r="C2084">
        <v>4989000</v>
      </c>
      <c r="D2084" t="s">
        <v>3994</v>
      </c>
      <c r="E2084" t="s">
        <v>8714</v>
      </c>
      <c r="F2084">
        <v>2</v>
      </c>
      <c r="I2084" t="str">
        <f>HYPERLINK("tel:+13239320884", "323-932-0884")</f>
        <v>323-932-0884</v>
      </c>
      <c r="J2084" t="s">
        <v>8715</v>
      </c>
      <c r="K2084" t="s">
        <v>8716</v>
      </c>
      <c r="M2084">
        <v>3239320884</v>
      </c>
    </row>
    <row r="2085" spans="1:13" x14ac:dyDescent="0.25">
      <c r="A2085">
        <v>2421656643</v>
      </c>
      <c r="B2085" t="s">
        <v>8717</v>
      </c>
      <c r="C2085">
        <v>655000</v>
      </c>
      <c r="D2085" t="s">
        <v>8718</v>
      </c>
      <c r="E2085" t="s">
        <v>8719</v>
      </c>
      <c r="F2085">
        <v>2</v>
      </c>
      <c r="I2085" t="str">
        <f>HYPERLINK("tel:+13239330307", "323-933-0307")</f>
        <v>323-933-0307</v>
      </c>
      <c r="J2085" t="s">
        <v>8720</v>
      </c>
      <c r="K2085" t="s">
        <v>1886</v>
      </c>
      <c r="M2085">
        <v>3239330307</v>
      </c>
    </row>
    <row r="2086" spans="1:13" x14ac:dyDescent="0.25">
      <c r="A2086">
        <v>1276500123</v>
      </c>
      <c r="B2086" t="s">
        <v>8721</v>
      </c>
      <c r="C2086">
        <v>850000</v>
      </c>
      <c r="D2086" t="s">
        <v>8722</v>
      </c>
      <c r="E2086" t="s">
        <v>8723</v>
      </c>
      <c r="F2086">
        <v>2</v>
      </c>
      <c r="I2086" t="str">
        <f>HYPERLINK("tel:+13239725766", "323-972-5766")</f>
        <v>323-972-5766</v>
      </c>
      <c r="J2086" t="s">
        <v>8724</v>
      </c>
      <c r="K2086" t="s">
        <v>4764</v>
      </c>
      <c r="M2086">
        <v>3239725766</v>
      </c>
    </row>
    <row r="2087" spans="1:13" x14ac:dyDescent="0.25">
      <c r="A2087">
        <v>1471362514</v>
      </c>
      <c r="B2087" t="s">
        <v>8725</v>
      </c>
      <c r="C2087">
        <v>1650000</v>
      </c>
      <c r="D2087" t="s">
        <v>8726</v>
      </c>
      <c r="E2087" t="s">
        <v>8727</v>
      </c>
      <c r="F2087">
        <v>2</v>
      </c>
      <c r="I2087" t="str">
        <f>HYPERLINK("tel:+13239752229", "323-975-2229")</f>
        <v>323-975-2229</v>
      </c>
      <c r="J2087" t="s">
        <v>8728</v>
      </c>
      <c r="K2087" t="s">
        <v>168</v>
      </c>
      <c r="M2087">
        <v>3239752229</v>
      </c>
    </row>
    <row r="2088" spans="1:13" x14ac:dyDescent="0.25">
      <c r="A2088">
        <v>9789013752</v>
      </c>
      <c r="B2088" t="s">
        <v>8729</v>
      </c>
      <c r="C2088">
        <v>1450000</v>
      </c>
      <c r="D2088" t="s">
        <v>8730</v>
      </c>
      <c r="E2088" t="s">
        <v>8731</v>
      </c>
      <c r="F2088">
        <v>2</v>
      </c>
      <c r="I2088" t="str">
        <f>HYPERLINK("tel:+13239972016", "323-997-2016")</f>
        <v>323-997-2016</v>
      </c>
      <c r="J2088" t="s">
        <v>8732</v>
      </c>
      <c r="K2088" t="s">
        <v>4764</v>
      </c>
      <c r="M2088">
        <v>3239972016</v>
      </c>
    </row>
    <row r="2089" spans="1:13" x14ac:dyDescent="0.25">
      <c r="A2089">
        <v>1224843229</v>
      </c>
      <c r="B2089" t="s">
        <v>8733</v>
      </c>
      <c r="C2089">
        <v>1700000</v>
      </c>
      <c r="D2089" t="s">
        <v>8734</v>
      </c>
      <c r="E2089" t="s">
        <v>8735</v>
      </c>
      <c r="F2089">
        <v>2</v>
      </c>
      <c r="I2089" t="str">
        <f>HYPERLINK("tel:+13522177429", "352-217-7429")</f>
        <v>352-217-7429</v>
      </c>
      <c r="J2089" t="s">
        <v>8736</v>
      </c>
      <c r="K2089" t="s">
        <v>24</v>
      </c>
      <c r="M2089">
        <v>3522177429</v>
      </c>
    </row>
    <row r="2090" spans="1:13" x14ac:dyDescent="0.25">
      <c r="A2090">
        <v>2851792623</v>
      </c>
      <c r="B2090" t="s">
        <v>8737</v>
      </c>
      <c r="C2090">
        <v>359900</v>
      </c>
      <c r="D2090" t="s">
        <v>8738</v>
      </c>
      <c r="E2090" t="s">
        <v>8739</v>
      </c>
      <c r="F2090">
        <v>2</v>
      </c>
      <c r="I2090" t="str">
        <f>HYPERLINK("tel:+14083169854", "408-316-9854")</f>
        <v>408-316-9854</v>
      </c>
      <c r="J2090" t="s">
        <v>8740</v>
      </c>
      <c r="K2090" t="s">
        <v>8741</v>
      </c>
      <c r="M2090">
        <v>4083169854</v>
      </c>
    </row>
    <row r="2091" spans="1:13" x14ac:dyDescent="0.25">
      <c r="A2091">
        <v>1772469220</v>
      </c>
      <c r="B2091" t="s">
        <v>8742</v>
      </c>
      <c r="C2091">
        <v>1330000</v>
      </c>
      <c r="D2091" t="s">
        <v>8743</v>
      </c>
      <c r="E2091" t="s">
        <v>8744</v>
      </c>
      <c r="F2091">
        <v>2</v>
      </c>
      <c r="I2091" t="str">
        <f>HYPERLINK("tel:+14084261221", "408-426-1221")</f>
        <v>408-426-1221</v>
      </c>
      <c r="J2091" t="s">
        <v>8745</v>
      </c>
      <c r="K2091" t="s">
        <v>214</v>
      </c>
      <c r="M2091">
        <v>4084261221</v>
      </c>
    </row>
    <row r="2092" spans="1:13" x14ac:dyDescent="0.25">
      <c r="A2092">
        <v>1974293341</v>
      </c>
      <c r="B2092" t="s">
        <v>8746</v>
      </c>
      <c r="C2092">
        <v>1399990</v>
      </c>
      <c r="D2092" t="s">
        <v>8747</v>
      </c>
      <c r="E2092" t="s">
        <v>8748</v>
      </c>
      <c r="F2092">
        <v>2</v>
      </c>
      <c r="I2092" t="str">
        <f>HYPERLINK("tel:+14086099739", "408-609-9739")</f>
        <v>408-609-9739</v>
      </c>
      <c r="J2092" t="s">
        <v>8749</v>
      </c>
      <c r="K2092" t="s">
        <v>2423</v>
      </c>
      <c r="M2092">
        <v>4086099739</v>
      </c>
    </row>
    <row r="2093" spans="1:13" x14ac:dyDescent="0.25">
      <c r="A2093">
        <v>1491513239</v>
      </c>
      <c r="B2093" t="s">
        <v>8750</v>
      </c>
      <c r="C2093">
        <v>1549000</v>
      </c>
      <c r="D2093" t="s">
        <v>8751</v>
      </c>
      <c r="E2093" t="s">
        <v>8752</v>
      </c>
      <c r="F2093">
        <v>2</v>
      </c>
      <c r="I2093" t="str">
        <f>HYPERLINK("tel:+14153619950", "415-361-9950")</f>
        <v>415-361-9950</v>
      </c>
      <c r="J2093" t="s">
        <v>8753</v>
      </c>
      <c r="K2093" t="s">
        <v>24</v>
      </c>
      <c r="M2093">
        <v>4153619950</v>
      </c>
    </row>
    <row r="2094" spans="1:13" x14ac:dyDescent="0.25">
      <c r="A2094">
        <v>9222134749</v>
      </c>
      <c r="B2094" t="s">
        <v>8754</v>
      </c>
      <c r="C2094">
        <v>5650000</v>
      </c>
      <c r="D2094" t="s">
        <v>8755</v>
      </c>
      <c r="E2094" t="s">
        <v>8756</v>
      </c>
      <c r="F2094">
        <v>2</v>
      </c>
      <c r="I2094" t="str">
        <f>HYPERLINK("tel:+14156156815", "415-615-6815")</f>
        <v>415-615-6815</v>
      </c>
      <c r="J2094" t="s">
        <v>8757</v>
      </c>
      <c r="K2094" t="s">
        <v>3942</v>
      </c>
      <c r="M2094">
        <v>4156156815</v>
      </c>
    </row>
    <row r="2095" spans="1:13" x14ac:dyDescent="0.25">
      <c r="A2095">
        <v>9272087765</v>
      </c>
      <c r="B2095" t="s">
        <v>8758</v>
      </c>
      <c r="C2095">
        <v>3298000</v>
      </c>
      <c r="D2095" t="s">
        <v>8759</v>
      </c>
      <c r="E2095" t="s">
        <v>8760</v>
      </c>
      <c r="F2095">
        <v>2</v>
      </c>
      <c r="I2095" t="str">
        <f>HYPERLINK("tel:+14156234362", "415-623-4362")</f>
        <v>415-623-4362</v>
      </c>
      <c r="J2095" t="s">
        <v>8761</v>
      </c>
      <c r="K2095" t="s">
        <v>450</v>
      </c>
      <c r="M2095">
        <v>4156234362</v>
      </c>
    </row>
    <row r="2096" spans="1:13" x14ac:dyDescent="0.25">
      <c r="A2096">
        <v>9065782325</v>
      </c>
      <c r="B2096" t="s">
        <v>8762</v>
      </c>
      <c r="C2096">
        <v>939000</v>
      </c>
      <c r="D2096" t="s">
        <v>8763</v>
      </c>
      <c r="E2096" t="s">
        <v>8764</v>
      </c>
      <c r="F2096">
        <v>2</v>
      </c>
      <c r="I2096" t="str">
        <f>HYPERLINK("tel:+14158103855", "415-810-3855")</f>
        <v>415-810-3855</v>
      </c>
      <c r="J2096" t="s">
        <v>8765</v>
      </c>
      <c r="K2096" t="s">
        <v>8766</v>
      </c>
      <c r="M2096">
        <v>4158103855</v>
      </c>
    </row>
    <row r="2097" spans="1:13" x14ac:dyDescent="0.25">
      <c r="A2097">
        <v>9301068597</v>
      </c>
      <c r="B2097" t="s">
        <v>8767</v>
      </c>
      <c r="C2097">
        <v>2279000</v>
      </c>
      <c r="D2097" t="s">
        <v>8768</v>
      </c>
      <c r="E2097" t="s">
        <v>8769</v>
      </c>
      <c r="F2097">
        <v>2</v>
      </c>
      <c r="I2097" t="str">
        <f>HYPERLINK("tel:+14159171921", "415-917-1921")</f>
        <v>415-917-1921</v>
      </c>
      <c r="J2097" t="s">
        <v>8770</v>
      </c>
      <c r="K2097" t="s">
        <v>8771</v>
      </c>
      <c r="M2097">
        <v>4159171921</v>
      </c>
    </row>
    <row r="2098" spans="1:13" x14ac:dyDescent="0.25">
      <c r="A2098">
        <v>2893060940</v>
      </c>
      <c r="B2098" t="s">
        <v>8772</v>
      </c>
      <c r="C2098">
        <v>19500000</v>
      </c>
      <c r="D2098" t="s">
        <v>8773</v>
      </c>
      <c r="E2098" t="s">
        <v>8774</v>
      </c>
      <c r="F2098">
        <v>2</v>
      </c>
      <c r="I2098" t="str">
        <f>HYPERLINK("tel:+14242029949", "424-202-9949")</f>
        <v>424-202-9949</v>
      </c>
      <c r="J2098" t="s">
        <v>8775</v>
      </c>
      <c r="K2098" t="s">
        <v>136</v>
      </c>
      <c r="M2098">
        <v>4242029949</v>
      </c>
    </row>
    <row r="2099" spans="1:13" x14ac:dyDescent="0.25">
      <c r="A2099">
        <v>9222801588</v>
      </c>
      <c r="B2099" t="s">
        <v>8776</v>
      </c>
      <c r="C2099">
        <v>11000000</v>
      </c>
      <c r="D2099" t="s">
        <v>8777</v>
      </c>
      <c r="E2099" t="s">
        <v>8778</v>
      </c>
      <c r="F2099">
        <v>2</v>
      </c>
      <c r="I2099" t="str">
        <f>HYPERLINK("tel:+14242090773", "424-209-0773")</f>
        <v>424-209-0773</v>
      </c>
      <c r="J2099" t="s">
        <v>8779</v>
      </c>
      <c r="K2099" t="s">
        <v>282</v>
      </c>
      <c r="M2099">
        <v>4242090773</v>
      </c>
    </row>
    <row r="2100" spans="1:13" x14ac:dyDescent="0.25">
      <c r="A2100">
        <v>9442509050</v>
      </c>
      <c r="B2100" t="s">
        <v>7659</v>
      </c>
      <c r="C2100">
        <v>1599999</v>
      </c>
      <c r="D2100" t="s">
        <v>7660</v>
      </c>
      <c r="E2100" t="s">
        <v>8780</v>
      </c>
      <c r="F2100">
        <v>2</v>
      </c>
      <c r="I2100" t="str">
        <f>HYPERLINK("tel:+14242100262", "424-210-0262")</f>
        <v>424-210-0262</v>
      </c>
      <c r="J2100" t="s">
        <v>8781</v>
      </c>
      <c r="K2100" t="s">
        <v>990</v>
      </c>
      <c r="M2100">
        <v>4242100262</v>
      </c>
    </row>
    <row r="2101" spans="1:13" x14ac:dyDescent="0.25">
      <c r="A2101">
        <v>9009962623</v>
      </c>
      <c r="B2101" t="s">
        <v>8782</v>
      </c>
      <c r="C2101">
        <v>2888888</v>
      </c>
      <c r="D2101" t="s">
        <v>8783</v>
      </c>
      <c r="E2101" t="s">
        <v>8784</v>
      </c>
      <c r="F2101">
        <v>2</v>
      </c>
      <c r="I2101" t="str">
        <f>HYPERLINK("tel:+14242166218", "424-216-6218")</f>
        <v>424-216-6218</v>
      </c>
      <c r="J2101" t="s">
        <v>8785</v>
      </c>
      <c r="K2101" t="s">
        <v>8784</v>
      </c>
      <c r="M2101">
        <v>4242166218</v>
      </c>
    </row>
    <row r="2102" spans="1:13" x14ac:dyDescent="0.25">
      <c r="A2102">
        <v>1850355223</v>
      </c>
      <c r="B2102" t="s">
        <v>8786</v>
      </c>
      <c r="C2102">
        <v>2200000</v>
      </c>
      <c r="D2102" t="s">
        <v>8787</v>
      </c>
      <c r="E2102" t="s">
        <v>8788</v>
      </c>
      <c r="F2102">
        <v>2</v>
      </c>
      <c r="I2102" t="str">
        <f>HYPERLINK("tel:+14242302389", "424-230-2389")</f>
        <v>424-230-2389</v>
      </c>
      <c r="J2102" t="s">
        <v>8789</v>
      </c>
      <c r="K2102" t="s">
        <v>136</v>
      </c>
      <c r="M2102">
        <v>4242302389</v>
      </c>
    </row>
    <row r="2103" spans="1:13" x14ac:dyDescent="0.25">
      <c r="A2103">
        <v>2061610776</v>
      </c>
      <c r="B2103" t="s">
        <v>8790</v>
      </c>
      <c r="C2103">
        <v>3495000</v>
      </c>
      <c r="D2103" t="s">
        <v>8791</v>
      </c>
      <c r="E2103" t="s">
        <v>8792</v>
      </c>
      <c r="F2103">
        <v>2</v>
      </c>
      <c r="I2103" t="str">
        <f>HYPERLINK("tel:+14242303735", "424-230-3735")</f>
        <v>424-230-3735</v>
      </c>
      <c r="J2103" t="s">
        <v>8793</v>
      </c>
      <c r="K2103" t="s">
        <v>63</v>
      </c>
      <c r="M2103">
        <v>4242303735</v>
      </c>
    </row>
    <row r="2104" spans="1:13" x14ac:dyDescent="0.25">
      <c r="A2104">
        <v>9463185330</v>
      </c>
      <c r="B2104" t="s">
        <v>7733</v>
      </c>
      <c r="C2104">
        <v>2550000</v>
      </c>
      <c r="D2104" t="s">
        <v>7734</v>
      </c>
      <c r="E2104" t="s">
        <v>8794</v>
      </c>
      <c r="F2104">
        <v>2</v>
      </c>
      <c r="I2104" t="str">
        <f>HYPERLINK("tel:+14242489510", "424-248-9510")</f>
        <v>424-248-9510</v>
      </c>
      <c r="J2104" t="s">
        <v>8795</v>
      </c>
      <c r="K2104" t="s">
        <v>7737</v>
      </c>
      <c r="M2104">
        <v>4242489510</v>
      </c>
    </row>
    <row r="2105" spans="1:13" x14ac:dyDescent="0.25">
      <c r="A2105">
        <v>1831621826</v>
      </c>
      <c r="B2105" t="s">
        <v>8796</v>
      </c>
      <c r="C2105">
        <v>4998000</v>
      </c>
      <c r="D2105" t="s">
        <v>8797</v>
      </c>
      <c r="E2105" t="s">
        <v>8798</v>
      </c>
      <c r="F2105">
        <v>2</v>
      </c>
      <c r="I2105" t="str">
        <f>HYPERLINK("tel:+14242497117", "424-249-7117")</f>
        <v>424-249-7117</v>
      </c>
      <c r="J2105" t="s">
        <v>8799</v>
      </c>
      <c r="K2105" t="s">
        <v>24</v>
      </c>
      <c r="M2105">
        <v>4242497117</v>
      </c>
    </row>
    <row r="2106" spans="1:13" x14ac:dyDescent="0.25">
      <c r="A2106">
        <v>1009551123</v>
      </c>
      <c r="B2106" t="s">
        <v>8800</v>
      </c>
      <c r="C2106">
        <v>3275000</v>
      </c>
      <c r="D2106" t="s">
        <v>8801</v>
      </c>
      <c r="E2106" t="s">
        <v>8802</v>
      </c>
      <c r="F2106">
        <v>2</v>
      </c>
      <c r="I2106" t="str">
        <f>HYPERLINK("tel:+14242569988", "424-256-9988")</f>
        <v>424-256-9988</v>
      </c>
      <c r="J2106" t="s">
        <v>8803</v>
      </c>
      <c r="K2106" t="s">
        <v>825</v>
      </c>
      <c r="M2106">
        <v>4242569988</v>
      </c>
    </row>
    <row r="2107" spans="1:13" x14ac:dyDescent="0.25">
      <c r="A2107">
        <v>2038050477</v>
      </c>
      <c r="B2107" t="s">
        <v>8804</v>
      </c>
      <c r="C2107">
        <v>699000</v>
      </c>
      <c r="D2107" t="s">
        <v>8805</v>
      </c>
      <c r="E2107" t="s">
        <v>8806</v>
      </c>
      <c r="F2107">
        <v>2</v>
      </c>
      <c r="I2107" t="str">
        <f>HYPERLINK("tel:+14243010900", "424-301-0900")</f>
        <v>424-301-0900</v>
      </c>
      <c r="J2107" t="s">
        <v>8807</v>
      </c>
      <c r="K2107" t="s">
        <v>323</v>
      </c>
      <c r="M2107">
        <v>4243010900</v>
      </c>
    </row>
    <row r="2108" spans="1:13" x14ac:dyDescent="0.25">
      <c r="A2108">
        <v>9148138139</v>
      </c>
      <c r="B2108" t="s">
        <v>8808</v>
      </c>
      <c r="C2108">
        <v>1300000</v>
      </c>
      <c r="D2108" t="s">
        <v>8809</v>
      </c>
      <c r="E2108" t="s">
        <v>8810</v>
      </c>
      <c r="F2108">
        <v>2</v>
      </c>
      <c r="I2108" t="str">
        <f>HYPERLINK("tel:+14243044509", "424-304-4509")</f>
        <v>424-304-4509</v>
      </c>
      <c r="J2108" t="s">
        <v>8811</v>
      </c>
      <c r="K2108" t="s">
        <v>6602</v>
      </c>
      <c r="M2108">
        <v>4243044509</v>
      </c>
    </row>
    <row r="2109" spans="1:13" x14ac:dyDescent="0.25">
      <c r="A2109">
        <v>1154236188</v>
      </c>
      <c r="B2109" t="s">
        <v>8812</v>
      </c>
      <c r="C2109">
        <v>1799000</v>
      </c>
      <c r="D2109" t="s">
        <v>8813</v>
      </c>
      <c r="E2109" t="s">
        <v>8814</v>
      </c>
      <c r="F2109">
        <v>2</v>
      </c>
      <c r="I2109" t="str">
        <f>HYPERLINK("tel:+14243330834", "424-333-0834")</f>
        <v>424-333-0834</v>
      </c>
      <c r="J2109" t="s">
        <v>8815</v>
      </c>
      <c r="K2109" t="s">
        <v>24</v>
      </c>
      <c r="M2109">
        <v>4243330834</v>
      </c>
    </row>
    <row r="2110" spans="1:13" x14ac:dyDescent="0.25">
      <c r="A2110">
        <v>1718296095</v>
      </c>
      <c r="B2110" t="s">
        <v>7139</v>
      </c>
      <c r="C2110">
        <v>1995000</v>
      </c>
      <c r="D2110" t="s">
        <v>7140</v>
      </c>
      <c r="E2110" t="s">
        <v>8816</v>
      </c>
      <c r="F2110">
        <v>2</v>
      </c>
      <c r="I2110" t="str">
        <f>HYPERLINK("tel:+14243418001", "424-341-8001")</f>
        <v>424-341-8001</v>
      </c>
      <c r="J2110" t="s">
        <v>8817</v>
      </c>
      <c r="K2110" t="s">
        <v>24</v>
      </c>
      <c r="M2110">
        <v>4243418001</v>
      </c>
    </row>
    <row r="2111" spans="1:13" x14ac:dyDescent="0.25">
      <c r="A2111">
        <v>2135114439</v>
      </c>
      <c r="B2111" t="s">
        <v>8818</v>
      </c>
      <c r="C2111">
        <v>2399999</v>
      </c>
      <c r="D2111" t="s">
        <v>8819</v>
      </c>
      <c r="E2111" t="s">
        <v>8820</v>
      </c>
      <c r="F2111">
        <v>2</v>
      </c>
      <c r="I2111" t="str">
        <f>HYPERLINK("tel:+14243436812", "424-343-6812")</f>
        <v>424-343-6812</v>
      </c>
      <c r="J2111" t="s">
        <v>8821</v>
      </c>
      <c r="K2111" t="s">
        <v>168</v>
      </c>
      <c r="M2111">
        <v>4243436812</v>
      </c>
    </row>
    <row r="2112" spans="1:13" x14ac:dyDescent="0.25">
      <c r="A2112">
        <v>2844318739</v>
      </c>
      <c r="B2112" t="s">
        <v>8822</v>
      </c>
      <c r="C2112">
        <v>1250000</v>
      </c>
      <c r="D2112" t="s">
        <v>8823</v>
      </c>
      <c r="E2112" t="s">
        <v>8824</v>
      </c>
      <c r="F2112">
        <v>2</v>
      </c>
      <c r="I2112" t="str">
        <f>HYPERLINK("tel:+14243549804", "424-354-9804")</f>
        <v>424-354-9804</v>
      </c>
      <c r="J2112" t="s">
        <v>8825</v>
      </c>
      <c r="K2112" t="s">
        <v>82</v>
      </c>
      <c r="M2112">
        <v>4243549804</v>
      </c>
    </row>
    <row r="2113" spans="1:13" x14ac:dyDescent="0.25">
      <c r="A2113">
        <v>2330708147</v>
      </c>
      <c r="B2113" t="s">
        <v>8826</v>
      </c>
      <c r="C2113">
        <v>5000000</v>
      </c>
      <c r="D2113" t="s">
        <v>8827</v>
      </c>
      <c r="E2113" t="s">
        <v>8828</v>
      </c>
      <c r="F2113">
        <v>2</v>
      </c>
      <c r="I2113" t="str">
        <f>HYPERLINK("tel:+14243717561", "424-371-7561")</f>
        <v>424-371-7561</v>
      </c>
      <c r="J2113" t="s">
        <v>8829</v>
      </c>
      <c r="K2113" t="s">
        <v>8830</v>
      </c>
      <c r="M2113">
        <v>4243717561</v>
      </c>
    </row>
    <row r="2114" spans="1:13" x14ac:dyDescent="0.25">
      <c r="A2114">
        <v>2247451202</v>
      </c>
      <c r="B2114" t="s">
        <v>8831</v>
      </c>
      <c r="C2114">
        <v>6099000</v>
      </c>
      <c r="D2114" t="s">
        <v>8832</v>
      </c>
      <c r="E2114" t="s">
        <v>8833</v>
      </c>
      <c r="F2114">
        <v>2</v>
      </c>
      <c r="I2114" t="str">
        <f>HYPERLINK("tel:+14243944885", "424-394-4885")</f>
        <v>424-394-4885</v>
      </c>
      <c r="J2114" t="s">
        <v>8834</v>
      </c>
      <c r="K2114" t="s">
        <v>24</v>
      </c>
      <c r="M2114">
        <v>4243944885</v>
      </c>
    </row>
    <row r="2115" spans="1:13" x14ac:dyDescent="0.25">
      <c r="A2115">
        <v>1168587645</v>
      </c>
      <c r="B2115" t="s">
        <v>8835</v>
      </c>
      <c r="C2115">
        <v>1888888</v>
      </c>
      <c r="D2115" t="s">
        <v>8836</v>
      </c>
      <c r="E2115" t="s">
        <v>8837</v>
      </c>
      <c r="F2115">
        <v>2</v>
      </c>
      <c r="I2115" t="str">
        <f>HYPERLINK("tel:+14244419580", "424-441-9580")</f>
        <v>424-441-9580</v>
      </c>
      <c r="J2115" t="s">
        <v>8838</v>
      </c>
      <c r="K2115" t="s">
        <v>7871</v>
      </c>
      <c r="M2115">
        <v>4244419580</v>
      </c>
    </row>
    <row r="2116" spans="1:13" x14ac:dyDescent="0.25">
      <c r="A2116">
        <v>2969573943</v>
      </c>
      <c r="B2116" t="s">
        <v>8152</v>
      </c>
      <c r="C2116">
        <v>1349000</v>
      </c>
      <c r="D2116" t="s">
        <v>8153</v>
      </c>
      <c r="E2116" t="s">
        <v>8839</v>
      </c>
      <c r="F2116">
        <v>2</v>
      </c>
      <c r="I2116" t="str">
        <f>HYPERLINK("tel:+14245580476", "424-558-0476")</f>
        <v>424-558-0476</v>
      </c>
      <c r="J2116" t="s">
        <v>8840</v>
      </c>
      <c r="K2116" t="s">
        <v>68</v>
      </c>
      <c r="M2116">
        <v>4245580476</v>
      </c>
    </row>
    <row r="2117" spans="1:13" x14ac:dyDescent="0.25">
      <c r="A2117">
        <v>2462527476</v>
      </c>
      <c r="B2117" t="s">
        <v>8841</v>
      </c>
      <c r="C2117">
        <v>800000</v>
      </c>
      <c r="D2117" t="s">
        <v>8842</v>
      </c>
      <c r="E2117" t="s">
        <v>8843</v>
      </c>
      <c r="F2117">
        <v>2</v>
      </c>
      <c r="I2117" t="str">
        <f>HYPERLINK("tel:+14246668133", "424-666-8133")</f>
        <v>424-666-8133</v>
      </c>
      <c r="J2117" t="s">
        <v>8844</v>
      </c>
      <c r="K2117" t="s">
        <v>8845</v>
      </c>
      <c r="M2117">
        <v>4246668133</v>
      </c>
    </row>
    <row r="2118" spans="1:13" x14ac:dyDescent="0.25">
      <c r="A2118">
        <v>1055340051</v>
      </c>
      <c r="B2118" t="s">
        <v>8846</v>
      </c>
      <c r="C2118">
        <v>450000</v>
      </c>
      <c r="D2118" t="s">
        <v>8847</v>
      </c>
      <c r="E2118" t="s">
        <v>8848</v>
      </c>
      <c r="F2118">
        <v>2</v>
      </c>
      <c r="I2118" t="str">
        <f>HYPERLINK("tel:+14246669966", "424-666-9966")</f>
        <v>424-666-9966</v>
      </c>
      <c r="J2118" t="s">
        <v>8849</v>
      </c>
      <c r="K2118" t="s">
        <v>8850</v>
      </c>
      <c r="M2118">
        <v>4246669966</v>
      </c>
    </row>
    <row r="2119" spans="1:13" x14ac:dyDescent="0.25">
      <c r="A2119">
        <v>2844505068</v>
      </c>
      <c r="B2119" t="s">
        <v>8851</v>
      </c>
      <c r="C2119">
        <v>2700000</v>
      </c>
      <c r="D2119" t="s">
        <v>8852</v>
      </c>
      <c r="E2119" t="s">
        <v>8853</v>
      </c>
      <c r="F2119">
        <v>2</v>
      </c>
      <c r="I2119" t="str">
        <f>HYPERLINK("tel:+14247775365", "424-777-5365")</f>
        <v>424-777-5365</v>
      </c>
      <c r="J2119" t="s">
        <v>8854</v>
      </c>
      <c r="K2119" t="s">
        <v>3414</v>
      </c>
      <c r="M2119">
        <v>4247775365</v>
      </c>
    </row>
    <row r="2120" spans="1:13" x14ac:dyDescent="0.25">
      <c r="A2120">
        <v>2402104496</v>
      </c>
      <c r="B2120" t="s">
        <v>8855</v>
      </c>
      <c r="C2120">
        <v>130000</v>
      </c>
      <c r="D2120" t="s">
        <v>8856</v>
      </c>
      <c r="E2120" t="s">
        <v>8857</v>
      </c>
      <c r="F2120">
        <v>2</v>
      </c>
      <c r="I2120" t="str">
        <f>HYPERLINK("tel:+14248351710", "424-835-1710")</f>
        <v>424-835-1710</v>
      </c>
      <c r="J2120" t="s">
        <v>8858</v>
      </c>
      <c r="K2120" t="s">
        <v>82</v>
      </c>
      <c r="M2120">
        <v>4248351710</v>
      </c>
    </row>
    <row r="2121" spans="1:13" x14ac:dyDescent="0.25">
      <c r="A2121">
        <v>1922720425</v>
      </c>
      <c r="B2121" t="s">
        <v>8859</v>
      </c>
      <c r="C2121">
        <v>1699888</v>
      </c>
      <c r="D2121" t="s">
        <v>8860</v>
      </c>
      <c r="E2121" t="s">
        <v>8861</v>
      </c>
      <c r="F2121">
        <v>2</v>
      </c>
      <c r="I2121" t="str">
        <f>HYPERLINK("tel:+14255308820", "425-530-8820")</f>
        <v>425-530-8820</v>
      </c>
      <c r="J2121" t="s">
        <v>8862</v>
      </c>
      <c r="K2121" t="s">
        <v>168</v>
      </c>
      <c r="M2121">
        <v>4255308820</v>
      </c>
    </row>
    <row r="2122" spans="1:13" x14ac:dyDescent="0.25">
      <c r="A2122">
        <v>9083123413</v>
      </c>
      <c r="B2122" t="s">
        <v>8863</v>
      </c>
      <c r="C2122">
        <v>5295000</v>
      </c>
      <c r="D2122" t="s">
        <v>8864</v>
      </c>
      <c r="E2122" t="s">
        <v>8865</v>
      </c>
      <c r="F2122">
        <v>2</v>
      </c>
      <c r="I2122" t="str">
        <f>HYPERLINK("tel:+15103049254", "510-304-9254")</f>
        <v>510-304-9254</v>
      </c>
      <c r="J2122" t="s">
        <v>8866</v>
      </c>
      <c r="K2122" t="s">
        <v>4919</v>
      </c>
      <c r="M2122">
        <v>5103049254</v>
      </c>
    </row>
    <row r="2123" spans="1:13" x14ac:dyDescent="0.25">
      <c r="A2123">
        <v>1899760233</v>
      </c>
      <c r="B2123" t="s">
        <v>8867</v>
      </c>
      <c r="C2123">
        <v>12995000</v>
      </c>
      <c r="D2123" t="s">
        <v>8868</v>
      </c>
      <c r="E2123" t="s">
        <v>8869</v>
      </c>
      <c r="F2123">
        <v>2</v>
      </c>
      <c r="I2123" t="str">
        <f>HYPERLINK("tel:+15105751898", "510-575-1898")</f>
        <v>510-575-1898</v>
      </c>
      <c r="J2123" t="s">
        <v>8870</v>
      </c>
      <c r="K2123" t="s">
        <v>19</v>
      </c>
      <c r="M2123">
        <v>5105751898</v>
      </c>
    </row>
    <row r="2124" spans="1:13" x14ac:dyDescent="0.25">
      <c r="A2124">
        <v>1907619370</v>
      </c>
      <c r="B2124" t="s">
        <v>8871</v>
      </c>
      <c r="C2124">
        <v>1900000</v>
      </c>
      <c r="D2124" t="s">
        <v>8872</v>
      </c>
      <c r="E2124" t="s">
        <v>8873</v>
      </c>
      <c r="F2124">
        <v>2</v>
      </c>
      <c r="I2124" t="str">
        <f>HYPERLINK("tel:+15203603891", "520-360-3891")</f>
        <v>520-360-3891</v>
      </c>
      <c r="J2124" t="s">
        <v>8874</v>
      </c>
      <c r="K2124" t="s">
        <v>8875</v>
      </c>
      <c r="M2124">
        <v>5203603891</v>
      </c>
    </row>
    <row r="2125" spans="1:13" x14ac:dyDescent="0.25">
      <c r="A2125">
        <v>2371968547</v>
      </c>
      <c r="B2125" t="s">
        <v>8876</v>
      </c>
      <c r="C2125">
        <v>1299000</v>
      </c>
      <c r="D2125" t="s">
        <v>8877</v>
      </c>
      <c r="E2125" t="s">
        <v>8878</v>
      </c>
      <c r="F2125">
        <v>2</v>
      </c>
      <c r="I2125" t="str">
        <f>HYPERLINK("tel:+15527777552", "552-777-7552")</f>
        <v>552-777-7552</v>
      </c>
      <c r="J2125" t="s">
        <v>8879</v>
      </c>
      <c r="K2125" t="s">
        <v>8880</v>
      </c>
      <c r="M2125">
        <v>5527777552</v>
      </c>
    </row>
    <row r="2126" spans="1:13" x14ac:dyDescent="0.25">
      <c r="A2126">
        <v>2951797994</v>
      </c>
      <c r="B2126" t="s">
        <v>8881</v>
      </c>
      <c r="C2126">
        <v>55000</v>
      </c>
      <c r="D2126" t="s">
        <v>8882</v>
      </c>
      <c r="E2126" t="s">
        <v>8883</v>
      </c>
      <c r="F2126">
        <v>2</v>
      </c>
      <c r="I2126" t="str">
        <f>HYPERLINK("tel:+15596310562", "559-631-0562")</f>
        <v>559-631-0562</v>
      </c>
      <c r="J2126" t="s">
        <v>8884</v>
      </c>
      <c r="K2126" t="s">
        <v>8885</v>
      </c>
      <c r="M2126">
        <v>5596310562</v>
      </c>
    </row>
    <row r="2127" spans="1:13" x14ac:dyDescent="0.25">
      <c r="A2127">
        <v>2787997121</v>
      </c>
      <c r="B2127" t="s">
        <v>8886</v>
      </c>
      <c r="C2127">
        <v>1738999</v>
      </c>
      <c r="D2127" t="s">
        <v>8887</v>
      </c>
      <c r="E2127" t="s">
        <v>8888</v>
      </c>
      <c r="F2127">
        <v>2</v>
      </c>
      <c r="I2127" t="str">
        <f>HYPERLINK("tel:+15622081900", "562-208-1900")</f>
        <v>562-208-1900</v>
      </c>
      <c r="J2127" t="s">
        <v>8889</v>
      </c>
      <c r="K2127" t="s">
        <v>306</v>
      </c>
      <c r="M2127">
        <v>5622081900</v>
      </c>
    </row>
    <row r="2128" spans="1:13" x14ac:dyDescent="0.25">
      <c r="A2128">
        <v>9254576756</v>
      </c>
      <c r="B2128" t="s">
        <v>8890</v>
      </c>
      <c r="C2128">
        <v>1049000</v>
      </c>
      <c r="D2128" t="s">
        <v>8891</v>
      </c>
      <c r="E2128" t="s">
        <v>8892</v>
      </c>
      <c r="F2128">
        <v>2</v>
      </c>
      <c r="I2128" t="str">
        <f>HYPERLINK("tel:+15622201100", "562-220-1100")</f>
        <v>562-220-1100</v>
      </c>
      <c r="J2128" t="s">
        <v>8893</v>
      </c>
      <c r="K2128" t="s">
        <v>8894</v>
      </c>
      <c r="M2128">
        <v>5622201100</v>
      </c>
    </row>
    <row r="2129" spans="1:13" x14ac:dyDescent="0.25">
      <c r="A2129">
        <v>9331485594</v>
      </c>
      <c r="B2129" t="s">
        <v>8895</v>
      </c>
      <c r="C2129">
        <v>749900</v>
      </c>
      <c r="D2129" t="s">
        <v>8896</v>
      </c>
      <c r="E2129" t="s">
        <v>8897</v>
      </c>
      <c r="F2129">
        <v>2</v>
      </c>
      <c r="I2129" t="str">
        <f>HYPERLINK("tel:+15622217744", "562-221-7744")</f>
        <v>562-221-7744</v>
      </c>
      <c r="J2129" t="s">
        <v>8898</v>
      </c>
      <c r="K2129" t="s">
        <v>4993</v>
      </c>
      <c r="M2129">
        <v>5622217744</v>
      </c>
    </row>
    <row r="2130" spans="1:13" x14ac:dyDescent="0.25">
      <c r="A2130">
        <v>1570941635</v>
      </c>
      <c r="B2130" t="s">
        <v>8899</v>
      </c>
      <c r="C2130">
        <v>539000</v>
      </c>
      <c r="D2130" t="s">
        <v>8900</v>
      </c>
      <c r="E2130" t="s">
        <v>8901</v>
      </c>
      <c r="F2130">
        <v>2</v>
      </c>
      <c r="I2130" t="str">
        <f>HYPERLINK("tel:+15622229661", "562-222-9661")</f>
        <v>562-222-9661</v>
      </c>
      <c r="J2130" t="s">
        <v>8902</v>
      </c>
      <c r="K2130" t="s">
        <v>1730</v>
      </c>
      <c r="M2130">
        <v>5622229661</v>
      </c>
    </row>
    <row r="2131" spans="1:13" x14ac:dyDescent="0.25">
      <c r="A2131">
        <v>9579561846</v>
      </c>
      <c r="B2131" t="s">
        <v>8903</v>
      </c>
      <c r="C2131">
        <v>625000</v>
      </c>
      <c r="D2131" t="s">
        <v>8904</v>
      </c>
      <c r="E2131" t="s">
        <v>8905</v>
      </c>
      <c r="F2131">
        <v>2</v>
      </c>
      <c r="I2131" t="str">
        <f>HYPERLINK("tel:+15622254650", "562-225-4650")</f>
        <v>562-225-4650</v>
      </c>
      <c r="J2131" t="s">
        <v>8906</v>
      </c>
      <c r="K2131" t="s">
        <v>490</v>
      </c>
      <c r="M2131">
        <v>5622254650</v>
      </c>
    </row>
    <row r="2132" spans="1:13" x14ac:dyDescent="0.25">
      <c r="A2132">
        <v>2167714496</v>
      </c>
      <c r="B2132" t="s">
        <v>8907</v>
      </c>
      <c r="C2132">
        <v>289000</v>
      </c>
      <c r="D2132" t="s">
        <v>8908</v>
      </c>
      <c r="E2132" t="s">
        <v>8909</v>
      </c>
      <c r="F2132">
        <v>2</v>
      </c>
      <c r="I2132" t="str">
        <f>HYPERLINK("tel:+15622378219", "562-237-8219")</f>
        <v>562-237-8219</v>
      </c>
      <c r="J2132" t="s">
        <v>8910</v>
      </c>
      <c r="K2132" t="s">
        <v>7669</v>
      </c>
      <c r="M2132">
        <v>5622378219</v>
      </c>
    </row>
    <row r="2133" spans="1:13" x14ac:dyDescent="0.25">
      <c r="A2133">
        <v>2510227883</v>
      </c>
      <c r="B2133" t="s">
        <v>8911</v>
      </c>
      <c r="C2133">
        <v>750000</v>
      </c>
      <c r="D2133" t="s">
        <v>8912</v>
      </c>
      <c r="E2133" t="s">
        <v>8913</v>
      </c>
      <c r="F2133">
        <v>2</v>
      </c>
      <c r="I2133" t="str">
        <f>HYPERLINK("tel:+15622398819", "562-239-8819")</f>
        <v>562-239-8819</v>
      </c>
      <c r="J2133" t="s">
        <v>8914</v>
      </c>
      <c r="K2133" t="s">
        <v>8915</v>
      </c>
      <c r="M2133">
        <v>5622398819</v>
      </c>
    </row>
    <row r="2134" spans="1:13" x14ac:dyDescent="0.25">
      <c r="A2134">
        <v>1227247662</v>
      </c>
      <c r="B2134" t="s">
        <v>8916</v>
      </c>
      <c r="C2134">
        <v>2350000</v>
      </c>
      <c r="D2134" t="s">
        <v>8917</v>
      </c>
      <c r="E2134" t="s">
        <v>8918</v>
      </c>
      <c r="F2134">
        <v>2</v>
      </c>
      <c r="I2134" t="str">
        <f>HYPERLINK("tel:+15622432120", "562-243-2120")</f>
        <v>562-243-2120</v>
      </c>
      <c r="J2134" t="s">
        <v>8919</v>
      </c>
      <c r="M2134">
        <v>5622432120</v>
      </c>
    </row>
    <row r="2135" spans="1:13" x14ac:dyDescent="0.25">
      <c r="A2135">
        <v>2914308550</v>
      </c>
      <c r="B2135" t="s">
        <v>8920</v>
      </c>
      <c r="C2135">
        <v>500000</v>
      </c>
      <c r="D2135" t="s">
        <v>8921</v>
      </c>
      <c r="E2135" t="s">
        <v>8922</v>
      </c>
      <c r="F2135">
        <v>2</v>
      </c>
      <c r="I2135" t="str">
        <f>HYPERLINK("tel:+15622448859", "562-244-8859")</f>
        <v>562-244-8859</v>
      </c>
      <c r="J2135" t="s">
        <v>8923</v>
      </c>
      <c r="K2135" t="s">
        <v>8924</v>
      </c>
      <c r="M2135">
        <v>5622448859</v>
      </c>
    </row>
    <row r="2136" spans="1:13" x14ac:dyDescent="0.25">
      <c r="A2136">
        <v>1802192401</v>
      </c>
      <c r="B2136" t="s">
        <v>8925</v>
      </c>
      <c r="C2136">
        <v>1100000</v>
      </c>
      <c r="D2136" t="s">
        <v>8926</v>
      </c>
      <c r="E2136" t="s">
        <v>8927</v>
      </c>
      <c r="F2136">
        <v>2</v>
      </c>
      <c r="I2136" t="str">
        <f>HYPERLINK("tel:+15622540696", "562-254-0696")</f>
        <v>562-254-0696</v>
      </c>
      <c r="J2136" t="s">
        <v>8928</v>
      </c>
      <c r="K2136" t="s">
        <v>24</v>
      </c>
      <c r="M2136">
        <v>5622540696</v>
      </c>
    </row>
    <row r="2137" spans="1:13" x14ac:dyDescent="0.25">
      <c r="A2137">
        <v>1802192401</v>
      </c>
      <c r="B2137" t="s">
        <v>8925</v>
      </c>
      <c r="C2137">
        <v>1100000</v>
      </c>
      <c r="D2137" t="s">
        <v>8926</v>
      </c>
      <c r="E2137" t="s">
        <v>8929</v>
      </c>
      <c r="F2137">
        <v>2</v>
      </c>
      <c r="I2137" t="str">
        <f>HYPERLINK("tel:+15622541325", "562-254-1325")</f>
        <v>562-254-1325</v>
      </c>
      <c r="J2137" t="s">
        <v>8930</v>
      </c>
      <c r="K2137" t="s">
        <v>24</v>
      </c>
      <c r="M2137">
        <v>5622541325</v>
      </c>
    </row>
    <row r="2138" spans="1:13" x14ac:dyDescent="0.25">
      <c r="A2138">
        <v>1488330439</v>
      </c>
      <c r="B2138" t="s">
        <v>8931</v>
      </c>
      <c r="C2138">
        <v>339000</v>
      </c>
      <c r="D2138" t="s">
        <v>8932</v>
      </c>
      <c r="E2138" t="s">
        <v>8933</v>
      </c>
      <c r="F2138">
        <v>2</v>
      </c>
      <c r="I2138" t="str">
        <f>HYPERLINK("tel:+15622601281", "562-260-1281")</f>
        <v>562-260-1281</v>
      </c>
      <c r="J2138" t="s">
        <v>8934</v>
      </c>
      <c r="K2138" t="s">
        <v>8935</v>
      </c>
      <c r="M2138">
        <v>5622601281</v>
      </c>
    </row>
    <row r="2139" spans="1:13" x14ac:dyDescent="0.25">
      <c r="A2139">
        <v>1066092240</v>
      </c>
      <c r="B2139" t="s">
        <v>8936</v>
      </c>
      <c r="C2139">
        <v>4299000</v>
      </c>
      <c r="D2139" t="s">
        <v>8937</v>
      </c>
      <c r="E2139" t="s">
        <v>8938</v>
      </c>
      <c r="F2139">
        <v>2</v>
      </c>
      <c r="I2139" t="str">
        <f>HYPERLINK("tel:+15622610900", "562-261-0900")</f>
        <v>562-261-0900</v>
      </c>
      <c r="J2139" t="s">
        <v>8939</v>
      </c>
      <c r="K2139" t="s">
        <v>82</v>
      </c>
      <c r="M2139">
        <v>5622610900</v>
      </c>
    </row>
    <row r="2140" spans="1:13" x14ac:dyDescent="0.25">
      <c r="A2140">
        <v>1764816587</v>
      </c>
      <c r="B2140" t="s">
        <v>8940</v>
      </c>
      <c r="C2140">
        <v>580000</v>
      </c>
      <c r="D2140" t="s">
        <v>8941</v>
      </c>
      <c r="E2140" t="s">
        <v>8942</v>
      </c>
      <c r="F2140">
        <v>2</v>
      </c>
      <c r="I2140" t="str">
        <f>HYPERLINK("tel:+15622746144", "562-274-6144")</f>
        <v>562-274-6144</v>
      </c>
      <c r="J2140" t="s">
        <v>8943</v>
      </c>
      <c r="K2140" t="s">
        <v>4764</v>
      </c>
      <c r="M2140">
        <v>5622746144</v>
      </c>
    </row>
    <row r="2141" spans="1:13" x14ac:dyDescent="0.25">
      <c r="A2141">
        <v>1114791826</v>
      </c>
      <c r="B2141" t="s">
        <v>8944</v>
      </c>
      <c r="C2141">
        <v>999900</v>
      </c>
      <c r="D2141" t="s">
        <v>8945</v>
      </c>
      <c r="E2141" t="s">
        <v>8946</v>
      </c>
      <c r="F2141">
        <v>2</v>
      </c>
      <c r="I2141" t="str">
        <f>HYPERLINK("tel:+15622755622", "562-275-5622")</f>
        <v>562-275-5622</v>
      </c>
      <c r="J2141" t="s">
        <v>8947</v>
      </c>
      <c r="K2141" t="s">
        <v>8948</v>
      </c>
      <c r="M2141">
        <v>5622755622</v>
      </c>
    </row>
    <row r="2142" spans="1:13" x14ac:dyDescent="0.25">
      <c r="A2142">
        <v>2686942982</v>
      </c>
      <c r="B2142" t="s">
        <v>8949</v>
      </c>
      <c r="C2142">
        <v>560000</v>
      </c>
      <c r="D2142" t="s">
        <v>8950</v>
      </c>
      <c r="E2142" t="s">
        <v>8951</v>
      </c>
      <c r="F2142">
        <v>2</v>
      </c>
      <c r="I2142" t="str">
        <f>HYPERLINK("tel:+15622765360", "562-276-5360")</f>
        <v>562-276-5360</v>
      </c>
      <c r="J2142" t="s">
        <v>8952</v>
      </c>
      <c r="K2142" t="s">
        <v>8953</v>
      </c>
      <c r="M2142">
        <v>5622765360</v>
      </c>
    </row>
    <row r="2143" spans="1:13" x14ac:dyDescent="0.25">
      <c r="A2143">
        <v>2078595823</v>
      </c>
      <c r="B2143" t="s">
        <v>8954</v>
      </c>
      <c r="C2143">
        <v>647000</v>
      </c>
      <c r="D2143" t="s">
        <v>8955</v>
      </c>
      <c r="E2143" t="s">
        <v>8956</v>
      </c>
      <c r="F2143">
        <v>2</v>
      </c>
      <c r="I2143" t="str">
        <f>HYPERLINK("tel:+15622770330", "562-277-0330")</f>
        <v>562-277-0330</v>
      </c>
      <c r="J2143" t="s">
        <v>8957</v>
      </c>
      <c r="K2143" t="s">
        <v>8958</v>
      </c>
      <c r="M2143">
        <v>5622770330</v>
      </c>
    </row>
    <row r="2144" spans="1:13" x14ac:dyDescent="0.25">
      <c r="A2144">
        <v>2875539375</v>
      </c>
      <c r="B2144" t="s">
        <v>8636</v>
      </c>
      <c r="C2144">
        <v>1400000</v>
      </c>
      <c r="D2144" t="s">
        <v>8637</v>
      </c>
      <c r="E2144" t="s">
        <v>8959</v>
      </c>
      <c r="F2144">
        <v>2</v>
      </c>
      <c r="I2144" t="str">
        <f>HYPERLINK("tel:+15622774085", "562-277-4085")</f>
        <v>562-277-4085</v>
      </c>
      <c r="J2144" t="s">
        <v>8960</v>
      </c>
      <c r="K2144" t="s">
        <v>8640</v>
      </c>
      <c r="M2144">
        <v>5622774085</v>
      </c>
    </row>
    <row r="2145" spans="1:13" x14ac:dyDescent="0.25">
      <c r="A2145">
        <v>1052494359</v>
      </c>
      <c r="B2145" t="s">
        <v>8961</v>
      </c>
      <c r="C2145">
        <v>1625000</v>
      </c>
      <c r="D2145" t="s">
        <v>8962</v>
      </c>
      <c r="E2145" t="s">
        <v>8963</v>
      </c>
      <c r="F2145">
        <v>2</v>
      </c>
      <c r="I2145" t="str">
        <f>HYPERLINK("tel:+15622827952", "562-282-7952")</f>
        <v>562-282-7952</v>
      </c>
      <c r="J2145" t="s">
        <v>8964</v>
      </c>
      <c r="K2145" t="s">
        <v>3748</v>
      </c>
      <c r="M2145">
        <v>5622827952</v>
      </c>
    </row>
    <row r="2146" spans="1:13" x14ac:dyDescent="0.25">
      <c r="A2146">
        <v>2959152166</v>
      </c>
      <c r="B2146" t="s">
        <v>8965</v>
      </c>
      <c r="C2146">
        <v>1650000</v>
      </c>
      <c r="D2146" t="s">
        <v>8966</v>
      </c>
      <c r="E2146" t="s">
        <v>8967</v>
      </c>
      <c r="F2146">
        <v>2</v>
      </c>
      <c r="I2146" t="str">
        <f>HYPERLINK("tel:+15622863018", "562-286-3018")</f>
        <v>562-286-3018</v>
      </c>
      <c r="J2146" t="s">
        <v>8968</v>
      </c>
      <c r="K2146" t="s">
        <v>8595</v>
      </c>
      <c r="M2146">
        <v>5622863018</v>
      </c>
    </row>
    <row r="2147" spans="1:13" x14ac:dyDescent="0.25">
      <c r="A2147">
        <v>2787856830</v>
      </c>
      <c r="B2147" t="s">
        <v>8969</v>
      </c>
      <c r="C2147">
        <v>795000</v>
      </c>
      <c r="D2147" t="s">
        <v>8970</v>
      </c>
      <c r="E2147" t="s">
        <v>8971</v>
      </c>
      <c r="F2147">
        <v>2</v>
      </c>
      <c r="I2147" t="str">
        <f>HYPERLINK("tel:+15623054249", "562-305-4249")</f>
        <v>562-305-4249</v>
      </c>
      <c r="J2147" t="s">
        <v>8972</v>
      </c>
      <c r="K2147" t="s">
        <v>6077</v>
      </c>
      <c r="M2147">
        <v>5623054249</v>
      </c>
    </row>
    <row r="2148" spans="1:13" x14ac:dyDescent="0.25">
      <c r="A2148">
        <v>1953344990</v>
      </c>
      <c r="B2148" t="s">
        <v>8973</v>
      </c>
      <c r="C2148">
        <v>495000</v>
      </c>
      <c r="D2148" t="s">
        <v>8974</v>
      </c>
      <c r="E2148" t="s">
        <v>8975</v>
      </c>
      <c r="F2148">
        <v>2</v>
      </c>
      <c r="I2148" t="str">
        <f>HYPERLINK("tel:+15623057995", "562-305-7995")</f>
        <v>562-305-7995</v>
      </c>
      <c r="J2148" t="s">
        <v>8976</v>
      </c>
      <c r="K2148" t="s">
        <v>68</v>
      </c>
      <c r="M2148">
        <v>5623057995</v>
      </c>
    </row>
    <row r="2149" spans="1:13" x14ac:dyDescent="0.25">
      <c r="A2149">
        <v>1535535566</v>
      </c>
      <c r="B2149" t="s">
        <v>8977</v>
      </c>
      <c r="C2149">
        <v>510000</v>
      </c>
      <c r="D2149" t="s">
        <v>8978</v>
      </c>
      <c r="E2149" t="s">
        <v>8979</v>
      </c>
      <c r="F2149">
        <v>2</v>
      </c>
      <c r="I2149" t="str">
        <f>HYPERLINK("tel:+15623074367", "562-307-4367")</f>
        <v>562-307-4367</v>
      </c>
      <c r="J2149" t="s">
        <v>8980</v>
      </c>
      <c r="K2149" t="s">
        <v>24</v>
      </c>
      <c r="M2149">
        <v>5623074367</v>
      </c>
    </row>
    <row r="2150" spans="1:13" x14ac:dyDescent="0.25">
      <c r="A2150">
        <v>2859568733</v>
      </c>
      <c r="B2150" t="s">
        <v>8981</v>
      </c>
      <c r="C2150">
        <v>1300000</v>
      </c>
      <c r="D2150" t="s">
        <v>8982</v>
      </c>
      <c r="E2150" t="s">
        <v>8983</v>
      </c>
      <c r="F2150">
        <v>2</v>
      </c>
      <c r="I2150" t="str">
        <f>HYPERLINK("tel:+15623109093", "562-310-9093")</f>
        <v>562-310-9093</v>
      </c>
      <c r="J2150" t="s">
        <v>8984</v>
      </c>
      <c r="K2150" t="s">
        <v>8985</v>
      </c>
      <c r="M2150">
        <v>5623109093</v>
      </c>
    </row>
    <row r="2151" spans="1:13" x14ac:dyDescent="0.25">
      <c r="A2151">
        <v>1130056158</v>
      </c>
      <c r="B2151" t="s">
        <v>8986</v>
      </c>
      <c r="C2151">
        <v>2050000</v>
      </c>
      <c r="D2151" t="s">
        <v>8987</v>
      </c>
      <c r="E2151" t="s">
        <v>8988</v>
      </c>
      <c r="F2151">
        <v>2</v>
      </c>
      <c r="I2151" t="str">
        <f>HYPERLINK("tel:+15623180214", "562-318-0214")</f>
        <v>562-318-0214</v>
      </c>
      <c r="J2151" t="s">
        <v>8989</v>
      </c>
      <c r="K2151" t="s">
        <v>8990</v>
      </c>
      <c r="M2151">
        <v>5623180214</v>
      </c>
    </row>
    <row r="2152" spans="1:13" x14ac:dyDescent="0.25">
      <c r="A2152">
        <v>2314502354</v>
      </c>
      <c r="B2152" t="s">
        <v>8991</v>
      </c>
      <c r="C2152">
        <v>1229000</v>
      </c>
      <c r="D2152" t="s">
        <v>8992</v>
      </c>
      <c r="E2152" t="s">
        <v>8993</v>
      </c>
      <c r="F2152">
        <v>2</v>
      </c>
      <c r="I2152" t="str">
        <f>HYPERLINK("tel:+15623301000", "562-330-1000")</f>
        <v>562-330-1000</v>
      </c>
      <c r="J2152" t="s">
        <v>8994</v>
      </c>
      <c r="K2152" t="s">
        <v>3188</v>
      </c>
      <c r="M2152">
        <v>5623301000</v>
      </c>
    </row>
    <row r="2153" spans="1:13" x14ac:dyDescent="0.25">
      <c r="A2153">
        <v>1221976106</v>
      </c>
      <c r="B2153" t="s">
        <v>8995</v>
      </c>
      <c r="C2153">
        <v>489000</v>
      </c>
      <c r="D2153" t="s">
        <v>8996</v>
      </c>
      <c r="E2153" t="s">
        <v>8997</v>
      </c>
      <c r="F2153">
        <v>2</v>
      </c>
      <c r="I2153" t="str">
        <f>HYPERLINK("tel:+15623356007", "562-335-6007")</f>
        <v>562-335-6007</v>
      </c>
      <c r="J2153" t="s">
        <v>8998</v>
      </c>
      <c r="K2153" t="s">
        <v>8999</v>
      </c>
      <c r="M2153">
        <v>5623356007</v>
      </c>
    </row>
    <row r="2154" spans="1:13" x14ac:dyDescent="0.25">
      <c r="A2154">
        <v>1058862522</v>
      </c>
      <c r="B2154" t="s">
        <v>9000</v>
      </c>
      <c r="C2154">
        <v>629900</v>
      </c>
      <c r="D2154" t="s">
        <v>9001</v>
      </c>
      <c r="E2154" t="s">
        <v>9002</v>
      </c>
      <c r="F2154">
        <v>2</v>
      </c>
      <c r="I2154" t="str">
        <f>HYPERLINK("tel:+15623433099", "562-343-3099")</f>
        <v>562-343-3099</v>
      </c>
      <c r="J2154" t="s">
        <v>9003</v>
      </c>
      <c r="K2154" t="s">
        <v>8230</v>
      </c>
      <c r="M2154">
        <v>5623433099</v>
      </c>
    </row>
    <row r="2155" spans="1:13" x14ac:dyDescent="0.25">
      <c r="A2155">
        <v>2983651726</v>
      </c>
      <c r="B2155" t="s">
        <v>9004</v>
      </c>
      <c r="C2155">
        <v>574900</v>
      </c>
      <c r="D2155" t="s">
        <v>9005</v>
      </c>
      <c r="E2155" t="s">
        <v>9006</v>
      </c>
      <c r="F2155">
        <v>2</v>
      </c>
      <c r="I2155" t="str">
        <f>HYPERLINK("tel:+15623445146", "562-344-5146")</f>
        <v>562-344-5146</v>
      </c>
      <c r="J2155" t="s">
        <v>9007</v>
      </c>
      <c r="K2155" t="s">
        <v>4993</v>
      </c>
      <c r="M2155">
        <v>5623445146</v>
      </c>
    </row>
    <row r="2156" spans="1:13" x14ac:dyDescent="0.25">
      <c r="A2156">
        <v>9890040521</v>
      </c>
      <c r="B2156" t="s">
        <v>9008</v>
      </c>
      <c r="C2156">
        <v>320000</v>
      </c>
      <c r="D2156" t="s">
        <v>9009</v>
      </c>
      <c r="E2156" t="s">
        <v>9010</v>
      </c>
      <c r="F2156">
        <v>2</v>
      </c>
      <c r="I2156" t="str">
        <f>HYPERLINK("tel:+15623577768", "562-357-7768")</f>
        <v>562-357-7768</v>
      </c>
      <c r="J2156" t="s">
        <v>9011</v>
      </c>
      <c r="K2156" t="s">
        <v>9012</v>
      </c>
      <c r="M2156">
        <v>5623577768</v>
      </c>
    </row>
    <row r="2157" spans="1:13" x14ac:dyDescent="0.25">
      <c r="A2157">
        <v>1716473029</v>
      </c>
      <c r="B2157" t="s">
        <v>9013</v>
      </c>
      <c r="C2157">
        <v>1199000</v>
      </c>
      <c r="D2157" t="s">
        <v>9014</v>
      </c>
      <c r="E2157" t="s">
        <v>9015</v>
      </c>
      <c r="F2157">
        <v>2</v>
      </c>
      <c r="I2157" t="str">
        <f>HYPERLINK("tel:+15623603276", "562-360-3276")</f>
        <v>562-360-3276</v>
      </c>
      <c r="J2157" t="s">
        <v>9016</v>
      </c>
      <c r="K2157" t="s">
        <v>239</v>
      </c>
      <c r="M2157">
        <v>5623603276</v>
      </c>
    </row>
    <row r="2158" spans="1:13" x14ac:dyDescent="0.25">
      <c r="A2158">
        <v>1927855085</v>
      </c>
      <c r="B2158" t="s">
        <v>9017</v>
      </c>
      <c r="C2158">
        <v>850000</v>
      </c>
      <c r="D2158" t="s">
        <v>9018</v>
      </c>
      <c r="E2158" t="s">
        <v>9019</v>
      </c>
      <c r="F2158">
        <v>2</v>
      </c>
      <c r="I2158" t="str">
        <f>HYPERLINK("tel:+15623646066", "562-364-6066")</f>
        <v>562-364-6066</v>
      </c>
      <c r="J2158" t="s">
        <v>9020</v>
      </c>
      <c r="K2158" t="s">
        <v>9021</v>
      </c>
      <c r="M2158">
        <v>5623646066</v>
      </c>
    </row>
    <row r="2159" spans="1:13" x14ac:dyDescent="0.25">
      <c r="A2159">
        <v>1779042547</v>
      </c>
      <c r="B2159" t="s">
        <v>9022</v>
      </c>
      <c r="C2159">
        <v>1149000</v>
      </c>
      <c r="D2159" t="s">
        <v>9023</v>
      </c>
      <c r="E2159" t="s">
        <v>9024</v>
      </c>
      <c r="F2159">
        <v>2</v>
      </c>
      <c r="I2159" t="str">
        <f>HYPERLINK("tel:+15623738126", "562-373-8126")</f>
        <v>562-373-8126</v>
      </c>
      <c r="J2159" t="s">
        <v>9025</v>
      </c>
      <c r="K2159" t="s">
        <v>8683</v>
      </c>
      <c r="M2159">
        <v>5623738126</v>
      </c>
    </row>
    <row r="2160" spans="1:13" x14ac:dyDescent="0.25">
      <c r="A2160">
        <v>1365831479</v>
      </c>
      <c r="B2160" t="s">
        <v>9026</v>
      </c>
      <c r="C2160">
        <v>2099999</v>
      </c>
      <c r="D2160" t="s">
        <v>9027</v>
      </c>
      <c r="E2160" t="s">
        <v>9028</v>
      </c>
      <c r="F2160">
        <v>2</v>
      </c>
      <c r="I2160" t="str">
        <f>HYPERLINK("tel:+15623873628", "562-387-3628")</f>
        <v>562-387-3628</v>
      </c>
      <c r="J2160" t="s">
        <v>9029</v>
      </c>
      <c r="K2160" t="s">
        <v>158</v>
      </c>
      <c r="M2160">
        <v>5623873628</v>
      </c>
    </row>
    <row r="2161" spans="1:13" x14ac:dyDescent="0.25">
      <c r="A2161">
        <v>9327564069</v>
      </c>
      <c r="B2161" t="s">
        <v>6773</v>
      </c>
      <c r="C2161">
        <v>399000</v>
      </c>
      <c r="D2161" t="s">
        <v>6774</v>
      </c>
      <c r="E2161" t="s">
        <v>9030</v>
      </c>
      <c r="F2161">
        <v>2</v>
      </c>
      <c r="I2161" t="str">
        <f>HYPERLINK("tel:+15623962139", "562-396-2139")</f>
        <v>562-396-2139</v>
      </c>
      <c r="J2161" t="s">
        <v>9031</v>
      </c>
      <c r="K2161" t="s">
        <v>6777</v>
      </c>
      <c r="M2161">
        <v>5623962139</v>
      </c>
    </row>
    <row r="2162" spans="1:13" x14ac:dyDescent="0.25">
      <c r="A2162">
        <v>1927890945</v>
      </c>
      <c r="B2162" t="s">
        <v>9032</v>
      </c>
      <c r="C2162">
        <v>2293000</v>
      </c>
      <c r="D2162" t="s">
        <v>9033</v>
      </c>
      <c r="E2162" t="s">
        <v>9034</v>
      </c>
      <c r="F2162">
        <v>2</v>
      </c>
      <c r="I2162" t="str">
        <f>HYPERLINK("tel:+15623971373", "562-397-1373")</f>
        <v>562-397-1373</v>
      </c>
      <c r="J2162" t="s">
        <v>9035</v>
      </c>
      <c r="K2162" t="s">
        <v>9036</v>
      </c>
      <c r="M2162">
        <v>5623971373</v>
      </c>
    </row>
    <row r="2163" spans="1:13" x14ac:dyDescent="0.25">
      <c r="A2163">
        <v>1210103402</v>
      </c>
      <c r="B2163" t="s">
        <v>9037</v>
      </c>
      <c r="C2163">
        <v>1225000</v>
      </c>
      <c r="D2163" t="s">
        <v>9038</v>
      </c>
      <c r="E2163" t="s">
        <v>9039</v>
      </c>
      <c r="F2163">
        <v>2</v>
      </c>
      <c r="I2163" t="str">
        <f>HYPERLINK("tel:+15623976778", "562-397-6778")</f>
        <v>562-397-6778</v>
      </c>
      <c r="J2163" t="s">
        <v>9040</v>
      </c>
      <c r="K2163" t="s">
        <v>4601</v>
      </c>
      <c r="M2163">
        <v>5623976778</v>
      </c>
    </row>
    <row r="2164" spans="1:13" x14ac:dyDescent="0.25">
      <c r="A2164">
        <v>1239992614</v>
      </c>
      <c r="B2164" t="s">
        <v>9041</v>
      </c>
      <c r="C2164">
        <v>1699000</v>
      </c>
      <c r="D2164" t="s">
        <v>9042</v>
      </c>
      <c r="E2164" t="s">
        <v>9043</v>
      </c>
      <c r="F2164">
        <v>2</v>
      </c>
      <c r="I2164" t="str">
        <f>HYPERLINK("tel:+15624003346", "562-400-3346")</f>
        <v>562-400-3346</v>
      </c>
      <c r="J2164" t="s">
        <v>9044</v>
      </c>
      <c r="K2164" t="s">
        <v>4993</v>
      </c>
      <c r="M2164">
        <v>5624003346</v>
      </c>
    </row>
    <row r="2165" spans="1:13" x14ac:dyDescent="0.25">
      <c r="A2165">
        <v>2332441977</v>
      </c>
      <c r="B2165" t="s">
        <v>9045</v>
      </c>
      <c r="C2165">
        <v>948000</v>
      </c>
      <c r="D2165" t="s">
        <v>9046</v>
      </c>
      <c r="E2165" t="s">
        <v>9047</v>
      </c>
      <c r="F2165">
        <v>2</v>
      </c>
      <c r="I2165" t="str">
        <f>HYPERLINK("tel:+15624047070", "562-404-7070")</f>
        <v>562-404-7070</v>
      </c>
      <c r="J2165" t="s">
        <v>9048</v>
      </c>
      <c r="K2165" t="s">
        <v>9049</v>
      </c>
      <c r="M2165">
        <v>5624047070</v>
      </c>
    </row>
    <row r="2166" spans="1:13" x14ac:dyDescent="0.25">
      <c r="A2166">
        <v>1779839836</v>
      </c>
      <c r="B2166" t="s">
        <v>9050</v>
      </c>
      <c r="C2166">
        <v>899999</v>
      </c>
      <c r="D2166" t="s">
        <v>9051</v>
      </c>
      <c r="E2166" t="s">
        <v>9052</v>
      </c>
      <c r="F2166">
        <v>2</v>
      </c>
      <c r="I2166" t="str">
        <f>HYPERLINK("tel:+15624196636", "562-419-6636")</f>
        <v>562-419-6636</v>
      </c>
      <c r="J2166" t="s">
        <v>9053</v>
      </c>
      <c r="K2166" t="s">
        <v>9054</v>
      </c>
      <c r="M2166">
        <v>5624196636</v>
      </c>
    </row>
    <row r="2167" spans="1:13" x14ac:dyDescent="0.25">
      <c r="A2167">
        <v>2079415673</v>
      </c>
      <c r="B2167" t="s">
        <v>9055</v>
      </c>
      <c r="C2167">
        <v>849999</v>
      </c>
      <c r="D2167" t="s">
        <v>9056</v>
      </c>
      <c r="E2167" t="s">
        <v>9057</v>
      </c>
      <c r="F2167">
        <v>2</v>
      </c>
      <c r="I2167" t="str">
        <f>HYPERLINK("tel:+15624197531", "562-419-7531")</f>
        <v>562-419-7531</v>
      </c>
      <c r="J2167" t="s">
        <v>9058</v>
      </c>
      <c r="K2167" t="s">
        <v>4983</v>
      </c>
      <c r="M2167">
        <v>5624197531</v>
      </c>
    </row>
    <row r="2168" spans="1:13" x14ac:dyDescent="0.25">
      <c r="A2168">
        <v>1242862092</v>
      </c>
      <c r="B2168" t="s">
        <v>9059</v>
      </c>
      <c r="C2168">
        <v>750000</v>
      </c>
      <c r="D2168" t="s">
        <v>9060</v>
      </c>
      <c r="E2168" t="s">
        <v>9061</v>
      </c>
      <c r="F2168">
        <v>2</v>
      </c>
      <c r="I2168" t="str">
        <f>HYPERLINK("tel:+15624219341", "562-421-9341")</f>
        <v>562-421-9341</v>
      </c>
      <c r="J2168" t="s">
        <v>9062</v>
      </c>
      <c r="K2168" t="s">
        <v>9063</v>
      </c>
      <c r="M2168">
        <v>5624219341</v>
      </c>
    </row>
    <row r="2169" spans="1:13" x14ac:dyDescent="0.25">
      <c r="A2169">
        <v>9375825077</v>
      </c>
      <c r="B2169" t="s">
        <v>9064</v>
      </c>
      <c r="C2169">
        <v>1550000</v>
      </c>
      <c r="D2169" t="s">
        <v>9065</v>
      </c>
      <c r="E2169" t="s">
        <v>9066</v>
      </c>
      <c r="F2169">
        <v>2</v>
      </c>
      <c r="I2169" t="str">
        <f>HYPERLINK("tel:+15624400177", "562-440-0177")</f>
        <v>562-440-0177</v>
      </c>
      <c r="J2169" t="s">
        <v>9067</v>
      </c>
      <c r="K2169" t="s">
        <v>158</v>
      </c>
      <c r="M2169">
        <v>5624400177</v>
      </c>
    </row>
    <row r="2170" spans="1:13" x14ac:dyDescent="0.25">
      <c r="A2170">
        <v>9590592478</v>
      </c>
      <c r="B2170" t="s">
        <v>9068</v>
      </c>
      <c r="C2170">
        <v>625000</v>
      </c>
      <c r="D2170" t="s">
        <v>9069</v>
      </c>
      <c r="E2170" t="s">
        <v>9070</v>
      </c>
      <c r="F2170">
        <v>2</v>
      </c>
      <c r="I2170" t="str">
        <f>HYPERLINK("tel:+15624400282", "562-440-0282")</f>
        <v>562-440-0282</v>
      </c>
      <c r="J2170" t="s">
        <v>9071</v>
      </c>
      <c r="K2170" t="s">
        <v>9072</v>
      </c>
      <c r="M2170">
        <v>5624400282</v>
      </c>
    </row>
    <row r="2171" spans="1:13" x14ac:dyDescent="0.25">
      <c r="A2171">
        <v>1331957960</v>
      </c>
      <c r="B2171" t="s">
        <v>9073</v>
      </c>
      <c r="C2171">
        <v>775000</v>
      </c>
      <c r="D2171" t="s">
        <v>9074</v>
      </c>
      <c r="E2171" t="s">
        <v>9075</v>
      </c>
      <c r="F2171">
        <v>2</v>
      </c>
      <c r="I2171" t="str">
        <f>HYPERLINK("tel:+15624537788", "562-453-7788")</f>
        <v>562-453-7788</v>
      </c>
      <c r="J2171" t="s">
        <v>9076</v>
      </c>
      <c r="K2171" t="s">
        <v>306</v>
      </c>
      <c r="M2171">
        <v>5624537788</v>
      </c>
    </row>
    <row r="2172" spans="1:13" x14ac:dyDescent="0.25">
      <c r="A2172">
        <v>2918001731</v>
      </c>
      <c r="B2172" t="s">
        <v>9077</v>
      </c>
      <c r="C2172">
        <v>565000</v>
      </c>
      <c r="D2172" t="s">
        <v>9078</v>
      </c>
      <c r="E2172" t="s">
        <v>9079</v>
      </c>
      <c r="F2172">
        <v>2</v>
      </c>
      <c r="I2172" t="str">
        <f>HYPERLINK("tel:+15624545546", "562-454-5546")</f>
        <v>562-454-5546</v>
      </c>
      <c r="J2172" t="s">
        <v>9080</v>
      </c>
      <c r="K2172" t="s">
        <v>2704</v>
      </c>
      <c r="M2172">
        <v>5624545546</v>
      </c>
    </row>
    <row r="2173" spans="1:13" x14ac:dyDescent="0.25">
      <c r="A2173">
        <v>2923508866</v>
      </c>
      <c r="B2173" t="s">
        <v>9081</v>
      </c>
      <c r="C2173">
        <v>1500000</v>
      </c>
      <c r="D2173" t="s">
        <v>9082</v>
      </c>
      <c r="E2173" t="s">
        <v>9083</v>
      </c>
      <c r="F2173">
        <v>2</v>
      </c>
      <c r="I2173" t="str">
        <f>HYPERLINK("tel:+15624639919", "562-463-9919")</f>
        <v>562-463-9919</v>
      </c>
      <c r="J2173" t="s">
        <v>9084</v>
      </c>
      <c r="K2173" t="s">
        <v>9085</v>
      </c>
      <c r="M2173">
        <v>5624639919</v>
      </c>
    </row>
    <row r="2174" spans="1:13" x14ac:dyDescent="0.25">
      <c r="A2174">
        <v>2863099701</v>
      </c>
      <c r="B2174" t="s">
        <v>9086</v>
      </c>
      <c r="C2174">
        <v>140000</v>
      </c>
      <c r="D2174" t="s">
        <v>9087</v>
      </c>
      <c r="E2174" t="s">
        <v>9088</v>
      </c>
      <c r="F2174">
        <v>2</v>
      </c>
      <c r="I2174" t="str">
        <f>HYPERLINK("tel:+15624789924", "562-478-9924")</f>
        <v>562-478-9924</v>
      </c>
      <c r="J2174" t="s">
        <v>9089</v>
      </c>
      <c r="K2174" t="s">
        <v>4764</v>
      </c>
      <c r="M2174">
        <v>5624789924</v>
      </c>
    </row>
    <row r="2175" spans="1:13" x14ac:dyDescent="0.25">
      <c r="A2175">
        <v>1160147444</v>
      </c>
      <c r="B2175" t="s">
        <v>9090</v>
      </c>
      <c r="C2175">
        <v>3750000</v>
      </c>
      <c r="D2175" t="s">
        <v>9091</v>
      </c>
      <c r="E2175" t="s">
        <v>9092</v>
      </c>
      <c r="F2175">
        <v>2</v>
      </c>
      <c r="I2175" t="str">
        <f>HYPERLINK("tel:+15625014450", "562-501-4450")</f>
        <v>562-501-4450</v>
      </c>
      <c r="J2175" t="s">
        <v>9093</v>
      </c>
      <c r="K2175" t="s">
        <v>158</v>
      </c>
      <c r="M2175">
        <v>5625014450</v>
      </c>
    </row>
    <row r="2176" spans="1:13" x14ac:dyDescent="0.25">
      <c r="A2176">
        <v>1902513539</v>
      </c>
      <c r="B2176" t="s">
        <v>9094</v>
      </c>
      <c r="C2176">
        <v>1260000</v>
      </c>
      <c r="D2176" t="s">
        <v>9095</v>
      </c>
      <c r="E2176" t="s">
        <v>9096</v>
      </c>
      <c r="F2176">
        <v>2</v>
      </c>
      <c r="I2176" t="str">
        <f>HYPERLINK("tel:+15625223863", "562-522-3863")</f>
        <v>562-522-3863</v>
      </c>
      <c r="J2176" t="s">
        <v>9097</v>
      </c>
      <c r="K2176" t="s">
        <v>450</v>
      </c>
      <c r="M2176">
        <v>5625223863</v>
      </c>
    </row>
    <row r="2177" spans="1:13" x14ac:dyDescent="0.25">
      <c r="A2177">
        <v>1939747996</v>
      </c>
      <c r="B2177" t="s">
        <v>9098</v>
      </c>
      <c r="C2177">
        <v>410000</v>
      </c>
      <c r="D2177" t="s">
        <v>9099</v>
      </c>
      <c r="E2177" t="s">
        <v>9100</v>
      </c>
      <c r="F2177">
        <v>2</v>
      </c>
      <c r="I2177" t="str">
        <f>HYPERLINK("tel:+15625371134", "562-537-1134")</f>
        <v>562-537-1134</v>
      </c>
      <c r="J2177" t="s">
        <v>9101</v>
      </c>
      <c r="K2177" t="s">
        <v>9102</v>
      </c>
      <c r="M2177">
        <v>5625371134</v>
      </c>
    </row>
    <row r="2178" spans="1:13" x14ac:dyDescent="0.25">
      <c r="A2178">
        <v>9717038465</v>
      </c>
      <c r="B2178" t="s">
        <v>9103</v>
      </c>
      <c r="C2178">
        <v>445000</v>
      </c>
      <c r="D2178" t="s">
        <v>9104</v>
      </c>
      <c r="E2178" t="s">
        <v>9105</v>
      </c>
      <c r="F2178">
        <v>2</v>
      </c>
      <c r="I2178" t="str">
        <f>HYPERLINK("tel:+15625440582", "562-544-0582")</f>
        <v>562-544-0582</v>
      </c>
      <c r="J2178" t="s">
        <v>9106</v>
      </c>
      <c r="K2178" t="s">
        <v>9107</v>
      </c>
      <c r="M2178">
        <v>5625440582</v>
      </c>
    </row>
    <row r="2179" spans="1:13" x14ac:dyDescent="0.25">
      <c r="A2179">
        <v>1227247662</v>
      </c>
      <c r="B2179" t="s">
        <v>8916</v>
      </c>
      <c r="C2179">
        <v>2350000</v>
      </c>
      <c r="D2179" t="s">
        <v>8917</v>
      </c>
      <c r="E2179" t="s">
        <v>9108</v>
      </c>
      <c r="F2179">
        <v>2</v>
      </c>
      <c r="I2179" t="str">
        <f>HYPERLINK("tel:+15625442202", "562-544-2202")</f>
        <v>562-544-2202</v>
      </c>
      <c r="J2179" t="s">
        <v>9109</v>
      </c>
      <c r="K2179" t="s">
        <v>4601</v>
      </c>
      <c r="M2179">
        <v>5625442202</v>
      </c>
    </row>
    <row r="2180" spans="1:13" x14ac:dyDescent="0.25">
      <c r="A2180">
        <v>2522734993</v>
      </c>
      <c r="B2180" t="s">
        <v>9110</v>
      </c>
      <c r="C2180">
        <v>849900</v>
      </c>
      <c r="D2180" t="s">
        <v>9111</v>
      </c>
      <c r="E2180" t="s">
        <v>9112</v>
      </c>
      <c r="F2180">
        <v>2</v>
      </c>
      <c r="I2180" t="str">
        <f>HYPERLINK("tel:+15625471778", "562-547-1778")</f>
        <v>562-547-1778</v>
      </c>
      <c r="J2180" t="s">
        <v>9113</v>
      </c>
      <c r="K2180" t="s">
        <v>9114</v>
      </c>
      <c r="M2180">
        <v>5625471778</v>
      </c>
    </row>
    <row r="2181" spans="1:13" x14ac:dyDescent="0.25">
      <c r="A2181">
        <v>1900482807</v>
      </c>
      <c r="B2181" t="s">
        <v>9115</v>
      </c>
      <c r="C2181">
        <v>1558888</v>
      </c>
      <c r="D2181" t="s">
        <v>9116</v>
      </c>
      <c r="E2181" t="s">
        <v>9117</v>
      </c>
      <c r="F2181">
        <v>2</v>
      </c>
      <c r="I2181" t="str">
        <f>HYPERLINK("tel:+15625521127", "562-552-1127")</f>
        <v>562-552-1127</v>
      </c>
      <c r="J2181" t="s">
        <v>9118</v>
      </c>
      <c r="K2181" t="s">
        <v>9119</v>
      </c>
      <c r="M2181">
        <v>5625521127</v>
      </c>
    </row>
    <row r="2182" spans="1:13" x14ac:dyDescent="0.25">
      <c r="A2182">
        <v>9985799276</v>
      </c>
      <c r="B2182" t="s">
        <v>9120</v>
      </c>
      <c r="C2182">
        <v>4700</v>
      </c>
      <c r="D2182" t="s">
        <v>9121</v>
      </c>
      <c r="E2182" t="s">
        <v>9122</v>
      </c>
      <c r="F2182">
        <v>2</v>
      </c>
      <c r="I2182" t="str">
        <f>HYPERLINK("tel:+15625724203", "562-572-4203")</f>
        <v>562-572-4203</v>
      </c>
      <c r="J2182" t="s">
        <v>9123</v>
      </c>
      <c r="K2182" t="s">
        <v>707</v>
      </c>
      <c r="M2182">
        <v>5625724203</v>
      </c>
    </row>
    <row r="2183" spans="1:13" x14ac:dyDescent="0.25">
      <c r="A2183">
        <v>1038023127</v>
      </c>
      <c r="B2183" t="s">
        <v>9124</v>
      </c>
      <c r="C2183">
        <v>1500000</v>
      </c>
      <c r="D2183" t="s">
        <v>9125</v>
      </c>
      <c r="E2183" t="s">
        <v>9126</v>
      </c>
      <c r="F2183">
        <v>2</v>
      </c>
      <c r="I2183" t="str">
        <f>HYPERLINK("tel:+15625724978", "562-572-4978")</f>
        <v>562-572-4978</v>
      </c>
      <c r="J2183" t="s">
        <v>9127</v>
      </c>
      <c r="K2183" t="s">
        <v>9128</v>
      </c>
      <c r="M2183">
        <v>5625724978</v>
      </c>
    </row>
    <row r="2184" spans="1:13" x14ac:dyDescent="0.25">
      <c r="A2184">
        <v>9060777084</v>
      </c>
      <c r="B2184" t="s">
        <v>9129</v>
      </c>
      <c r="C2184">
        <v>649999</v>
      </c>
      <c r="D2184" t="s">
        <v>9130</v>
      </c>
      <c r="E2184" t="s">
        <v>9131</v>
      </c>
      <c r="F2184">
        <v>2</v>
      </c>
      <c r="I2184" t="str">
        <f>HYPERLINK("tel:+15625729930", "562-572-9930")</f>
        <v>562-572-9930</v>
      </c>
      <c r="J2184" t="s">
        <v>9132</v>
      </c>
      <c r="K2184" t="s">
        <v>9133</v>
      </c>
      <c r="M2184">
        <v>5625729930</v>
      </c>
    </row>
    <row r="2185" spans="1:13" x14ac:dyDescent="0.25">
      <c r="A2185">
        <v>9254521886</v>
      </c>
      <c r="B2185" t="s">
        <v>9134</v>
      </c>
      <c r="C2185">
        <v>405000</v>
      </c>
      <c r="D2185" t="s">
        <v>9135</v>
      </c>
      <c r="E2185" t="s">
        <v>9136</v>
      </c>
      <c r="F2185">
        <v>2</v>
      </c>
      <c r="I2185" t="str">
        <f>HYPERLINK("tel:+15625886717", "562-588-6717")</f>
        <v>562-588-6717</v>
      </c>
      <c r="J2185" t="s">
        <v>9137</v>
      </c>
      <c r="K2185" t="s">
        <v>490</v>
      </c>
      <c r="M2185">
        <v>5625886717</v>
      </c>
    </row>
    <row r="2186" spans="1:13" x14ac:dyDescent="0.25">
      <c r="A2186">
        <v>1015222119</v>
      </c>
      <c r="B2186" t="s">
        <v>9138</v>
      </c>
      <c r="C2186">
        <v>1210000</v>
      </c>
      <c r="D2186" t="s">
        <v>9139</v>
      </c>
      <c r="E2186" t="s">
        <v>9140</v>
      </c>
      <c r="F2186">
        <v>2</v>
      </c>
      <c r="I2186" t="str">
        <f>HYPERLINK("tel:+15625946753", "562-594-6753")</f>
        <v>562-594-6753</v>
      </c>
      <c r="J2186" t="s">
        <v>9141</v>
      </c>
      <c r="K2186" t="s">
        <v>5594</v>
      </c>
      <c r="M2186">
        <v>5625946753</v>
      </c>
    </row>
    <row r="2187" spans="1:13" x14ac:dyDescent="0.25">
      <c r="A2187">
        <v>1338326064</v>
      </c>
      <c r="B2187" t="s">
        <v>9142</v>
      </c>
      <c r="C2187">
        <v>1100000</v>
      </c>
      <c r="D2187" t="s">
        <v>9143</v>
      </c>
      <c r="E2187" t="s">
        <v>9144</v>
      </c>
      <c r="F2187">
        <v>2</v>
      </c>
      <c r="I2187" t="str">
        <f>HYPERLINK("tel:+15625980796", "562-598-0796")</f>
        <v>562-598-0796</v>
      </c>
      <c r="J2187" t="s">
        <v>9145</v>
      </c>
      <c r="K2187" t="s">
        <v>9146</v>
      </c>
      <c r="M2187">
        <v>5625980796</v>
      </c>
    </row>
    <row r="2188" spans="1:13" x14ac:dyDescent="0.25">
      <c r="A2188">
        <v>2664241481</v>
      </c>
      <c r="B2188" t="s">
        <v>9147</v>
      </c>
      <c r="C2188">
        <v>729900</v>
      </c>
      <c r="D2188" t="s">
        <v>9148</v>
      </c>
      <c r="E2188" t="s">
        <v>9149</v>
      </c>
      <c r="F2188">
        <v>2</v>
      </c>
      <c r="I2188" t="str">
        <f>HYPERLINK("tel:+15626190785", "562-619-0785")</f>
        <v>562-619-0785</v>
      </c>
      <c r="J2188" t="s">
        <v>9150</v>
      </c>
      <c r="K2188" t="s">
        <v>9151</v>
      </c>
      <c r="M2188">
        <v>5626190785</v>
      </c>
    </row>
    <row r="2189" spans="1:13" x14ac:dyDescent="0.25">
      <c r="A2189">
        <v>2534413480</v>
      </c>
      <c r="B2189" t="s">
        <v>9152</v>
      </c>
      <c r="C2189">
        <v>1150000</v>
      </c>
      <c r="D2189" t="s">
        <v>9153</v>
      </c>
      <c r="E2189" t="s">
        <v>9154</v>
      </c>
      <c r="F2189">
        <v>2</v>
      </c>
      <c r="I2189" t="str">
        <f>HYPERLINK("tel:+15626197000", "562-619-7000")</f>
        <v>562-619-7000</v>
      </c>
      <c r="J2189" t="s">
        <v>9155</v>
      </c>
      <c r="K2189" t="s">
        <v>9156</v>
      </c>
      <c r="M2189">
        <v>5626197000</v>
      </c>
    </row>
    <row r="2190" spans="1:13" x14ac:dyDescent="0.25">
      <c r="A2190">
        <v>1242862092</v>
      </c>
      <c r="B2190" t="s">
        <v>9059</v>
      </c>
      <c r="C2190">
        <v>750000</v>
      </c>
      <c r="D2190" t="s">
        <v>9060</v>
      </c>
      <c r="E2190" t="s">
        <v>9157</v>
      </c>
      <c r="F2190">
        <v>2</v>
      </c>
      <c r="I2190" t="str">
        <f>HYPERLINK("tel:+15626313191", "562-631-3191")</f>
        <v>562-631-3191</v>
      </c>
      <c r="J2190" t="s">
        <v>9158</v>
      </c>
      <c r="K2190" t="s">
        <v>9063</v>
      </c>
      <c r="M2190">
        <v>5626313191</v>
      </c>
    </row>
    <row r="2191" spans="1:13" x14ac:dyDescent="0.25">
      <c r="A2191">
        <v>2323914190</v>
      </c>
      <c r="B2191" t="s">
        <v>9159</v>
      </c>
      <c r="C2191">
        <v>310000</v>
      </c>
      <c r="D2191" t="s">
        <v>9160</v>
      </c>
      <c r="E2191" t="s">
        <v>9161</v>
      </c>
      <c r="F2191">
        <v>2</v>
      </c>
      <c r="I2191" t="str">
        <f>HYPERLINK("tel:+15626328097", "562-632-8097")</f>
        <v>562-632-8097</v>
      </c>
      <c r="J2191" t="s">
        <v>9162</v>
      </c>
      <c r="K2191" t="s">
        <v>4601</v>
      </c>
      <c r="M2191">
        <v>5626328097</v>
      </c>
    </row>
    <row r="2192" spans="1:13" x14ac:dyDescent="0.25">
      <c r="A2192">
        <v>2931504842</v>
      </c>
      <c r="B2192" t="s">
        <v>9163</v>
      </c>
      <c r="C2192">
        <v>795000</v>
      </c>
      <c r="D2192" t="s">
        <v>9164</v>
      </c>
      <c r="E2192" t="s">
        <v>9165</v>
      </c>
      <c r="F2192">
        <v>2</v>
      </c>
      <c r="I2192" t="str">
        <f>HYPERLINK("tel:+15626400056", "562-640-0056")</f>
        <v>562-640-0056</v>
      </c>
      <c r="J2192" t="s">
        <v>9166</v>
      </c>
      <c r="K2192" t="s">
        <v>9167</v>
      </c>
      <c r="M2192">
        <v>5626400056</v>
      </c>
    </row>
    <row r="2193" spans="1:13" x14ac:dyDescent="0.25">
      <c r="A2193">
        <v>1689327863</v>
      </c>
      <c r="B2193" t="s">
        <v>9168</v>
      </c>
      <c r="C2193">
        <v>1599999</v>
      </c>
      <c r="D2193" t="s">
        <v>9169</v>
      </c>
      <c r="E2193" t="s">
        <v>9170</v>
      </c>
      <c r="F2193">
        <v>2</v>
      </c>
      <c r="I2193" t="str">
        <f>HYPERLINK("tel:+15626444544", "562-644-4544")</f>
        <v>562-644-4544</v>
      </c>
      <c r="J2193" t="s">
        <v>9171</v>
      </c>
      <c r="K2193" t="s">
        <v>9172</v>
      </c>
      <c r="M2193">
        <v>5626444544</v>
      </c>
    </row>
    <row r="2194" spans="1:13" x14ac:dyDescent="0.25">
      <c r="A2194">
        <v>2672950859</v>
      </c>
      <c r="B2194" t="s">
        <v>9173</v>
      </c>
      <c r="C2194">
        <v>1650000</v>
      </c>
      <c r="D2194" t="s">
        <v>9174</v>
      </c>
      <c r="E2194" t="s">
        <v>9175</v>
      </c>
      <c r="F2194">
        <v>2</v>
      </c>
      <c r="I2194" t="str">
        <f>HYPERLINK("tel:+15626523722", "562-652-3722")</f>
        <v>562-652-3722</v>
      </c>
      <c r="J2194" t="s">
        <v>9176</v>
      </c>
      <c r="K2194" t="s">
        <v>9177</v>
      </c>
      <c r="M2194">
        <v>5626523722</v>
      </c>
    </row>
    <row r="2195" spans="1:13" x14ac:dyDescent="0.25">
      <c r="A2195">
        <v>1644378135</v>
      </c>
      <c r="B2195" t="s">
        <v>9178</v>
      </c>
      <c r="C2195">
        <v>799000</v>
      </c>
      <c r="D2195" t="s">
        <v>9179</v>
      </c>
      <c r="E2195" t="s">
        <v>9180</v>
      </c>
      <c r="F2195">
        <v>2</v>
      </c>
      <c r="I2195" t="str">
        <f>HYPERLINK("tel:+15626528913", "562-652-8913")</f>
        <v>562-652-8913</v>
      </c>
      <c r="J2195" t="s">
        <v>9181</v>
      </c>
      <c r="K2195" t="s">
        <v>9182</v>
      </c>
      <c r="M2195">
        <v>5626528913</v>
      </c>
    </row>
    <row r="2196" spans="1:13" x14ac:dyDescent="0.25">
      <c r="A2196">
        <v>9983569297</v>
      </c>
      <c r="B2196" t="s">
        <v>9183</v>
      </c>
      <c r="C2196">
        <v>220000</v>
      </c>
      <c r="D2196" t="s">
        <v>9184</v>
      </c>
      <c r="E2196" t="s">
        <v>9185</v>
      </c>
      <c r="F2196">
        <v>2</v>
      </c>
      <c r="I2196" t="str">
        <f>HYPERLINK("tel:+15626658434", "562-665-8434")</f>
        <v>562-665-8434</v>
      </c>
      <c r="J2196" t="s">
        <v>9186</v>
      </c>
      <c r="K2196" t="s">
        <v>9187</v>
      </c>
      <c r="M2196">
        <v>5626658434</v>
      </c>
    </row>
    <row r="2197" spans="1:13" x14ac:dyDescent="0.25">
      <c r="A2197">
        <v>2590933653</v>
      </c>
      <c r="B2197" t="s">
        <v>9188</v>
      </c>
      <c r="C2197">
        <v>375000</v>
      </c>
      <c r="D2197" t="s">
        <v>9189</v>
      </c>
      <c r="E2197" t="s">
        <v>9190</v>
      </c>
      <c r="F2197">
        <v>2</v>
      </c>
      <c r="I2197" t="str">
        <f>HYPERLINK("tel:+15626681887", "562-668-1887")</f>
        <v>562-668-1887</v>
      </c>
      <c r="J2197" t="s">
        <v>9191</v>
      </c>
      <c r="K2197" t="s">
        <v>5396</v>
      </c>
      <c r="M2197">
        <v>5626681887</v>
      </c>
    </row>
    <row r="2198" spans="1:13" x14ac:dyDescent="0.25">
      <c r="A2198">
        <v>2054410226</v>
      </c>
      <c r="B2198" t="s">
        <v>9192</v>
      </c>
      <c r="C2198">
        <v>549000</v>
      </c>
      <c r="D2198" t="s">
        <v>9193</v>
      </c>
      <c r="E2198" t="s">
        <v>9194</v>
      </c>
      <c r="F2198">
        <v>2</v>
      </c>
      <c r="I2198" t="str">
        <f>HYPERLINK("tel:+15626688005", "562-668-8005")</f>
        <v>562-668-8005</v>
      </c>
      <c r="J2198" t="s">
        <v>9195</v>
      </c>
      <c r="K2198" t="s">
        <v>2704</v>
      </c>
      <c r="M2198">
        <v>5626688005</v>
      </c>
    </row>
    <row r="2199" spans="1:13" x14ac:dyDescent="0.25">
      <c r="A2199">
        <v>9031663773</v>
      </c>
      <c r="B2199" t="s">
        <v>9196</v>
      </c>
      <c r="C2199">
        <v>55000</v>
      </c>
      <c r="D2199" t="s">
        <v>9197</v>
      </c>
      <c r="E2199" t="s">
        <v>9198</v>
      </c>
      <c r="F2199">
        <v>2</v>
      </c>
      <c r="I2199" t="str">
        <f>HYPERLINK("tel:+15626735455", "562-673-5455")</f>
        <v>562-673-5455</v>
      </c>
      <c r="J2199" t="s">
        <v>9199</v>
      </c>
      <c r="K2199" t="s">
        <v>5005</v>
      </c>
      <c r="M2199">
        <v>5626735455</v>
      </c>
    </row>
    <row r="2200" spans="1:13" x14ac:dyDescent="0.25">
      <c r="A2200">
        <v>1856312516</v>
      </c>
      <c r="B2200" t="s">
        <v>9200</v>
      </c>
      <c r="C2200">
        <v>426900</v>
      </c>
      <c r="D2200" t="s">
        <v>9201</v>
      </c>
      <c r="E2200" t="s">
        <v>9202</v>
      </c>
      <c r="F2200">
        <v>2</v>
      </c>
      <c r="I2200" t="str">
        <f>HYPERLINK("tel:+15626825312", "562-682-5312")</f>
        <v>562-682-5312</v>
      </c>
      <c r="J2200" t="s">
        <v>9203</v>
      </c>
      <c r="K2200" t="s">
        <v>9204</v>
      </c>
      <c r="M2200">
        <v>5626825312</v>
      </c>
    </row>
    <row r="2201" spans="1:13" x14ac:dyDescent="0.25">
      <c r="A2201">
        <v>1929559872</v>
      </c>
      <c r="B2201" t="s">
        <v>9205</v>
      </c>
      <c r="C2201">
        <v>1079000</v>
      </c>
      <c r="D2201" t="s">
        <v>9206</v>
      </c>
      <c r="E2201" t="s">
        <v>9207</v>
      </c>
      <c r="F2201">
        <v>2</v>
      </c>
      <c r="I2201" t="str">
        <f>HYPERLINK("tel:+15626861992", "562-686-1992")</f>
        <v>562-686-1992</v>
      </c>
      <c r="J2201" t="s">
        <v>9208</v>
      </c>
      <c r="K2201" t="s">
        <v>8595</v>
      </c>
      <c r="M2201">
        <v>5626861992</v>
      </c>
    </row>
    <row r="2202" spans="1:13" x14ac:dyDescent="0.25">
      <c r="A2202">
        <v>2787943133</v>
      </c>
      <c r="B2202" t="s">
        <v>9209</v>
      </c>
      <c r="C2202">
        <v>840000</v>
      </c>
      <c r="D2202" t="s">
        <v>9210</v>
      </c>
      <c r="E2202" t="s">
        <v>9211</v>
      </c>
      <c r="F2202">
        <v>2</v>
      </c>
      <c r="I2202" t="str">
        <f>HYPERLINK("tel:+15626883590", "562-688-3590")</f>
        <v>562-688-3590</v>
      </c>
      <c r="J2202" t="s">
        <v>9212</v>
      </c>
      <c r="K2202" t="s">
        <v>2935</v>
      </c>
      <c r="M2202">
        <v>5626883590</v>
      </c>
    </row>
    <row r="2203" spans="1:13" x14ac:dyDescent="0.25">
      <c r="A2203">
        <v>2423533055</v>
      </c>
      <c r="B2203" t="s">
        <v>9213</v>
      </c>
      <c r="C2203">
        <v>1089000</v>
      </c>
      <c r="D2203" t="s">
        <v>9214</v>
      </c>
      <c r="E2203" t="s">
        <v>9215</v>
      </c>
      <c r="F2203">
        <v>2</v>
      </c>
      <c r="I2203" t="str">
        <f>HYPERLINK("tel:+15626905801", "562-690-5801")</f>
        <v>562-690-5801</v>
      </c>
      <c r="J2203" t="s">
        <v>9216</v>
      </c>
      <c r="K2203" t="s">
        <v>7669</v>
      </c>
      <c r="M2203">
        <v>5626905801</v>
      </c>
    </row>
    <row r="2204" spans="1:13" x14ac:dyDescent="0.25">
      <c r="A2204">
        <v>2563947457</v>
      </c>
      <c r="B2204" t="s">
        <v>9217</v>
      </c>
      <c r="C2204">
        <v>639000</v>
      </c>
      <c r="D2204" t="s">
        <v>9218</v>
      </c>
      <c r="E2204" t="s">
        <v>9219</v>
      </c>
      <c r="F2204">
        <v>2</v>
      </c>
      <c r="I2204" t="str">
        <f>HYPERLINK("tel:+15627129638", "562-712-9638")</f>
        <v>562-712-9638</v>
      </c>
      <c r="J2204" t="s">
        <v>9220</v>
      </c>
      <c r="K2204" t="s">
        <v>9221</v>
      </c>
      <c r="M2204">
        <v>5627129638</v>
      </c>
    </row>
    <row r="2205" spans="1:13" x14ac:dyDescent="0.25">
      <c r="A2205">
        <v>2387921335</v>
      </c>
      <c r="B2205" t="s">
        <v>9222</v>
      </c>
      <c r="C2205">
        <v>909000</v>
      </c>
      <c r="D2205" t="s">
        <v>9223</v>
      </c>
      <c r="E2205" t="s">
        <v>9224</v>
      </c>
      <c r="F2205">
        <v>2</v>
      </c>
      <c r="I2205" t="str">
        <f>HYPERLINK("tel:+15627146039", "562-714-6039")</f>
        <v>562-714-6039</v>
      </c>
      <c r="J2205" t="s">
        <v>9225</v>
      </c>
      <c r="K2205" t="s">
        <v>6077</v>
      </c>
      <c r="M2205">
        <v>5627146039</v>
      </c>
    </row>
    <row r="2206" spans="1:13" x14ac:dyDescent="0.25">
      <c r="A2206">
        <v>2135687247</v>
      </c>
      <c r="B2206" t="s">
        <v>9226</v>
      </c>
      <c r="C2206">
        <v>1150000</v>
      </c>
      <c r="D2206" t="s">
        <v>9227</v>
      </c>
      <c r="E2206" t="s">
        <v>9228</v>
      </c>
      <c r="F2206">
        <v>2</v>
      </c>
      <c r="I2206" t="str">
        <f>HYPERLINK("tel:+15627153103", "562-715-3103")</f>
        <v>562-715-3103</v>
      </c>
      <c r="J2206" t="s">
        <v>9229</v>
      </c>
      <c r="K2206" t="s">
        <v>445</v>
      </c>
      <c r="M2206">
        <v>5627153103</v>
      </c>
    </row>
    <row r="2207" spans="1:13" x14ac:dyDescent="0.25">
      <c r="A2207">
        <v>1989647093</v>
      </c>
      <c r="B2207" t="s">
        <v>9230</v>
      </c>
      <c r="C2207">
        <v>1249000</v>
      </c>
      <c r="D2207" t="s">
        <v>9231</v>
      </c>
      <c r="E2207" t="s">
        <v>9232</v>
      </c>
      <c r="F2207">
        <v>2</v>
      </c>
      <c r="I2207" t="str">
        <f>HYPERLINK("tel:+15627262515", "562-726-2515")</f>
        <v>562-726-2515</v>
      </c>
      <c r="J2207" t="s">
        <v>9233</v>
      </c>
      <c r="K2207" t="s">
        <v>9234</v>
      </c>
      <c r="M2207">
        <v>5627262515</v>
      </c>
    </row>
    <row r="2208" spans="1:13" x14ac:dyDescent="0.25">
      <c r="A2208">
        <v>2272957309</v>
      </c>
      <c r="B2208" t="s">
        <v>9235</v>
      </c>
      <c r="C2208">
        <v>749000</v>
      </c>
      <c r="D2208" t="s">
        <v>9236</v>
      </c>
      <c r="E2208" t="s">
        <v>9237</v>
      </c>
      <c r="F2208">
        <v>2</v>
      </c>
      <c r="I2208" t="str">
        <f>HYPERLINK("tel:+15627437137", "562-743-7137")</f>
        <v>562-743-7137</v>
      </c>
      <c r="J2208" t="s">
        <v>9238</v>
      </c>
      <c r="K2208" t="s">
        <v>9239</v>
      </c>
      <c r="M2208">
        <v>5627437137</v>
      </c>
    </row>
    <row r="2209" spans="1:13" x14ac:dyDescent="0.25">
      <c r="A2209">
        <v>2569284710</v>
      </c>
      <c r="B2209" t="s">
        <v>9240</v>
      </c>
      <c r="C2209">
        <v>1000000</v>
      </c>
      <c r="D2209" t="s">
        <v>9241</v>
      </c>
      <c r="E2209" t="s">
        <v>9242</v>
      </c>
      <c r="F2209">
        <v>2</v>
      </c>
      <c r="I2209" t="str">
        <f>HYPERLINK("tel:+15627464774", "562-746-4774")</f>
        <v>562-746-4774</v>
      </c>
      <c r="J2209" t="s">
        <v>9243</v>
      </c>
      <c r="K2209" t="s">
        <v>9244</v>
      </c>
      <c r="M2209">
        <v>5627464774</v>
      </c>
    </row>
    <row r="2210" spans="1:13" x14ac:dyDescent="0.25">
      <c r="A2210">
        <v>1711093312</v>
      </c>
      <c r="B2210" t="s">
        <v>9245</v>
      </c>
      <c r="C2210">
        <v>699000</v>
      </c>
      <c r="D2210" t="s">
        <v>9246</v>
      </c>
      <c r="E2210" t="s">
        <v>9247</v>
      </c>
      <c r="F2210">
        <v>2</v>
      </c>
      <c r="I2210" t="str">
        <f>HYPERLINK("tel:+15627540660", "562-754-0660")</f>
        <v>562-754-0660</v>
      </c>
      <c r="J2210" t="s">
        <v>9248</v>
      </c>
      <c r="K2210" t="s">
        <v>8230</v>
      </c>
      <c r="M2210">
        <v>5627540660</v>
      </c>
    </row>
    <row r="2211" spans="1:13" x14ac:dyDescent="0.25">
      <c r="A2211">
        <v>2499281600</v>
      </c>
      <c r="B2211" t="s">
        <v>9249</v>
      </c>
      <c r="C2211">
        <v>1149000</v>
      </c>
      <c r="D2211" t="s">
        <v>9250</v>
      </c>
      <c r="E2211" t="s">
        <v>9251</v>
      </c>
      <c r="F2211">
        <v>2</v>
      </c>
      <c r="I2211" t="str">
        <f>HYPERLINK("tel:+15627559726", "562-755-9726")</f>
        <v>562-755-9726</v>
      </c>
      <c r="J2211" t="s">
        <v>9252</v>
      </c>
      <c r="K2211" t="s">
        <v>9253</v>
      </c>
      <c r="M2211">
        <v>5627559726</v>
      </c>
    </row>
    <row r="2212" spans="1:13" x14ac:dyDescent="0.25">
      <c r="A2212">
        <v>1392727431</v>
      </c>
      <c r="B2212" t="s">
        <v>9254</v>
      </c>
      <c r="C2212">
        <v>50000</v>
      </c>
      <c r="D2212" t="s">
        <v>9255</v>
      </c>
      <c r="E2212" t="s">
        <v>9256</v>
      </c>
      <c r="F2212">
        <v>2</v>
      </c>
      <c r="I2212" t="str">
        <f>HYPERLINK("tel:+15627580859", "562-758-0859")</f>
        <v>562-758-0859</v>
      </c>
      <c r="J2212" t="s">
        <v>9257</v>
      </c>
      <c r="K2212" t="s">
        <v>9258</v>
      </c>
      <c r="M2212">
        <v>5627580859</v>
      </c>
    </row>
    <row r="2213" spans="1:13" x14ac:dyDescent="0.25">
      <c r="A2213">
        <v>2845254759</v>
      </c>
      <c r="B2213" t="s">
        <v>9259</v>
      </c>
      <c r="C2213">
        <v>1750000</v>
      </c>
      <c r="D2213" t="s">
        <v>9260</v>
      </c>
      <c r="E2213" t="s">
        <v>9261</v>
      </c>
      <c r="F2213">
        <v>2</v>
      </c>
      <c r="I2213" t="str">
        <f>HYPERLINK("tel:+15627627492", "562-762-7492")</f>
        <v>562-762-7492</v>
      </c>
      <c r="J2213" t="s">
        <v>9262</v>
      </c>
      <c r="K2213" t="s">
        <v>9263</v>
      </c>
      <c r="M2213">
        <v>5627627492</v>
      </c>
    </row>
    <row r="2214" spans="1:13" x14ac:dyDescent="0.25">
      <c r="A2214">
        <v>1029609402</v>
      </c>
      <c r="B2214" t="s">
        <v>9264</v>
      </c>
      <c r="C2214">
        <v>1250000</v>
      </c>
      <c r="D2214" t="s">
        <v>9265</v>
      </c>
      <c r="E2214" t="s">
        <v>9266</v>
      </c>
      <c r="F2214">
        <v>2</v>
      </c>
      <c r="I2214" t="str">
        <f>HYPERLINK("tel:+15627737491", "562-773-7491")</f>
        <v>562-773-7491</v>
      </c>
      <c r="J2214" t="s">
        <v>9267</v>
      </c>
      <c r="K2214" t="s">
        <v>306</v>
      </c>
      <c r="M2214">
        <v>5627737491</v>
      </c>
    </row>
    <row r="2215" spans="1:13" x14ac:dyDescent="0.25">
      <c r="A2215">
        <v>2126519825</v>
      </c>
      <c r="B2215" t="s">
        <v>9268</v>
      </c>
      <c r="C2215">
        <v>775000</v>
      </c>
      <c r="D2215" t="s">
        <v>9269</v>
      </c>
      <c r="E2215" t="s">
        <v>9270</v>
      </c>
      <c r="F2215">
        <v>2</v>
      </c>
      <c r="I2215" t="str">
        <f>HYPERLINK("tel:+15627747140", "562-774-7140")</f>
        <v>562-774-7140</v>
      </c>
      <c r="J2215" t="s">
        <v>9271</v>
      </c>
      <c r="K2215" t="s">
        <v>9272</v>
      </c>
      <c r="M2215">
        <v>5627747140</v>
      </c>
    </row>
    <row r="2216" spans="1:13" x14ac:dyDescent="0.25">
      <c r="A2216">
        <v>2562038915</v>
      </c>
      <c r="B2216" t="s">
        <v>9273</v>
      </c>
      <c r="C2216">
        <v>1499999</v>
      </c>
      <c r="D2216" t="s">
        <v>9274</v>
      </c>
      <c r="E2216" t="s">
        <v>9275</v>
      </c>
      <c r="F2216">
        <v>2</v>
      </c>
      <c r="I2216" t="str">
        <f>HYPERLINK("tel:+15627894663", "562-789-4663")</f>
        <v>562-789-4663</v>
      </c>
      <c r="J2216" t="s">
        <v>9276</v>
      </c>
      <c r="K2216" t="s">
        <v>5146</v>
      </c>
      <c r="M2216">
        <v>5627894663</v>
      </c>
    </row>
    <row r="2217" spans="1:13" x14ac:dyDescent="0.25">
      <c r="A2217">
        <v>9700206777</v>
      </c>
      <c r="B2217" t="s">
        <v>9277</v>
      </c>
      <c r="C2217">
        <v>199000</v>
      </c>
      <c r="D2217" t="s">
        <v>9278</v>
      </c>
      <c r="E2217" t="s">
        <v>9279</v>
      </c>
      <c r="F2217">
        <v>2</v>
      </c>
      <c r="I2217" t="str">
        <f>HYPERLINK("tel:+15628054341", "562-805-4341")</f>
        <v>562-805-4341</v>
      </c>
      <c r="J2217" t="s">
        <v>9280</v>
      </c>
      <c r="K2217" t="s">
        <v>707</v>
      </c>
      <c r="M2217">
        <v>5628054341</v>
      </c>
    </row>
    <row r="2218" spans="1:13" x14ac:dyDescent="0.25">
      <c r="A2218">
        <v>9926184555</v>
      </c>
      <c r="B2218" t="s">
        <v>9281</v>
      </c>
      <c r="C2218">
        <v>8500</v>
      </c>
      <c r="D2218" t="s">
        <v>9282</v>
      </c>
      <c r="E2218" t="s">
        <v>9283</v>
      </c>
      <c r="F2218">
        <v>2</v>
      </c>
      <c r="I2218" t="str">
        <f>HYPERLINK("tel:+15628180971", "562-818-0971")</f>
        <v>562-818-0971</v>
      </c>
      <c r="J2218" t="s">
        <v>9284</v>
      </c>
      <c r="K2218" t="s">
        <v>9285</v>
      </c>
      <c r="M2218">
        <v>5628180971</v>
      </c>
    </row>
    <row r="2219" spans="1:13" x14ac:dyDescent="0.25">
      <c r="A2219">
        <v>1114791826</v>
      </c>
      <c r="B2219" t="s">
        <v>8944</v>
      </c>
      <c r="C2219">
        <v>999900</v>
      </c>
      <c r="D2219" t="s">
        <v>8945</v>
      </c>
      <c r="E2219" t="s">
        <v>9286</v>
      </c>
      <c r="F2219">
        <v>2</v>
      </c>
      <c r="I2219" t="str">
        <f>HYPERLINK("tel:+15628330055", "562-833-0055")</f>
        <v>562-833-0055</v>
      </c>
      <c r="J2219" t="s">
        <v>9287</v>
      </c>
      <c r="K2219" t="s">
        <v>445</v>
      </c>
      <c r="M2219">
        <v>5628330055</v>
      </c>
    </row>
    <row r="2220" spans="1:13" x14ac:dyDescent="0.25">
      <c r="A2220">
        <v>9030673662</v>
      </c>
      <c r="B2220" t="s">
        <v>9288</v>
      </c>
      <c r="C2220">
        <v>795000</v>
      </c>
      <c r="D2220" t="s">
        <v>9289</v>
      </c>
      <c r="E2220" t="s">
        <v>9290</v>
      </c>
      <c r="F2220">
        <v>2</v>
      </c>
      <c r="I2220" t="str">
        <f>HYPERLINK("tel:+15628431103", "562-843-1103")</f>
        <v>562-843-1103</v>
      </c>
      <c r="J2220" t="s">
        <v>9291</v>
      </c>
      <c r="K2220" t="s">
        <v>9292</v>
      </c>
      <c r="M2220">
        <v>5628431103</v>
      </c>
    </row>
    <row r="2221" spans="1:13" x14ac:dyDescent="0.25">
      <c r="A2221">
        <v>2807347775</v>
      </c>
      <c r="B2221" t="s">
        <v>9293</v>
      </c>
      <c r="C2221">
        <v>1126000</v>
      </c>
      <c r="D2221" t="s">
        <v>9294</v>
      </c>
      <c r="E2221" t="s">
        <v>9295</v>
      </c>
      <c r="F2221">
        <v>2</v>
      </c>
      <c r="I2221" t="str">
        <f>HYPERLINK("tel:+15628434887", "562-843-4887")</f>
        <v>562-843-4887</v>
      </c>
      <c r="J2221" t="s">
        <v>9296</v>
      </c>
      <c r="K2221" t="s">
        <v>5005</v>
      </c>
      <c r="M2221">
        <v>5628434887</v>
      </c>
    </row>
    <row r="2222" spans="1:13" x14ac:dyDescent="0.25">
      <c r="A2222">
        <v>1650594760</v>
      </c>
      <c r="B2222" t="s">
        <v>9297</v>
      </c>
      <c r="C2222">
        <v>860000</v>
      </c>
      <c r="D2222" t="s">
        <v>9298</v>
      </c>
      <c r="E2222" t="s">
        <v>9299</v>
      </c>
      <c r="F2222">
        <v>2</v>
      </c>
      <c r="I2222" t="str">
        <f>HYPERLINK("tel:+15628521045", "562-852-1045")</f>
        <v>562-852-1045</v>
      </c>
      <c r="J2222" t="s">
        <v>9300</v>
      </c>
      <c r="K2222" t="s">
        <v>306</v>
      </c>
      <c r="M2222">
        <v>5628521045</v>
      </c>
    </row>
    <row r="2223" spans="1:13" x14ac:dyDescent="0.25">
      <c r="A2223">
        <v>9840712323</v>
      </c>
      <c r="B2223" t="s">
        <v>9301</v>
      </c>
      <c r="C2223">
        <v>700000</v>
      </c>
      <c r="D2223" t="s">
        <v>9302</v>
      </c>
      <c r="E2223" t="s">
        <v>9303</v>
      </c>
      <c r="F2223">
        <v>2</v>
      </c>
      <c r="I2223" t="str">
        <f>HYPERLINK("tel:+15628521640", "562-852-1640")</f>
        <v>562-852-1640</v>
      </c>
      <c r="J2223" t="s">
        <v>9304</v>
      </c>
      <c r="K2223" t="s">
        <v>490</v>
      </c>
      <c r="M2223">
        <v>5628521640</v>
      </c>
    </row>
    <row r="2224" spans="1:13" x14ac:dyDescent="0.25">
      <c r="A2224">
        <v>1241122148</v>
      </c>
      <c r="B2224" t="s">
        <v>9305</v>
      </c>
      <c r="C2224">
        <v>1175000</v>
      </c>
      <c r="D2224" t="s">
        <v>9306</v>
      </c>
      <c r="E2224" t="s">
        <v>9307</v>
      </c>
      <c r="F2224">
        <v>2</v>
      </c>
      <c r="I2224" t="str">
        <f>HYPERLINK("tel:+15628618884", "562-861-8884")</f>
        <v>562-861-8884</v>
      </c>
      <c r="J2224" t="s">
        <v>9308</v>
      </c>
      <c r="K2224" t="s">
        <v>9309</v>
      </c>
      <c r="M2224">
        <v>5628618884</v>
      </c>
    </row>
    <row r="2225" spans="1:13" x14ac:dyDescent="0.25">
      <c r="A2225">
        <v>1650594760</v>
      </c>
      <c r="B2225" t="s">
        <v>9297</v>
      </c>
      <c r="C2225">
        <v>860000</v>
      </c>
      <c r="D2225" t="s">
        <v>9298</v>
      </c>
      <c r="E2225" t="s">
        <v>9310</v>
      </c>
      <c r="F2225">
        <v>2</v>
      </c>
      <c r="I2225" t="str">
        <f>HYPERLINK("tel:+15628819416", "562-881-9416")</f>
        <v>562-881-9416</v>
      </c>
      <c r="J2225" t="s">
        <v>9311</v>
      </c>
      <c r="K2225" t="s">
        <v>306</v>
      </c>
      <c r="M2225">
        <v>5628819416</v>
      </c>
    </row>
    <row r="2226" spans="1:13" x14ac:dyDescent="0.25">
      <c r="A2226">
        <v>9439748465</v>
      </c>
      <c r="B2226" t="s">
        <v>9312</v>
      </c>
      <c r="C2226">
        <v>789000</v>
      </c>
      <c r="D2226" t="s">
        <v>9313</v>
      </c>
      <c r="E2226" t="s">
        <v>9314</v>
      </c>
      <c r="F2226">
        <v>2</v>
      </c>
      <c r="I2226" t="str">
        <f>HYPERLINK("tel:+15628822940", "562-882-2940")</f>
        <v>562-882-2940</v>
      </c>
      <c r="J2226" t="s">
        <v>9315</v>
      </c>
      <c r="K2226" t="s">
        <v>2113</v>
      </c>
      <c r="M2226">
        <v>5628822940</v>
      </c>
    </row>
    <row r="2227" spans="1:13" x14ac:dyDescent="0.25">
      <c r="A2227">
        <v>1887743633</v>
      </c>
      <c r="B2227" t="s">
        <v>9316</v>
      </c>
      <c r="C2227">
        <v>488800</v>
      </c>
      <c r="D2227" t="s">
        <v>9317</v>
      </c>
      <c r="E2227" t="s">
        <v>9318</v>
      </c>
      <c r="F2227">
        <v>2</v>
      </c>
      <c r="I2227" t="str">
        <f>HYPERLINK("tel:+15628845055", "562-884-5055")</f>
        <v>562-884-5055</v>
      </c>
      <c r="J2227" t="s">
        <v>9319</v>
      </c>
      <c r="K2227" t="s">
        <v>9320</v>
      </c>
      <c r="M2227">
        <v>5628845055</v>
      </c>
    </row>
    <row r="2228" spans="1:13" x14ac:dyDescent="0.25">
      <c r="A2228">
        <v>1434052121</v>
      </c>
      <c r="B2228" t="s">
        <v>9321</v>
      </c>
      <c r="C2228">
        <v>458000</v>
      </c>
      <c r="D2228" t="s">
        <v>9322</v>
      </c>
      <c r="E2228" t="s">
        <v>9323</v>
      </c>
      <c r="F2228">
        <v>2</v>
      </c>
      <c r="I2228" t="str">
        <f>HYPERLINK("tel:+15628950973", "562-895-0973")</f>
        <v>562-895-0973</v>
      </c>
      <c r="J2228" t="s">
        <v>9324</v>
      </c>
      <c r="K2228" t="s">
        <v>3188</v>
      </c>
      <c r="M2228">
        <v>5628950973</v>
      </c>
    </row>
    <row r="2229" spans="1:13" x14ac:dyDescent="0.25">
      <c r="A2229">
        <v>1476404938</v>
      </c>
      <c r="B2229" t="s">
        <v>9325</v>
      </c>
      <c r="C2229">
        <v>640000</v>
      </c>
      <c r="D2229" t="s">
        <v>9326</v>
      </c>
      <c r="E2229" t="s">
        <v>9327</v>
      </c>
      <c r="F2229">
        <v>2</v>
      </c>
      <c r="I2229" t="str">
        <f>HYPERLINK("tel:+15629009430", "562-900-9430")</f>
        <v>562-900-9430</v>
      </c>
      <c r="J2229" t="s">
        <v>9328</v>
      </c>
      <c r="K2229" t="s">
        <v>4601</v>
      </c>
      <c r="M2229">
        <v>5629009430</v>
      </c>
    </row>
    <row r="2230" spans="1:13" x14ac:dyDescent="0.25">
      <c r="A2230">
        <v>1249362293</v>
      </c>
      <c r="B2230" t="s">
        <v>9329</v>
      </c>
      <c r="C2230">
        <v>734000</v>
      </c>
      <c r="D2230" t="s">
        <v>9330</v>
      </c>
      <c r="E2230" t="s">
        <v>9331</v>
      </c>
      <c r="F2230">
        <v>2</v>
      </c>
      <c r="I2230" t="str">
        <f>HYPERLINK("tel:+15629020090", "562-902-0090")</f>
        <v>562-902-0090</v>
      </c>
      <c r="J2230" t="s">
        <v>9332</v>
      </c>
      <c r="K2230" t="s">
        <v>9333</v>
      </c>
      <c r="M2230">
        <v>5629020090</v>
      </c>
    </row>
    <row r="2231" spans="1:13" x14ac:dyDescent="0.25">
      <c r="A2231">
        <v>2012970498</v>
      </c>
      <c r="B2231" t="s">
        <v>9334</v>
      </c>
      <c r="C2231">
        <v>659000</v>
      </c>
      <c r="D2231" t="s">
        <v>9335</v>
      </c>
      <c r="E2231" t="s">
        <v>9336</v>
      </c>
      <c r="F2231">
        <v>2</v>
      </c>
      <c r="I2231" t="str">
        <f>HYPERLINK("tel:+15629042222", "562-904-2222")</f>
        <v>562-904-2222</v>
      </c>
      <c r="J2231" t="s">
        <v>9337</v>
      </c>
      <c r="K2231" t="s">
        <v>9338</v>
      </c>
      <c r="M2231">
        <v>5629042222</v>
      </c>
    </row>
    <row r="2232" spans="1:13" x14ac:dyDescent="0.25">
      <c r="A2232">
        <v>1050433543</v>
      </c>
      <c r="B2232" t="s">
        <v>9339</v>
      </c>
      <c r="C2232">
        <v>669000</v>
      </c>
      <c r="D2232" t="s">
        <v>9340</v>
      </c>
      <c r="E2232" t="s">
        <v>9341</v>
      </c>
      <c r="F2232">
        <v>2</v>
      </c>
      <c r="I2232" t="str">
        <f>HYPERLINK("tel:+15629555050", "562-955-5050")</f>
        <v>562-955-5050</v>
      </c>
      <c r="J2232" t="s">
        <v>9342</v>
      </c>
      <c r="K2232" t="s">
        <v>9343</v>
      </c>
      <c r="M2232">
        <v>5629555050</v>
      </c>
    </row>
    <row r="2233" spans="1:13" x14ac:dyDescent="0.25">
      <c r="A2233">
        <v>1261321512</v>
      </c>
      <c r="B2233" t="s">
        <v>9344</v>
      </c>
      <c r="C2233">
        <v>795000</v>
      </c>
      <c r="D2233" t="s">
        <v>9345</v>
      </c>
      <c r="E2233" t="s">
        <v>9346</v>
      </c>
      <c r="F2233">
        <v>2</v>
      </c>
      <c r="I2233" t="str">
        <f>HYPERLINK("tel:+15629659663", "562-965-9663")</f>
        <v>562-965-9663</v>
      </c>
      <c r="J2233" t="s">
        <v>9347</v>
      </c>
      <c r="K2233" t="s">
        <v>3126</v>
      </c>
      <c r="M2233">
        <v>5629659663</v>
      </c>
    </row>
    <row r="2234" spans="1:13" x14ac:dyDescent="0.25">
      <c r="A2234">
        <v>9247276570</v>
      </c>
      <c r="B2234" t="s">
        <v>1920</v>
      </c>
      <c r="C2234">
        <v>1995000</v>
      </c>
      <c r="D2234" t="s">
        <v>1921</v>
      </c>
      <c r="E2234" t="s">
        <v>9348</v>
      </c>
      <c r="F2234">
        <v>2</v>
      </c>
      <c r="I2234" t="str">
        <f>HYPERLINK("tel:+15702176202", "570-217-6202")</f>
        <v>570-217-6202</v>
      </c>
      <c r="J2234" t="s">
        <v>9349</v>
      </c>
      <c r="K2234" t="s">
        <v>24</v>
      </c>
      <c r="M2234">
        <v>5702176202</v>
      </c>
    </row>
    <row r="2235" spans="1:13" x14ac:dyDescent="0.25">
      <c r="A2235">
        <v>1459684975</v>
      </c>
      <c r="B2235" t="s">
        <v>9350</v>
      </c>
      <c r="C2235">
        <v>1099000</v>
      </c>
      <c r="D2235" t="s">
        <v>9351</v>
      </c>
      <c r="E2235" t="s">
        <v>9352</v>
      </c>
      <c r="F2235">
        <v>2</v>
      </c>
      <c r="I2235" t="str">
        <f>HYPERLINK("tel:+16178180098", "617-818-0098")</f>
        <v>617-818-0098</v>
      </c>
      <c r="J2235" t="s">
        <v>9353</v>
      </c>
      <c r="K2235" t="s">
        <v>2815</v>
      </c>
      <c r="M2235">
        <v>6178180098</v>
      </c>
    </row>
    <row r="2236" spans="1:13" x14ac:dyDescent="0.25">
      <c r="A2236">
        <v>1924258998</v>
      </c>
      <c r="B2236" t="s">
        <v>4094</v>
      </c>
      <c r="C2236">
        <v>1825000</v>
      </c>
      <c r="D2236" t="s">
        <v>4095</v>
      </c>
      <c r="E2236" t="s">
        <v>9354</v>
      </c>
      <c r="F2236">
        <v>2</v>
      </c>
      <c r="I2236" t="str">
        <f>HYPERLINK("tel:+16189803547", "618-980-3547")</f>
        <v>618-980-3547</v>
      </c>
      <c r="J2236" t="s">
        <v>9355</v>
      </c>
      <c r="K2236" t="s">
        <v>431</v>
      </c>
      <c r="M2236">
        <v>6189803547</v>
      </c>
    </row>
    <row r="2237" spans="1:13" x14ac:dyDescent="0.25">
      <c r="A2237">
        <v>1159559596</v>
      </c>
      <c r="B2237" t="s">
        <v>9356</v>
      </c>
      <c r="C2237">
        <v>875000</v>
      </c>
      <c r="D2237" t="s">
        <v>9357</v>
      </c>
      <c r="E2237" t="s">
        <v>9358</v>
      </c>
      <c r="F2237">
        <v>2</v>
      </c>
      <c r="I2237" t="str">
        <f>HYPERLINK("tel:+16192273786", "619-227-3786")</f>
        <v>619-227-3786</v>
      </c>
      <c r="J2237" t="s">
        <v>9359</v>
      </c>
      <c r="K2237" t="s">
        <v>9360</v>
      </c>
      <c r="M2237">
        <v>6192273786</v>
      </c>
    </row>
    <row r="2238" spans="1:13" x14ac:dyDescent="0.25">
      <c r="A2238">
        <v>2044021068</v>
      </c>
      <c r="B2238" t="s">
        <v>9361</v>
      </c>
      <c r="C2238">
        <v>599900</v>
      </c>
      <c r="D2238" t="s">
        <v>9362</v>
      </c>
      <c r="E2238" t="s">
        <v>9363</v>
      </c>
      <c r="F2238">
        <v>2</v>
      </c>
      <c r="I2238" t="str">
        <f>HYPERLINK("tel:+16193015555", "619-301-5555")</f>
        <v>619-301-5555</v>
      </c>
      <c r="J2238" t="s">
        <v>9364</v>
      </c>
      <c r="K2238" t="s">
        <v>9365</v>
      </c>
      <c r="M2238">
        <v>6193015555</v>
      </c>
    </row>
    <row r="2239" spans="1:13" x14ac:dyDescent="0.25">
      <c r="A2239">
        <v>2319521884</v>
      </c>
      <c r="B2239" t="s">
        <v>9366</v>
      </c>
      <c r="C2239">
        <v>1349000</v>
      </c>
      <c r="D2239" t="s">
        <v>9367</v>
      </c>
      <c r="E2239" t="s">
        <v>9368</v>
      </c>
      <c r="F2239">
        <v>2</v>
      </c>
      <c r="I2239" t="str">
        <f>HYPERLINK("tel:+16193133819", "619-313-3819")</f>
        <v>619-313-3819</v>
      </c>
      <c r="J2239" t="s">
        <v>9369</v>
      </c>
      <c r="K2239" t="s">
        <v>68</v>
      </c>
      <c r="M2239">
        <v>6193133819</v>
      </c>
    </row>
    <row r="2240" spans="1:13" x14ac:dyDescent="0.25">
      <c r="A2240">
        <v>1387256247</v>
      </c>
      <c r="B2240" t="s">
        <v>9370</v>
      </c>
      <c r="C2240">
        <v>1649988</v>
      </c>
      <c r="D2240" t="s">
        <v>9371</v>
      </c>
      <c r="E2240" t="s">
        <v>9372</v>
      </c>
      <c r="F2240">
        <v>2</v>
      </c>
      <c r="I2240" t="str">
        <f>HYPERLINK("tel:+16195074555", "619-507-4555")</f>
        <v>619-507-4555</v>
      </c>
      <c r="J2240" t="s">
        <v>9373</v>
      </c>
      <c r="K2240" t="s">
        <v>1238</v>
      </c>
      <c r="M2240">
        <v>6195074555</v>
      </c>
    </row>
    <row r="2241" spans="1:13" x14ac:dyDescent="0.25">
      <c r="A2241">
        <v>9760910909</v>
      </c>
      <c r="B2241" t="s">
        <v>9374</v>
      </c>
      <c r="C2241">
        <v>1100000</v>
      </c>
      <c r="D2241" t="s">
        <v>9375</v>
      </c>
      <c r="E2241" t="s">
        <v>9376</v>
      </c>
      <c r="F2241">
        <v>2</v>
      </c>
      <c r="I2241" t="str">
        <f>HYPERLINK("tel:+16195499166", "619-549-9166")</f>
        <v>619-549-9166</v>
      </c>
      <c r="J2241" t="s">
        <v>9377</v>
      </c>
      <c r="K2241" t="s">
        <v>24</v>
      </c>
      <c r="M2241">
        <v>6195499166</v>
      </c>
    </row>
    <row r="2242" spans="1:13" x14ac:dyDescent="0.25">
      <c r="A2242">
        <v>1968446623</v>
      </c>
      <c r="B2242" t="s">
        <v>9378</v>
      </c>
      <c r="C2242">
        <v>799999</v>
      </c>
      <c r="D2242" t="s">
        <v>9379</v>
      </c>
      <c r="E2242" t="s">
        <v>9380</v>
      </c>
      <c r="F2242">
        <v>2</v>
      </c>
      <c r="I2242" t="str">
        <f>HYPERLINK("tel:+16197502139", "619-750-2139")</f>
        <v>619-750-2139</v>
      </c>
      <c r="J2242" t="s">
        <v>9381</v>
      </c>
      <c r="K2242" t="s">
        <v>9382</v>
      </c>
      <c r="M2242">
        <v>6197502139</v>
      </c>
    </row>
    <row r="2243" spans="1:13" x14ac:dyDescent="0.25">
      <c r="A2243">
        <v>1578038580</v>
      </c>
      <c r="B2243" t="s">
        <v>9383</v>
      </c>
      <c r="C2243">
        <v>720000</v>
      </c>
      <c r="D2243" t="s">
        <v>9384</v>
      </c>
      <c r="E2243" t="s">
        <v>9385</v>
      </c>
      <c r="F2243">
        <v>2</v>
      </c>
      <c r="I2243" t="str">
        <f>HYPERLINK("tel:+16198040677", "619-804-0677")</f>
        <v>619-804-0677</v>
      </c>
      <c r="J2243" t="s">
        <v>9386</v>
      </c>
      <c r="K2243" t="s">
        <v>556</v>
      </c>
      <c r="M2243">
        <v>6198040677</v>
      </c>
    </row>
    <row r="2244" spans="1:13" x14ac:dyDescent="0.25">
      <c r="A2244">
        <v>1578038580</v>
      </c>
      <c r="B2244" t="s">
        <v>9383</v>
      </c>
      <c r="C2244">
        <v>720000</v>
      </c>
      <c r="D2244" t="s">
        <v>9384</v>
      </c>
      <c r="E2244" t="s">
        <v>9387</v>
      </c>
      <c r="F2244">
        <v>2</v>
      </c>
      <c r="I2244" t="str">
        <f>HYPERLINK("tel:+16198882211", "619-888-2211")</f>
        <v>619-888-2211</v>
      </c>
      <c r="J2244" t="s">
        <v>9388</v>
      </c>
      <c r="K2244" t="s">
        <v>556</v>
      </c>
      <c r="M2244">
        <v>6198882211</v>
      </c>
    </row>
    <row r="2245" spans="1:13" x14ac:dyDescent="0.25">
      <c r="A2245">
        <v>1644378135</v>
      </c>
      <c r="B2245" t="s">
        <v>9178</v>
      </c>
      <c r="C2245">
        <v>799000</v>
      </c>
      <c r="D2245" t="s">
        <v>9179</v>
      </c>
      <c r="E2245" t="s">
        <v>9389</v>
      </c>
      <c r="F2245">
        <v>2</v>
      </c>
      <c r="I2245" t="str">
        <f>HYPERLINK("tel:+16262024167", "626-202-4167")</f>
        <v>626-202-4167</v>
      </c>
      <c r="J2245" t="s">
        <v>9390</v>
      </c>
      <c r="K2245" t="s">
        <v>9182</v>
      </c>
      <c r="M2245">
        <v>6262024167</v>
      </c>
    </row>
    <row r="2246" spans="1:13" x14ac:dyDescent="0.25">
      <c r="A2246">
        <v>1918282813</v>
      </c>
      <c r="B2246" t="s">
        <v>9391</v>
      </c>
      <c r="C2246">
        <v>1398000</v>
      </c>
      <c r="D2246" t="s">
        <v>9392</v>
      </c>
      <c r="E2246" t="s">
        <v>9393</v>
      </c>
      <c r="F2246">
        <v>2</v>
      </c>
      <c r="I2246" t="str">
        <f>HYPERLINK("tel:+16262029573", "626-202-9573")</f>
        <v>626-202-9573</v>
      </c>
      <c r="J2246" t="s">
        <v>9394</v>
      </c>
      <c r="K2246" t="s">
        <v>9395</v>
      </c>
      <c r="M2246">
        <v>6262029573</v>
      </c>
    </row>
    <row r="2247" spans="1:13" x14ac:dyDescent="0.25">
      <c r="A2247">
        <v>2981916122</v>
      </c>
      <c r="B2247" t="s">
        <v>9396</v>
      </c>
      <c r="C2247">
        <v>525000</v>
      </c>
      <c r="D2247" t="s">
        <v>9397</v>
      </c>
      <c r="E2247" t="s">
        <v>9398</v>
      </c>
      <c r="F2247">
        <v>2</v>
      </c>
      <c r="I2247" t="str">
        <f>HYPERLINK("tel:+16262043352", "626-204-3352")</f>
        <v>626-204-3352</v>
      </c>
      <c r="J2247" t="s">
        <v>9399</v>
      </c>
      <c r="K2247" t="s">
        <v>9400</v>
      </c>
      <c r="M2247">
        <v>6262043352</v>
      </c>
    </row>
    <row r="2248" spans="1:13" x14ac:dyDescent="0.25">
      <c r="A2248">
        <v>2951167197</v>
      </c>
      <c r="B2248" t="s">
        <v>9401</v>
      </c>
      <c r="C2248">
        <v>849000</v>
      </c>
      <c r="D2248" t="s">
        <v>9402</v>
      </c>
      <c r="E2248" t="s">
        <v>9403</v>
      </c>
      <c r="F2248">
        <v>2</v>
      </c>
      <c r="I2248" t="str">
        <f>HYPERLINK("tel:+16262045252", "626-204-5252")</f>
        <v>626-204-5252</v>
      </c>
      <c r="J2248" t="s">
        <v>9404</v>
      </c>
      <c r="K2248" t="s">
        <v>24</v>
      </c>
      <c r="M2248">
        <v>6262045252</v>
      </c>
    </row>
    <row r="2249" spans="1:13" x14ac:dyDescent="0.25">
      <c r="A2249">
        <v>2020067474</v>
      </c>
      <c r="B2249" t="s">
        <v>9405</v>
      </c>
      <c r="C2249">
        <v>2199000</v>
      </c>
      <c r="D2249" t="s">
        <v>9406</v>
      </c>
      <c r="E2249" t="s">
        <v>9407</v>
      </c>
      <c r="F2249">
        <v>2</v>
      </c>
      <c r="I2249" t="str">
        <f>HYPERLINK("tel:+16262138000", "626-213-8000")</f>
        <v>626-213-8000</v>
      </c>
      <c r="J2249" t="s">
        <v>9408</v>
      </c>
      <c r="K2249" t="s">
        <v>8683</v>
      </c>
      <c r="M2249">
        <v>6262138000</v>
      </c>
    </row>
    <row r="2250" spans="1:13" x14ac:dyDescent="0.25">
      <c r="A2250">
        <v>2181056346</v>
      </c>
      <c r="B2250" t="s">
        <v>9409</v>
      </c>
      <c r="C2250">
        <v>899000</v>
      </c>
      <c r="D2250" t="s">
        <v>9410</v>
      </c>
      <c r="E2250" t="s">
        <v>9411</v>
      </c>
      <c r="F2250">
        <v>2</v>
      </c>
      <c r="I2250" t="str">
        <f>HYPERLINK("tel:+16262154462", "626-215-4462")</f>
        <v>626-215-4462</v>
      </c>
      <c r="J2250" t="s">
        <v>9412</v>
      </c>
      <c r="K2250" t="s">
        <v>9413</v>
      </c>
      <c r="M2250">
        <v>6262154462</v>
      </c>
    </row>
    <row r="2251" spans="1:13" x14ac:dyDescent="0.25">
      <c r="A2251">
        <v>1760854716</v>
      </c>
      <c r="B2251" t="s">
        <v>9414</v>
      </c>
      <c r="C2251">
        <v>125000</v>
      </c>
      <c r="D2251" t="s">
        <v>9415</v>
      </c>
      <c r="E2251" t="s">
        <v>9416</v>
      </c>
      <c r="F2251">
        <v>2</v>
      </c>
      <c r="I2251" t="str">
        <f>HYPERLINK("tel:+16262154805", "626-215-4805")</f>
        <v>626-215-4805</v>
      </c>
      <c r="J2251" t="s">
        <v>9417</v>
      </c>
      <c r="K2251" t="s">
        <v>9418</v>
      </c>
      <c r="M2251">
        <v>6262154805</v>
      </c>
    </row>
    <row r="2252" spans="1:13" x14ac:dyDescent="0.25">
      <c r="A2252">
        <v>9350557134</v>
      </c>
      <c r="B2252" t="s">
        <v>9419</v>
      </c>
      <c r="C2252">
        <v>50000</v>
      </c>
      <c r="D2252" t="s">
        <v>9420</v>
      </c>
      <c r="E2252" t="s">
        <v>9421</v>
      </c>
      <c r="F2252">
        <v>2</v>
      </c>
      <c r="I2252" t="str">
        <f>HYPERLINK("tel:+16262198106", "626-219-8106")</f>
        <v>626-219-8106</v>
      </c>
      <c r="J2252" t="s">
        <v>9422</v>
      </c>
      <c r="K2252" t="s">
        <v>9423</v>
      </c>
      <c r="M2252">
        <v>6262198106</v>
      </c>
    </row>
    <row r="2253" spans="1:13" x14ac:dyDescent="0.25">
      <c r="A2253">
        <v>2943595209</v>
      </c>
      <c r="B2253" t="s">
        <v>9424</v>
      </c>
      <c r="C2253">
        <v>983000</v>
      </c>
      <c r="D2253" t="s">
        <v>9425</v>
      </c>
      <c r="E2253" t="s">
        <v>9426</v>
      </c>
      <c r="F2253">
        <v>2</v>
      </c>
      <c r="I2253" t="str">
        <f>HYPERLINK("tel:+16262216047", "626-221-6047")</f>
        <v>626-221-6047</v>
      </c>
      <c r="J2253" t="s">
        <v>9427</v>
      </c>
      <c r="K2253" t="s">
        <v>9428</v>
      </c>
      <c r="M2253">
        <v>6262216047</v>
      </c>
    </row>
    <row r="2254" spans="1:13" x14ac:dyDescent="0.25">
      <c r="A2254">
        <v>1363264929</v>
      </c>
      <c r="B2254" t="s">
        <v>9429</v>
      </c>
      <c r="C2254">
        <v>1159000</v>
      </c>
      <c r="D2254" t="s">
        <v>9430</v>
      </c>
      <c r="E2254" t="s">
        <v>9431</v>
      </c>
      <c r="F2254">
        <v>2</v>
      </c>
      <c r="I2254" t="str">
        <f>HYPERLINK("tel:+16262274615", "626-227-4615")</f>
        <v>626-227-4615</v>
      </c>
      <c r="J2254" t="s">
        <v>9432</v>
      </c>
      <c r="K2254" t="s">
        <v>9433</v>
      </c>
      <c r="M2254">
        <v>6262274615</v>
      </c>
    </row>
    <row r="2255" spans="1:13" x14ac:dyDescent="0.25">
      <c r="A2255">
        <v>2921115623</v>
      </c>
      <c r="B2255" t="s">
        <v>9434</v>
      </c>
      <c r="C2255">
        <v>675000</v>
      </c>
      <c r="D2255" t="s">
        <v>9435</v>
      </c>
      <c r="E2255" t="s">
        <v>9436</v>
      </c>
      <c r="F2255">
        <v>2</v>
      </c>
      <c r="I2255" t="str">
        <f>HYPERLINK("tel:+16262307280", "626-230-7280")</f>
        <v>626-230-7280</v>
      </c>
      <c r="J2255" t="s">
        <v>9437</v>
      </c>
      <c r="K2255" t="s">
        <v>9438</v>
      </c>
      <c r="M2255">
        <v>6262307280</v>
      </c>
    </row>
    <row r="2256" spans="1:13" x14ac:dyDescent="0.25">
      <c r="A2256">
        <v>9965790799</v>
      </c>
      <c r="B2256" t="s">
        <v>9439</v>
      </c>
      <c r="C2256">
        <v>2080000</v>
      </c>
      <c r="D2256" t="s">
        <v>9440</v>
      </c>
      <c r="E2256" t="s">
        <v>9441</v>
      </c>
      <c r="F2256">
        <v>2</v>
      </c>
      <c r="I2256" t="str">
        <f>HYPERLINK("tel:+16262311355", "626-231-1355")</f>
        <v>626-231-1355</v>
      </c>
      <c r="J2256" t="s">
        <v>9442</v>
      </c>
      <c r="K2256" t="s">
        <v>1740</v>
      </c>
      <c r="M2256">
        <v>6262311355</v>
      </c>
    </row>
    <row r="2257" spans="1:13" x14ac:dyDescent="0.25">
      <c r="A2257">
        <v>2301987478</v>
      </c>
      <c r="B2257" t="s">
        <v>9443</v>
      </c>
      <c r="C2257">
        <v>998000</v>
      </c>
      <c r="D2257" t="s">
        <v>9444</v>
      </c>
      <c r="E2257" t="s">
        <v>9445</v>
      </c>
      <c r="F2257">
        <v>2</v>
      </c>
      <c r="I2257" t="str">
        <f>HYPERLINK("tel:+16262311492", "626-231-1492")</f>
        <v>626-231-1492</v>
      </c>
      <c r="J2257" t="s">
        <v>9446</v>
      </c>
      <c r="K2257" t="s">
        <v>3094</v>
      </c>
      <c r="M2257">
        <v>6262311492</v>
      </c>
    </row>
    <row r="2258" spans="1:13" x14ac:dyDescent="0.25">
      <c r="A2258">
        <v>2191889363</v>
      </c>
      <c r="B2258" t="s">
        <v>9447</v>
      </c>
      <c r="C2258">
        <v>2210000</v>
      </c>
      <c r="D2258" t="s">
        <v>9448</v>
      </c>
      <c r="E2258" t="s">
        <v>9449</v>
      </c>
      <c r="F2258">
        <v>2</v>
      </c>
      <c r="I2258" t="str">
        <f>HYPERLINK("tel:+16262333678", "626-233-3678")</f>
        <v>626-233-3678</v>
      </c>
      <c r="J2258" t="s">
        <v>9450</v>
      </c>
      <c r="K2258" t="s">
        <v>9451</v>
      </c>
      <c r="M2258">
        <v>6262333678</v>
      </c>
    </row>
    <row r="2259" spans="1:13" x14ac:dyDescent="0.25">
      <c r="A2259">
        <v>1771702807</v>
      </c>
      <c r="B2259" t="s">
        <v>9452</v>
      </c>
      <c r="C2259">
        <v>1058888</v>
      </c>
      <c r="D2259" t="s">
        <v>9453</v>
      </c>
      <c r="E2259" t="s">
        <v>9454</v>
      </c>
      <c r="F2259">
        <v>2</v>
      </c>
      <c r="I2259" t="str">
        <f>HYPERLINK("tel:+16262352695", "626-235-2695")</f>
        <v>626-235-2695</v>
      </c>
      <c r="J2259" t="s">
        <v>9455</v>
      </c>
      <c r="K2259" t="s">
        <v>5063</v>
      </c>
      <c r="M2259">
        <v>6262352695</v>
      </c>
    </row>
    <row r="2260" spans="1:13" x14ac:dyDescent="0.25">
      <c r="A2260">
        <v>1019789656</v>
      </c>
      <c r="B2260" t="s">
        <v>9456</v>
      </c>
      <c r="C2260">
        <v>1525000</v>
      </c>
      <c r="D2260" t="s">
        <v>9457</v>
      </c>
      <c r="E2260" t="s">
        <v>9458</v>
      </c>
      <c r="F2260">
        <v>2</v>
      </c>
      <c r="I2260" t="str">
        <f>HYPERLINK("tel:+16262413545", "626-241-3545")</f>
        <v>626-241-3545</v>
      </c>
      <c r="J2260" t="s">
        <v>9459</v>
      </c>
      <c r="K2260" t="s">
        <v>1740</v>
      </c>
      <c r="M2260">
        <v>6262413545</v>
      </c>
    </row>
    <row r="2261" spans="1:13" x14ac:dyDescent="0.25">
      <c r="A2261">
        <v>9589569635</v>
      </c>
      <c r="B2261" t="s">
        <v>9460</v>
      </c>
      <c r="C2261">
        <v>3780000</v>
      </c>
      <c r="D2261" t="s">
        <v>9461</v>
      </c>
      <c r="E2261" t="s">
        <v>9462</v>
      </c>
      <c r="F2261">
        <v>2</v>
      </c>
      <c r="I2261" t="str">
        <f>HYPERLINK("tel:+16262445880", "626-244-5880")</f>
        <v>626-244-5880</v>
      </c>
      <c r="J2261" t="s">
        <v>9463</v>
      </c>
      <c r="K2261" t="s">
        <v>9464</v>
      </c>
      <c r="M2261">
        <v>6262445880</v>
      </c>
    </row>
    <row r="2262" spans="1:13" x14ac:dyDescent="0.25">
      <c r="A2262">
        <v>1877016361</v>
      </c>
      <c r="B2262" t="s">
        <v>9465</v>
      </c>
      <c r="C2262">
        <v>925000</v>
      </c>
      <c r="D2262" t="s">
        <v>9466</v>
      </c>
      <c r="E2262" t="s">
        <v>9467</v>
      </c>
      <c r="F2262">
        <v>2</v>
      </c>
      <c r="I2262" t="str">
        <f>HYPERLINK("tel:+16262600730", "626-260-0730")</f>
        <v>626-260-0730</v>
      </c>
      <c r="J2262" t="s">
        <v>9468</v>
      </c>
      <c r="K2262" t="s">
        <v>3099</v>
      </c>
      <c r="M2262">
        <v>6262600730</v>
      </c>
    </row>
    <row r="2263" spans="1:13" x14ac:dyDescent="0.25">
      <c r="A2263">
        <v>2157477154</v>
      </c>
      <c r="B2263" t="s">
        <v>9469</v>
      </c>
      <c r="C2263">
        <v>990000</v>
      </c>
      <c r="D2263" t="s">
        <v>9470</v>
      </c>
      <c r="E2263" t="s">
        <v>9471</v>
      </c>
      <c r="F2263">
        <v>2</v>
      </c>
      <c r="I2263" t="str">
        <f>HYPERLINK("tel:+16262605467", "626-260-5467")</f>
        <v>626-260-5467</v>
      </c>
      <c r="J2263" t="s">
        <v>9472</v>
      </c>
      <c r="K2263" t="s">
        <v>9473</v>
      </c>
      <c r="M2263">
        <v>6262605467</v>
      </c>
    </row>
    <row r="2264" spans="1:13" x14ac:dyDescent="0.25">
      <c r="A2264">
        <v>2348936268</v>
      </c>
      <c r="B2264" t="s">
        <v>9474</v>
      </c>
      <c r="C2264">
        <v>2525000</v>
      </c>
      <c r="D2264" t="s">
        <v>9475</v>
      </c>
      <c r="E2264" t="s">
        <v>9476</v>
      </c>
      <c r="F2264">
        <v>2</v>
      </c>
      <c r="I2264" t="str">
        <f>HYPERLINK("tel:+16262607705", "626-260-7705")</f>
        <v>626-260-7705</v>
      </c>
      <c r="J2264" t="s">
        <v>9477</v>
      </c>
      <c r="K2264" t="s">
        <v>3099</v>
      </c>
      <c r="M2264">
        <v>6262607705</v>
      </c>
    </row>
    <row r="2265" spans="1:13" x14ac:dyDescent="0.25">
      <c r="A2265">
        <v>9395604384</v>
      </c>
      <c r="B2265" t="s">
        <v>9478</v>
      </c>
      <c r="C2265">
        <v>490000</v>
      </c>
      <c r="D2265" t="s">
        <v>9479</v>
      </c>
      <c r="E2265" t="s">
        <v>9480</v>
      </c>
      <c r="F2265">
        <v>2</v>
      </c>
      <c r="I2265" t="str">
        <f>HYPERLINK("tel:+16262611967", "626-261-1967")</f>
        <v>626-261-1967</v>
      </c>
      <c r="J2265" t="s">
        <v>9481</v>
      </c>
      <c r="K2265" t="s">
        <v>5044</v>
      </c>
      <c r="M2265">
        <v>6262611967</v>
      </c>
    </row>
    <row r="2266" spans="1:13" x14ac:dyDescent="0.25">
      <c r="A2266">
        <v>9458885070</v>
      </c>
      <c r="B2266" t="s">
        <v>9482</v>
      </c>
      <c r="C2266">
        <v>4580000</v>
      </c>
      <c r="D2266" t="s">
        <v>9483</v>
      </c>
      <c r="E2266" t="s">
        <v>9484</v>
      </c>
      <c r="F2266">
        <v>2</v>
      </c>
      <c r="I2266" t="str">
        <f>HYPERLINK("tel:+16262689666", "626-268-9666")</f>
        <v>626-268-9666</v>
      </c>
      <c r="J2266" t="s">
        <v>9485</v>
      </c>
      <c r="K2266" t="s">
        <v>917</v>
      </c>
      <c r="M2266">
        <v>6262689666</v>
      </c>
    </row>
    <row r="2267" spans="1:13" x14ac:dyDescent="0.25">
      <c r="A2267">
        <v>2307050937</v>
      </c>
      <c r="B2267" t="s">
        <v>9486</v>
      </c>
      <c r="C2267">
        <v>655000</v>
      </c>
      <c r="D2267" t="s">
        <v>9487</v>
      </c>
      <c r="E2267" t="s">
        <v>9488</v>
      </c>
      <c r="F2267">
        <v>2</v>
      </c>
      <c r="I2267" t="str">
        <f>HYPERLINK("tel:+16262741930", "626-274-1930")</f>
        <v>626-274-1930</v>
      </c>
      <c r="J2267" t="s">
        <v>9489</v>
      </c>
      <c r="K2267" t="s">
        <v>122</v>
      </c>
      <c r="M2267">
        <v>6262741930</v>
      </c>
    </row>
    <row r="2268" spans="1:13" x14ac:dyDescent="0.25">
      <c r="A2268">
        <v>1629089344</v>
      </c>
      <c r="B2268" t="s">
        <v>9490</v>
      </c>
      <c r="C2268">
        <v>1698000</v>
      </c>
      <c r="D2268" t="s">
        <v>9491</v>
      </c>
      <c r="E2268" t="s">
        <v>9492</v>
      </c>
      <c r="F2268">
        <v>2</v>
      </c>
      <c r="I2268" t="str">
        <f>HYPERLINK("tel:+16262783388", "626-278-3388")</f>
        <v>626-278-3388</v>
      </c>
      <c r="J2268" t="s">
        <v>9493</v>
      </c>
      <c r="K2268" t="s">
        <v>1740</v>
      </c>
      <c r="M2268">
        <v>6262783388</v>
      </c>
    </row>
    <row r="2269" spans="1:13" x14ac:dyDescent="0.25">
      <c r="A2269">
        <v>1295792326</v>
      </c>
      <c r="B2269" t="s">
        <v>9494</v>
      </c>
      <c r="C2269">
        <v>869000</v>
      </c>
      <c r="D2269" t="s">
        <v>9495</v>
      </c>
      <c r="E2269" t="s">
        <v>9496</v>
      </c>
      <c r="F2269">
        <v>2</v>
      </c>
      <c r="I2269" t="str">
        <f>HYPERLINK("tel:+16262953041", "626-295-3041")</f>
        <v>626-295-3041</v>
      </c>
      <c r="J2269" t="s">
        <v>9497</v>
      </c>
      <c r="K2269" t="s">
        <v>917</v>
      </c>
      <c r="M2269">
        <v>6262953041</v>
      </c>
    </row>
    <row r="2270" spans="1:13" x14ac:dyDescent="0.25">
      <c r="A2270">
        <v>9104562231</v>
      </c>
      <c r="B2270" t="s">
        <v>9498</v>
      </c>
      <c r="C2270">
        <v>888000</v>
      </c>
      <c r="D2270" t="s">
        <v>9499</v>
      </c>
      <c r="E2270" t="s">
        <v>9500</v>
      </c>
      <c r="F2270">
        <v>2</v>
      </c>
      <c r="I2270" t="str">
        <f>HYPERLINK("tel:+16262977474", "626-297-7474")</f>
        <v>626-297-7474</v>
      </c>
      <c r="J2270" t="s">
        <v>9501</v>
      </c>
      <c r="K2270" t="s">
        <v>9502</v>
      </c>
      <c r="M2270">
        <v>6262977474</v>
      </c>
    </row>
    <row r="2271" spans="1:13" x14ac:dyDescent="0.25">
      <c r="A2271">
        <v>2392542494</v>
      </c>
      <c r="B2271" t="s">
        <v>5138</v>
      </c>
      <c r="C2271">
        <v>2500000</v>
      </c>
      <c r="D2271" t="s">
        <v>5139</v>
      </c>
      <c r="E2271" t="s">
        <v>9503</v>
      </c>
      <c r="F2271">
        <v>2</v>
      </c>
      <c r="I2271" t="str">
        <f>HYPERLINK("tel:+16263163318", "626-316-3318")</f>
        <v>626-316-3318</v>
      </c>
      <c r="J2271" t="s">
        <v>9504</v>
      </c>
      <c r="K2271" t="s">
        <v>431</v>
      </c>
      <c r="M2271">
        <v>6263163318</v>
      </c>
    </row>
    <row r="2272" spans="1:13" x14ac:dyDescent="0.25">
      <c r="A2272">
        <v>1406512590</v>
      </c>
      <c r="B2272" t="s">
        <v>9505</v>
      </c>
      <c r="C2272">
        <v>629000</v>
      </c>
      <c r="D2272" t="s">
        <v>9506</v>
      </c>
      <c r="E2272" t="s">
        <v>9507</v>
      </c>
      <c r="F2272">
        <v>2</v>
      </c>
      <c r="I2272" t="str">
        <f>HYPERLINK("tel:+16263202299", "626-320-2299")</f>
        <v>626-320-2299</v>
      </c>
      <c r="J2272" t="s">
        <v>9508</v>
      </c>
      <c r="K2272" t="s">
        <v>9509</v>
      </c>
      <c r="M2272">
        <v>6263202299</v>
      </c>
    </row>
    <row r="2273" spans="1:13" x14ac:dyDescent="0.25">
      <c r="A2273">
        <v>2562334352</v>
      </c>
      <c r="B2273" t="s">
        <v>9510</v>
      </c>
      <c r="C2273">
        <v>2988000</v>
      </c>
      <c r="D2273" t="s">
        <v>9511</v>
      </c>
      <c r="E2273" t="s">
        <v>9512</v>
      </c>
      <c r="F2273">
        <v>2</v>
      </c>
      <c r="I2273" t="str">
        <f>HYPERLINK("tel:+16263213211", "626-321-3211")</f>
        <v>626-321-3211</v>
      </c>
      <c r="J2273" t="s">
        <v>9513</v>
      </c>
      <c r="K2273" t="s">
        <v>9514</v>
      </c>
      <c r="M2273">
        <v>6263213211</v>
      </c>
    </row>
    <row r="2274" spans="1:13" x14ac:dyDescent="0.25">
      <c r="A2274">
        <v>2869994973</v>
      </c>
      <c r="B2274" t="s">
        <v>9515</v>
      </c>
      <c r="C2274">
        <v>1700000</v>
      </c>
      <c r="D2274" t="s">
        <v>9516</v>
      </c>
      <c r="E2274" t="s">
        <v>9517</v>
      </c>
      <c r="F2274">
        <v>2</v>
      </c>
      <c r="I2274" t="str">
        <f>HYPERLINK("tel:+16263289331", "626-328-9331")</f>
        <v>626-328-9331</v>
      </c>
      <c r="J2274" t="s">
        <v>9518</v>
      </c>
      <c r="K2274" t="s">
        <v>3094</v>
      </c>
      <c r="M2274">
        <v>6263289331</v>
      </c>
    </row>
    <row r="2275" spans="1:13" x14ac:dyDescent="0.25">
      <c r="A2275">
        <v>9319353491</v>
      </c>
      <c r="B2275" t="s">
        <v>9519</v>
      </c>
      <c r="C2275">
        <v>1699000</v>
      </c>
      <c r="D2275" t="s">
        <v>9520</v>
      </c>
      <c r="E2275" t="s">
        <v>9521</v>
      </c>
      <c r="F2275">
        <v>2</v>
      </c>
      <c r="I2275" t="str">
        <f>HYPERLINK("tel:+16263408050", "626-340-8050")</f>
        <v>626-340-8050</v>
      </c>
      <c r="J2275" t="s">
        <v>9522</v>
      </c>
      <c r="K2275" t="s">
        <v>68</v>
      </c>
      <c r="M2275">
        <v>6263408050</v>
      </c>
    </row>
    <row r="2276" spans="1:13" x14ac:dyDescent="0.25">
      <c r="A2276">
        <v>1859950240</v>
      </c>
      <c r="B2276" t="s">
        <v>9523</v>
      </c>
      <c r="C2276">
        <v>1800000</v>
      </c>
      <c r="D2276" t="s">
        <v>9524</v>
      </c>
      <c r="E2276" t="s">
        <v>9525</v>
      </c>
      <c r="F2276">
        <v>2</v>
      </c>
      <c r="I2276" t="str">
        <f>HYPERLINK("tel:+16263457453", "626-345-7453")</f>
        <v>626-345-7453</v>
      </c>
      <c r="J2276" t="s">
        <v>9526</v>
      </c>
      <c r="K2276" t="s">
        <v>1740</v>
      </c>
      <c r="M2276">
        <v>6263457453</v>
      </c>
    </row>
    <row r="2277" spans="1:13" x14ac:dyDescent="0.25">
      <c r="A2277">
        <v>2328319978</v>
      </c>
      <c r="B2277" t="s">
        <v>9527</v>
      </c>
      <c r="C2277">
        <v>745000</v>
      </c>
      <c r="D2277" t="s">
        <v>9528</v>
      </c>
      <c r="E2277" t="s">
        <v>9529</v>
      </c>
      <c r="F2277">
        <v>2</v>
      </c>
      <c r="I2277" t="str">
        <f>HYPERLINK("tel:+16263471901", "626-347-1901")</f>
        <v>626-347-1901</v>
      </c>
      <c r="J2277" t="s">
        <v>9530</v>
      </c>
      <c r="K2277" t="s">
        <v>8683</v>
      </c>
      <c r="M2277">
        <v>6263471901</v>
      </c>
    </row>
    <row r="2278" spans="1:13" x14ac:dyDescent="0.25">
      <c r="A2278">
        <v>2425025099</v>
      </c>
      <c r="B2278" t="s">
        <v>9531</v>
      </c>
      <c r="C2278">
        <v>524900</v>
      </c>
      <c r="D2278" t="s">
        <v>9532</v>
      </c>
      <c r="E2278" t="s">
        <v>9533</v>
      </c>
      <c r="F2278">
        <v>2</v>
      </c>
      <c r="I2278" t="str">
        <f>HYPERLINK("tel:+16263479200", "626-347-9200")</f>
        <v>626-347-9200</v>
      </c>
      <c r="J2278" t="s">
        <v>9534</v>
      </c>
      <c r="K2278" t="s">
        <v>8038</v>
      </c>
      <c r="M2278">
        <v>6263479200</v>
      </c>
    </row>
    <row r="2279" spans="1:13" x14ac:dyDescent="0.25">
      <c r="A2279">
        <v>2931279778</v>
      </c>
      <c r="B2279" t="s">
        <v>9535</v>
      </c>
      <c r="C2279">
        <v>296000</v>
      </c>
      <c r="D2279" t="s">
        <v>9536</v>
      </c>
      <c r="E2279" t="s">
        <v>9537</v>
      </c>
      <c r="F2279">
        <v>2</v>
      </c>
      <c r="I2279" t="str">
        <f>HYPERLINK("tel:+16263679532", "626-367-9532")</f>
        <v>626-367-9532</v>
      </c>
      <c r="J2279" t="s">
        <v>9538</v>
      </c>
      <c r="K2279" t="s">
        <v>9539</v>
      </c>
      <c r="M2279">
        <v>6263679532</v>
      </c>
    </row>
    <row r="2280" spans="1:13" x14ac:dyDescent="0.25">
      <c r="A2280">
        <v>1439266388</v>
      </c>
      <c r="B2280" t="s">
        <v>9540</v>
      </c>
      <c r="C2280">
        <v>840000</v>
      </c>
      <c r="D2280" t="s">
        <v>9541</v>
      </c>
      <c r="E2280" t="s">
        <v>9542</v>
      </c>
      <c r="F2280">
        <v>2</v>
      </c>
      <c r="I2280" t="str">
        <f>HYPERLINK("tel:+16263736676", "626-373-6676")</f>
        <v>626-373-6676</v>
      </c>
      <c r="J2280" t="s">
        <v>9543</v>
      </c>
      <c r="K2280" t="s">
        <v>8683</v>
      </c>
      <c r="M2280">
        <v>6263736676</v>
      </c>
    </row>
    <row r="2281" spans="1:13" x14ac:dyDescent="0.25">
      <c r="A2281">
        <v>1807174145</v>
      </c>
      <c r="B2281" t="s">
        <v>9544</v>
      </c>
      <c r="C2281">
        <v>2750000</v>
      </c>
      <c r="D2281" t="s">
        <v>9545</v>
      </c>
      <c r="E2281" t="s">
        <v>9546</v>
      </c>
      <c r="F2281">
        <v>2</v>
      </c>
      <c r="I2281" t="str">
        <f>HYPERLINK("tel:+16263737746", "626-373-7746")</f>
        <v>626-373-7746</v>
      </c>
      <c r="J2281" t="s">
        <v>9547</v>
      </c>
      <c r="K2281" t="s">
        <v>9548</v>
      </c>
      <c r="M2281">
        <v>6263737746</v>
      </c>
    </row>
    <row r="2282" spans="1:13" x14ac:dyDescent="0.25">
      <c r="A2282">
        <v>9049833749</v>
      </c>
      <c r="B2282" t="s">
        <v>9549</v>
      </c>
      <c r="C2282">
        <v>1790000</v>
      </c>
      <c r="D2282" t="s">
        <v>9550</v>
      </c>
      <c r="E2282" t="s">
        <v>9551</v>
      </c>
      <c r="F2282">
        <v>2</v>
      </c>
      <c r="I2282" t="str">
        <f>HYPERLINK("tel:+16263750340", "626-375-0340")</f>
        <v>626-375-0340</v>
      </c>
      <c r="J2282" t="s">
        <v>9552</v>
      </c>
      <c r="K2282" t="s">
        <v>9553</v>
      </c>
      <c r="M2282">
        <v>6263750340</v>
      </c>
    </row>
    <row r="2283" spans="1:13" x14ac:dyDescent="0.25">
      <c r="A2283">
        <v>2263003970</v>
      </c>
      <c r="B2283" t="s">
        <v>9554</v>
      </c>
      <c r="C2283">
        <v>3280000</v>
      </c>
      <c r="D2283" t="s">
        <v>9555</v>
      </c>
      <c r="E2283" t="s">
        <v>9556</v>
      </c>
      <c r="F2283">
        <v>2</v>
      </c>
      <c r="I2283" t="str">
        <f>HYPERLINK("tel:+16263797270", "626-379-7270")</f>
        <v>626-379-7270</v>
      </c>
      <c r="J2283" t="s">
        <v>9557</v>
      </c>
      <c r="K2283" t="s">
        <v>4</v>
      </c>
      <c r="M2283">
        <v>6263797270</v>
      </c>
    </row>
    <row r="2284" spans="1:13" x14ac:dyDescent="0.25">
      <c r="A2284">
        <v>1788485535</v>
      </c>
      <c r="B2284" t="s">
        <v>9558</v>
      </c>
      <c r="C2284">
        <v>529000</v>
      </c>
      <c r="D2284" t="s">
        <v>9559</v>
      </c>
      <c r="E2284" t="s">
        <v>9560</v>
      </c>
      <c r="F2284">
        <v>2</v>
      </c>
      <c r="I2284" t="str">
        <f>HYPERLINK("tel:+16263800685", "626-380-0685")</f>
        <v>626-380-0685</v>
      </c>
      <c r="J2284" t="s">
        <v>9561</v>
      </c>
      <c r="K2284" t="s">
        <v>9562</v>
      </c>
      <c r="M2284">
        <v>6263800685</v>
      </c>
    </row>
    <row r="2285" spans="1:13" x14ac:dyDescent="0.25">
      <c r="A2285">
        <v>1106807039</v>
      </c>
      <c r="B2285" t="s">
        <v>9563</v>
      </c>
      <c r="C2285">
        <v>425000</v>
      </c>
      <c r="D2285" t="s">
        <v>9564</v>
      </c>
      <c r="E2285" t="s">
        <v>9565</v>
      </c>
      <c r="F2285">
        <v>2</v>
      </c>
      <c r="I2285" t="str">
        <f>HYPERLINK("tel:+16263829314", "626-382-9314")</f>
        <v>626-382-9314</v>
      </c>
      <c r="J2285" t="s">
        <v>9566</v>
      </c>
      <c r="K2285" t="s">
        <v>5005</v>
      </c>
      <c r="M2285">
        <v>6263829314</v>
      </c>
    </row>
    <row r="2286" spans="1:13" x14ac:dyDescent="0.25">
      <c r="A2286">
        <v>1895208407</v>
      </c>
      <c r="B2286" t="s">
        <v>9567</v>
      </c>
      <c r="C2286">
        <v>1550000</v>
      </c>
      <c r="D2286" t="s">
        <v>9568</v>
      </c>
      <c r="E2286" t="s">
        <v>9569</v>
      </c>
      <c r="F2286">
        <v>2</v>
      </c>
      <c r="I2286" t="str">
        <f>HYPERLINK("tel:+16263834988", "626-383-4988")</f>
        <v>626-383-4988</v>
      </c>
      <c r="J2286" t="s">
        <v>9570</v>
      </c>
      <c r="K2286" t="s">
        <v>2704</v>
      </c>
      <c r="M2286">
        <v>6263834988</v>
      </c>
    </row>
    <row r="2287" spans="1:13" x14ac:dyDescent="0.25">
      <c r="A2287">
        <v>1223611527</v>
      </c>
      <c r="B2287" t="s">
        <v>9571</v>
      </c>
      <c r="C2287">
        <v>1350000</v>
      </c>
      <c r="D2287" t="s">
        <v>9572</v>
      </c>
      <c r="E2287" t="s">
        <v>9573</v>
      </c>
      <c r="F2287">
        <v>2</v>
      </c>
      <c r="I2287" t="str">
        <f>HYPERLINK("tel:+16263900511", "626-390-0511")</f>
        <v>626-390-0511</v>
      </c>
      <c r="J2287" t="s">
        <v>9574</v>
      </c>
      <c r="K2287" t="s">
        <v>63</v>
      </c>
      <c r="M2287">
        <v>6263900511</v>
      </c>
    </row>
    <row r="2288" spans="1:13" x14ac:dyDescent="0.25">
      <c r="A2288">
        <v>1862532963</v>
      </c>
      <c r="B2288" t="s">
        <v>9575</v>
      </c>
      <c r="C2288">
        <v>699000</v>
      </c>
      <c r="D2288" t="s">
        <v>9576</v>
      </c>
      <c r="E2288" t="s">
        <v>9577</v>
      </c>
      <c r="F2288">
        <v>2</v>
      </c>
      <c r="I2288" t="str">
        <f>HYPERLINK("tel:+16263908870", "626-390-8870")</f>
        <v>626-390-8870</v>
      </c>
      <c r="J2288" t="s">
        <v>9578</v>
      </c>
      <c r="K2288" t="s">
        <v>9579</v>
      </c>
      <c r="M2288">
        <v>6263908870</v>
      </c>
    </row>
    <row r="2289" spans="1:13" x14ac:dyDescent="0.25">
      <c r="A2289">
        <v>1391540088</v>
      </c>
      <c r="B2289" t="s">
        <v>9580</v>
      </c>
      <c r="C2289">
        <v>1699900</v>
      </c>
      <c r="D2289" t="s">
        <v>9581</v>
      </c>
      <c r="E2289" t="s">
        <v>9582</v>
      </c>
      <c r="F2289">
        <v>2</v>
      </c>
      <c r="I2289" t="str">
        <f>HYPERLINK("tel:+16263917318", "626-391-7318")</f>
        <v>626-391-7318</v>
      </c>
      <c r="J2289" t="s">
        <v>9583</v>
      </c>
      <c r="K2289" t="s">
        <v>445</v>
      </c>
      <c r="M2289">
        <v>6263917318</v>
      </c>
    </row>
    <row r="2290" spans="1:13" x14ac:dyDescent="0.25">
      <c r="A2290">
        <v>9898570250</v>
      </c>
      <c r="B2290" t="s">
        <v>9584</v>
      </c>
      <c r="C2290">
        <v>749000</v>
      </c>
      <c r="D2290" t="s">
        <v>9585</v>
      </c>
      <c r="E2290" t="s">
        <v>9586</v>
      </c>
      <c r="F2290">
        <v>2</v>
      </c>
      <c r="I2290" t="str">
        <f>HYPERLINK("tel:+16263940900", "626-394-0900")</f>
        <v>626-394-0900</v>
      </c>
      <c r="J2290" t="s">
        <v>9587</v>
      </c>
      <c r="K2290" t="s">
        <v>63</v>
      </c>
      <c r="M2290">
        <v>6263940900</v>
      </c>
    </row>
    <row r="2291" spans="1:13" x14ac:dyDescent="0.25">
      <c r="A2291">
        <v>1720198126</v>
      </c>
      <c r="B2291" t="s">
        <v>9588</v>
      </c>
      <c r="C2291">
        <v>2399000</v>
      </c>
      <c r="D2291" t="s">
        <v>9589</v>
      </c>
      <c r="E2291" t="s">
        <v>9590</v>
      </c>
      <c r="F2291">
        <v>2</v>
      </c>
      <c r="I2291" t="str">
        <f>HYPERLINK("tel:+16263946696", "626-394-6696")</f>
        <v>626-394-6696</v>
      </c>
      <c r="J2291" t="s">
        <v>9591</v>
      </c>
      <c r="K2291" t="s">
        <v>431</v>
      </c>
      <c r="M2291">
        <v>6263946696</v>
      </c>
    </row>
    <row r="2292" spans="1:13" x14ac:dyDescent="0.25">
      <c r="A2292">
        <v>9006838809</v>
      </c>
      <c r="B2292" t="s">
        <v>9592</v>
      </c>
      <c r="C2292">
        <v>1299900</v>
      </c>
      <c r="D2292" t="s">
        <v>9593</v>
      </c>
      <c r="E2292" t="s">
        <v>9594</v>
      </c>
      <c r="F2292">
        <v>2</v>
      </c>
      <c r="I2292" t="str">
        <f>HYPERLINK("tel:+16264280826", "626-428-0826")</f>
        <v>626-428-0826</v>
      </c>
      <c r="J2292" t="s">
        <v>9595</v>
      </c>
      <c r="K2292" t="s">
        <v>1238</v>
      </c>
      <c r="M2292">
        <v>6264280826</v>
      </c>
    </row>
    <row r="2293" spans="1:13" x14ac:dyDescent="0.25">
      <c r="A2293">
        <v>2891042007</v>
      </c>
      <c r="B2293" t="s">
        <v>9596</v>
      </c>
      <c r="C2293">
        <v>596000</v>
      </c>
      <c r="D2293" t="s">
        <v>9597</v>
      </c>
      <c r="E2293" t="s">
        <v>9598</v>
      </c>
      <c r="F2293">
        <v>2</v>
      </c>
      <c r="I2293" t="str">
        <f>HYPERLINK("tel:+16264455887", "626-445-5887")</f>
        <v>626-445-5887</v>
      </c>
      <c r="J2293" t="s">
        <v>9599</v>
      </c>
      <c r="K2293" t="s">
        <v>9600</v>
      </c>
      <c r="M2293">
        <v>6264455887</v>
      </c>
    </row>
    <row r="2294" spans="1:13" x14ac:dyDescent="0.25">
      <c r="A2294">
        <v>1686077316</v>
      </c>
      <c r="B2294" t="s">
        <v>9601</v>
      </c>
      <c r="C2294">
        <v>2669000</v>
      </c>
      <c r="D2294" t="s">
        <v>9602</v>
      </c>
      <c r="E2294" t="s">
        <v>9603</v>
      </c>
      <c r="F2294">
        <v>2</v>
      </c>
      <c r="I2294" t="str">
        <f>HYPERLINK("tel:+16264707588", "626-470-7588")</f>
        <v>626-470-7588</v>
      </c>
      <c r="J2294" t="s">
        <v>9604</v>
      </c>
      <c r="K2294" t="s">
        <v>9605</v>
      </c>
      <c r="M2294">
        <v>6264707588</v>
      </c>
    </row>
    <row r="2295" spans="1:13" x14ac:dyDescent="0.25">
      <c r="A2295">
        <v>1060769506</v>
      </c>
      <c r="B2295" t="s">
        <v>9606</v>
      </c>
      <c r="C2295">
        <v>319000</v>
      </c>
      <c r="D2295" t="s">
        <v>9607</v>
      </c>
      <c r="E2295" t="s">
        <v>9608</v>
      </c>
      <c r="F2295">
        <v>2</v>
      </c>
      <c r="I2295" t="str">
        <f>HYPERLINK("tel:+16264830710", "626-483-0710")</f>
        <v>626-483-0710</v>
      </c>
      <c r="J2295" t="s">
        <v>9609</v>
      </c>
      <c r="K2295" t="s">
        <v>24</v>
      </c>
      <c r="M2295">
        <v>6264830710</v>
      </c>
    </row>
    <row r="2296" spans="1:13" x14ac:dyDescent="0.25">
      <c r="A2296">
        <v>1482886953</v>
      </c>
      <c r="B2296" t="s">
        <v>9610</v>
      </c>
      <c r="C2296">
        <v>849000</v>
      </c>
      <c r="D2296" t="s">
        <v>9611</v>
      </c>
      <c r="E2296" t="s">
        <v>9612</v>
      </c>
      <c r="F2296">
        <v>2</v>
      </c>
      <c r="I2296" t="str">
        <f>HYPERLINK("tel:+16264845010", "626-484-5010")</f>
        <v>626-484-5010</v>
      </c>
      <c r="J2296" t="s">
        <v>9613</v>
      </c>
      <c r="K2296" t="s">
        <v>9614</v>
      </c>
      <c r="M2296">
        <v>6264845010</v>
      </c>
    </row>
    <row r="2297" spans="1:13" x14ac:dyDescent="0.25">
      <c r="A2297">
        <v>2055884446</v>
      </c>
      <c r="B2297" t="s">
        <v>9615</v>
      </c>
      <c r="C2297">
        <v>599000</v>
      </c>
      <c r="D2297" t="s">
        <v>9616</v>
      </c>
      <c r="E2297" t="s">
        <v>9617</v>
      </c>
      <c r="F2297">
        <v>2</v>
      </c>
      <c r="I2297" t="str">
        <f>HYPERLINK("tel:+16264875116", "626-487-5116")</f>
        <v>626-487-5116</v>
      </c>
      <c r="J2297" t="s">
        <v>9618</v>
      </c>
      <c r="K2297" t="s">
        <v>214</v>
      </c>
      <c r="M2297">
        <v>6264875116</v>
      </c>
    </row>
    <row r="2298" spans="1:13" x14ac:dyDescent="0.25">
      <c r="A2298">
        <v>9335965927</v>
      </c>
      <c r="B2298" t="s">
        <v>9619</v>
      </c>
      <c r="C2298">
        <v>5800000</v>
      </c>
      <c r="D2298" t="s">
        <v>9620</v>
      </c>
      <c r="E2298" t="s">
        <v>9621</v>
      </c>
      <c r="F2298">
        <v>2</v>
      </c>
      <c r="I2298" t="str">
        <f>HYPERLINK("tel:+16264878348", "626-487-8348")</f>
        <v>626-487-8348</v>
      </c>
      <c r="J2298" t="s">
        <v>9622</v>
      </c>
      <c r="K2298" t="s">
        <v>9623</v>
      </c>
      <c r="M2298">
        <v>6264878348</v>
      </c>
    </row>
    <row r="2299" spans="1:13" x14ac:dyDescent="0.25">
      <c r="A2299">
        <v>1655941950</v>
      </c>
      <c r="B2299" t="s">
        <v>9624</v>
      </c>
      <c r="C2299">
        <v>1299000</v>
      </c>
      <c r="D2299" t="s">
        <v>9625</v>
      </c>
      <c r="E2299" t="s">
        <v>9626</v>
      </c>
      <c r="F2299">
        <v>2</v>
      </c>
      <c r="I2299" t="str">
        <f>HYPERLINK("tel:+16264922218", "626-492-2218")</f>
        <v>626-492-2218</v>
      </c>
      <c r="J2299" t="s">
        <v>9627</v>
      </c>
      <c r="K2299" t="s">
        <v>450</v>
      </c>
      <c r="M2299">
        <v>6264922218</v>
      </c>
    </row>
    <row r="2300" spans="1:13" x14ac:dyDescent="0.25">
      <c r="A2300">
        <v>1825638457</v>
      </c>
      <c r="B2300" t="s">
        <v>9628</v>
      </c>
      <c r="C2300">
        <v>879000</v>
      </c>
      <c r="D2300" t="s">
        <v>9629</v>
      </c>
      <c r="E2300" t="s">
        <v>9630</v>
      </c>
      <c r="F2300">
        <v>2</v>
      </c>
      <c r="I2300" t="str">
        <f>HYPERLINK("tel:+16265239993", "626-523-9993")</f>
        <v>626-523-9993</v>
      </c>
      <c r="J2300" t="s">
        <v>9631</v>
      </c>
      <c r="K2300" t="s">
        <v>9632</v>
      </c>
      <c r="M2300">
        <v>6265239993</v>
      </c>
    </row>
    <row r="2301" spans="1:13" x14ac:dyDescent="0.25">
      <c r="A2301">
        <v>1904490042</v>
      </c>
      <c r="B2301" t="s">
        <v>9633</v>
      </c>
      <c r="C2301">
        <v>3500000</v>
      </c>
      <c r="D2301" t="s">
        <v>9634</v>
      </c>
      <c r="E2301" t="s">
        <v>9635</v>
      </c>
      <c r="F2301">
        <v>2</v>
      </c>
      <c r="I2301" t="str">
        <f>HYPERLINK("tel:+16265242902", "626-524-2902")</f>
        <v>626-524-2902</v>
      </c>
      <c r="J2301" t="s">
        <v>9636</v>
      </c>
      <c r="K2301" t="s">
        <v>9637</v>
      </c>
      <c r="M2301">
        <v>6265242902</v>
      </c>
    </row>
    <row r="2302" spans="1:13" x14ac:dyDescent="0.25">
      <c r="A2302">
        <v>9923767443</v>
      </c>
      <c r="B2302" t="s">
        <v>3415</v>
      </c>
      <c r="C2302">
        <v>2150000</v>
      </c>
      <c r="D2302" t="s">
        <v>3416</v>
      </c>
      <c r="E2302" t="s">
        <v>9638</v>
      </c>
      <c r="F2302">
        <v>2</v>
      </c>
      <c r="I2302" t="str">
        <f>HYPERLINK("tel:+16265326569", "626-532-6569")</f>
        <v>626-532-6569</v>
      </c>
      <c r="J2302" t="s">
        <v>9639</v>
      </c>
      <c r="K2302" t="s">
        <v>9640</v>
      </c>
      <c r="M2302">
        <v>6265326569</v>
      </c>
    </row>
    <row r="2303" spans="1:13" x14ac:dyDescent="0.25">
      <c r="A2303">
        <v>2263003970</v>
      </c>
      <c r="B2303" t="s">
        <v>9554</v>
      </c>
      <c r="C2303">
        <v>3280000</v>
      </c>
      <c r="D2303" t="s">
        <v>9555</v>
      </c>
      <c r="E2303" t="s">
        <v>9641</v>
      </c>
      <c r="F2303">
        <v>2</v>
      </c>
      <c r="I2303" t="str">
        <f>HYPERLINK("tel:+16265378937", "626-537-8937")</f>
        <v>626-537-8937</v>
      </c>
      <c r="J2303" t="s">
        <v>9642</v>
      </c>
      <c r="K2303" t="s">
        <v>2409</v>
      </c>
      <c r="M2303">
        <v>6265378937</v>
      </c>
    </row>
    <row r="2304" spans="1:13" x14ac:dyDescent="0.25">
      <c r="A2304">
        <v>2448889823</v>
      </c>
      <c r="B2304" t="s">
        <v>9643</v>
      </c>
      <c r="C2304">
        <v>1599000</v>
      </c>
      <c r="D2304" t="s">
        <v>9644</v>
      </c>
      <c r="E2304" t="s">
        <v>9645</v>
      </c>
      <c r="F2304">
        <v>2</v>
      </c>
      <c r="I2304" t="str">
        <f>HYPERLINK("tel:+16265387455", "626-538-7455")</f>
        <v>626-538-7455</v>
      </c>
      <c r="J2304" t="s">
        <v>9646</v>
      </c>
      <c r="K2304" t="s">
        <v>9645</v>
      </c>
      <c r="M2304">
        <v>6265387455</v>
      </c>
    </row>
    <row r="2305" spans="1:13" x14ac:dyDescent="0.25">
      <c r="A2305">
        <v>9638185591</v>
      </c>
      <c r="B2305" t="s">
        <v>9647</v>
      </c>
      <c r="C2305">
        <v>650000</v>
      </c>
      <c r="D2305" t="s">
        <v>9648</v>
      </c>
      <c r="E2305" t="s">
        <v>9649</v>
      </c>
      <c r="F2305">
        <v>2</v>
      </c>
      <c r="I2305" t="str">
        <f>HYPERLINK("tel:+16265484663", "626-548-4663")</f>
        <v>626-548-4663</v>
      </c>
      <c r="J2305" t="s">
        <v>9650</v>
      </c>
      <c r="K2305" t="s">
        <v>4764</v>
      </c>
      <c r="M2305">
        <v>6265484663</v>
      </c>
    </row>
    <row r="2306" spans="1:13" x14ac:dyDescent="0.25">
      <c r="A2306">
        <v>2993121647</v>
      </c>
      <c r="B2306" t="s">
        <v>9651</v>
      </c>
      <c r="C2306">
        <v>650000</v>
      </c>
      <c r="D2306" t="s">
        <v>9652</v>
      </c>
      <c r="E2306" t="s">
        <v>9653</v>
      </c>
      <c r="F2306">
        <v>2</v>
      </c>
      <c r="I2306" t="str">
        <f>HYPERLINK("tel:+16265495271", "626-549-5271")</f>
        <v>626-549-5271</v>
      </c>
      <c r="J2306" t="s">
        <v>9654</v>
      </c>
      <c r="K2306" t="s">
        <v>8621</v>
      </c>
      <c r="M2306">
        <v>6265495271</v>
      </c>
    </row>
    <row r="2307" spans="1:13" x14ac:dyDescent="0.25">
      <c r="A2307">
        <v>2637220524</v>
      </c>
      <c r="B2307" t="s">
        <v>9655</v>
      </c>
      <c r="C2307">
        <v>3380000</v>
      </c>
      <c r="D2307" t="s">
        <v>9656</v>
      </c>
      <c r="E2307" t="s">
        <v>9657</v>
      </c>
      <c r="F2307">
        <v>2</v>
      </c>
      <c r="I2307" t="str">
        <f>HYPERLINK("tel:+16265605470", "626-560-5470")</f>
        <v>626-560-5470</v>
      </c>
      <c r="J2307" t="s">
        <v>9658</v>
      </c>
      <c r="K2307" t="s">
        <v>1740</v>
      </c>
      <c r="M2307">
        <v>6265605470</v>
      </c>
    </row>
    <row r="2308" spans="1:13" x14ac:dyDescent="0.25">
      <c r="A2308">
        <v>1474898589</v>
      </c>
      <c r="B2308" t="s">
        <v>9659</v>
      </c>
      <c r="C2308">
        <v>8999999</v>
      </c>
      <c r="D2308" t="s">
        <v>9660</v>
      </c>
      <c r="E2308" t="s">
        <v>9661</v>
      </c>
      <c r="F2308">
        <v>2</v>
      </c>
      <c r="I2308" t="str">
        <f>HYPERLINK("tel:+16265840101", "626-584-0101")</f>
        <v>626-584-0101</v>
      </c>
      <c r="J2308" t="s">
        <v>9662</v>
      </c>
      <c r="K2308" t="s">
        <v>9663</v>
      </c>
      <c r="M2308">
        <v>6265840101</v>
      </c>
    </row>
    <row r="2309" spans="1:13" x14ac:dyDescent="0.25">
      <c r="A2309">
        <v>2955353577</v>
      </c>
      <c r="B2309" t="s">
        <v>9664</v>
      </c>
      <c r="C2309">
        <v>1559000</v>
      </c>
      <c r="D2309" t="s">
        <v>9665</v>
      </c>
      <c r="E2309" t="s">
        <v>9666</v>
      </c>
      <c r="F2309">
        <v>2</v>
      </c>
      <c r="I2309" t="str">
        <f>HYPERLINK("tel:+16265897958", "626-589-7958")</f>
        <v>626-589-7958</v>
      </c>
      <c r="J2309" t="s">
        <v>9667</v>
      </c>
      <c r="K2309" t="s">
        <v>9668</v>
      </c>
      <c r="M2309">
        <v>6265897958</v>
      </c>
    </row>
    <row r="2310" spans="1:13" x14ac:dyDescent="0.25">
      <c r="A2310">
        <v>1016297940</v>
      </c>
      <c r="B2310" t="s">
        <v>9669</v>
      </c>
      <c r="C2310">
        <v>1495000</v>
      </c>
      <c r="D2310" t="s">
        <v>9670</v>
      </c>
      <c r="E2310" t="s">
        <v>9671</v>
      </c>
      <c r="F2310">
        <v>2</v>
      </c>
      <c r="I2310" t="str">
        <f>HYPERLINK("tel:+16266051840", "626-605-1840")</f>
        <v>626-605-1840</v>
      </c>
      <c r="J2310" t="s">
        <v>9672</v>
      </c>
      <c r="K2310" t="s">
        <v>1169</v>
      </c>
      <c r="M2310">
        <v>6266051840</v>
      </c>
    </row>
    <row r="2311" spans="1:13" x14ac:dyDescent="0.25">
      <c r="A2311">
        <v>2318246801</v>
      </c>
      <c r="B2311" t="s">
        <v>9673</v>
      </c>
      <c r="C2311">
        <v>3480000</v>
      </c>
      <c r="D2311" t="s">
        <v>9674</v>
      </c>
      <c r="E2311" t="s">
        <v>9675</v>
      </c>
      <c r="F2311">
        <v>2</v>
      </c>
      <c r="I2311" t="str">
        <f>HYPERLINK("tel:+16266106661", "626-610-6661")</f>
        <v>626-610-6661</v>
      </c>
      <c r="J2311" t="s">
        <v>9676</v>
      </c>
      <c r="K2311" t="s">
        <v>9677</v>
      </c>
      <c r="M2311">
        <v>6266106661</v>
      </c>
    </row>
    <row r="2312" spans="1:13" x14ac:dyDescent="0.25">
      <c r="A2312">
        <v>2282147017</v>
      </c>
      <c r="B2312" t="s">
        <v>9678</v>
      </c>
      <c r="C2312">
        <v>750000</v>
      </c>
      <c r="D2312" t="s">
        <v>9679</v>
      </c>
      <c r="E2312" t="s">
        <v>9680</v>
      </c>
      <c r="F2312">
        <v>2</v>
      </c>
      <c r="I2312" t="str">
        <f>HYPERLINK("tel:+16266148047", "626-614-8047")</f>
        <v>626-614-8047</v>
      </c>
      <c r="J2312" t="s">
        <v>9681</v>
      </c>
      <c r="K2312" t="s">
        <v>9682</v>
      </c>
      <c r="M2312">
        <v>6266148047</v>
      </c>
    </row>
    <row r="2313" spans="1:13" x14ac:dyDescent="0.25">
      <c r="A2313">
        <v>1717052409</v>
      </c>
      <c r="B2313" t="s">
        <v>9683</v>
      </c>
      <c r="C2313">
        <v>998000</v>
      </c>
      <c r="D2313" t="s">
        <v>9684</v>
      </c>
      <c r="E2313" t="s">
        <v>9685</v>
      </c>
      <c r="F2313">
        <v>2</v>
      </c>
      <c r="I2313" t="str">
        <f>HYPERLINK("tel:+16266169100", "626-616-9100")</f>
        <v>626-616-9100</v>
      </c>
      <c r="J2313" t="s">
        <v>9686</v>
      </c>
      <c r="K2313" t="s">
        <v>9687</v>
      </c>
      <c r="M2313">
        <v>6266169100</v>
      </c>
    </row>
    <row r="2314" spans="1:13" x14ac:dyDescent="0.25">
      <c r="A2314">
        <v>1496611153</v>
      </c>
      <c r="B2314" t="s">
        <v>9688</v>
      </c>
      <c r="C2314">
        <v>3150000</v>
      </c>
      <c r="D2314" t="s">
        <v>9689</v>
      </c>
      <c r="E2314" t="s">
        <v>9690</v>
      </c>
      <c r="F2314">
        <v>2</v>
      </c>
      <c r="I2314" t="str">
        <f>HYPERLINK("tel:+16266237957", "626-623-7957")</f>
        <v>626-623-7957</v>
      </c>
      <c r="J2314" t="s">
        <v>9691</v>
      </c>
      <c r="K2314" t="s">
        <v>9692</v>
      </c>
      <c r="M2314">
        <v>6266237957</v>
      </c>
    </row>
    <row r="2315" spans="1:13" x14ac:dyDescent="0.25">
      <c r="A2315">
        <v>2282018008</v>
      </c>
      <c r="B2315" t="s">
        <v>9693</v>
      </c>
      <c r="C2315">
        <v>1429000</v>
      </c>
      <c r="D2315" t="s">
        <v>9694</v>
      </c>
      <c r="E2315" t="s">
        <v>9695</v>
      </c>
      <c r="F2315">
        <v>2</v>
      </c>
      <c r="I2315" t="str">
        <f>HYPERLINK("tel:+16266257152", "626-625-7152")</f>
        <v>626-625-7152</v>
      </c>
      <c r="J2315" t="s">
        <v>9696</v>
      </c>
      <c r="K2315" t="s">
        <v>9697</v>
      </c>
      <c r="M2315">
        <v>6266257152</v>
      </c>
    </row>
    <row r="2316" spans="1:13" x14ac:dyDescent="0.25">
      <c r="A2316">
        <v>9063823166</v>
      </c>
      <c r="B2316" t="s">
        <v>9698</v>
      </c>
      <c r="C2316">
        <v>725000</v>
      </c>
      <c r="D2316" t="s">
        <v>9699</v>
      </c>
      <c r="E2316" t="s">
        <v>9700</v>
      </c>
      <c r="F2316">
        <v>2</v>
      </c>
      <c r="I2316" t="str">
        <f>HYPERLINK("tel:+16266279015", "626-627-9015")</f>
        <v>626-627-9015</v>
      </c>
      <c r="J2316" t="s">
        <v>9701</v>
      </c>
      <c r="K2316" t="s">
        <v>214</v>
      </c>
      <c r="M2316">
        <v>6266279015</v>
      </c>
    </row>
    <row r="2317" spans="1:13" x14ac:dyDescent="0.25">
      <c r="A2317">
        <v>1538580124</v>
      </c>
      <c r="B2317" t="s">
        <v>9702</v>
      </c>
      <c r="C2317">
        <v>625000</v>
      </c>
      <c r="D2317" t="s">
        <v>9703</v>
      </c>
      <c r="E2317" t="s">
        <v>9704</v>
      </c>
      <c r="F2317">
        <v>2</v>
      </c>
      <c r="I2317" t="str">
        <f>HYPERLINK("tel:+16266328598", "626-632-8598")</f>
        <v>626-632-8598</v>
      </c>
      <c r="J2317" t="s">
        <v>9705</v>
      </c>
      <c r="K2317" t="s">
        <v>9706</v>
      </c>
      <c r="M2317">
        <v>6266328598</v>
      </c>
    </row>
    <row r="2318" spans="1:13" x14ac:dyDescent="0.25">
      <c r="A2318">
        <v>2676443891</v>
      </c>
      <c r="B2318" t="s">
        <v>9707</v>
      </c>
      <c r="C2318">
        <v>1100000</v>
      </c>
      <c r="D2318" t="s">
        <v>9708</v>
      </c>
      <c r="E2318" t="s">
        <v>9709</v>
      </c>
      <c r="F2318">
        <v>2</v>
      </c>
      <c r="I2318" t="str">
        <f>HYPERLINK("tel:+16266562889", "626-656-2889")</f>
        <v>626-656-2889</v>
      </c>
      <c r="J2318" t="s">
        <v>9710</v>
      </c>
      <c r="K2318" t="s">
        <v>9711</v>
      </c>
      <c r="M2318">
        <v>6266562889</v>
      </c>
    </row>
    <row r="2319" spans="1:13" x14ac:dyDescent="0.25">
      <c r="A2319">
        <v>1991751288</v>
      </c>
      <c r="B2319" t="s">
        <v>9712</v>
      </c>
      <c r="C2319">
        <v>2590000</v>
      </c>
      <c r="D2319" t="s">
        <v>9713</v>
      </c>
      <c r="E2319" t="s">
        <v>9714</v>
      </c>
      <c r="F2319">
        <v>2</v>
      </c>
      <c r="I2319" t="str">
        <f>HYPERLINK("tel:+16266725999", "626-672-5999")</f>
        <v>626-672-5999</v>
      </c>
      <c r="J2319" t="s">
        <v>9715</v>
      </c>
      <c r="K2319" t="s">
        <v>9716</v>
      </c>
      <c r="M2319">
        <v>6266725999</v>
      </c>
    </row>
    <row r="2320" spans="1:13" x14ac:dyDescent="0.25">
      <c r="A2320">
        <v>2577051708</v>
      </c>
      <c r="B2320" t="s">
        <v>9717</v>
      </c>
      <c r="C2320">
        <v>300000</v>
      </c>
      <c r="D2320" t="s">
        <v>9718</v>
      </c>
      <c r="E2320" t="s">
        <v>9719</v>
      </c>
      <c r="F2320">
        <v>2</v>
      </c>
      <c r="I2320" t="str">
        <f>HYPERLINK("tel:+16266736350", "626-673-6350")</f>
        <v>626-673-6350</v>
      </c>
      <c r="J2320" t="s">
        <v>9720</v>
      </c>
      <c r="K2320" t="s">
        <v>9721</v>
      </c>
      <c r="M2320">
        <v>6266736350</v>
      </c>
    </row>
    <row r="2321" spans="1:13" x14ac:dyDescent="0.25">
      <c r="A2321">
        <v>1501705122</v>
      </c>
      <c r="B2321" t="s">
        <v>9722</v>
      </c>
      <c r="C2321">
        <v>1550000</v>
      </c>
      <c r="D2321" t="s">
        <v>9723</v>
      </c>
      <c r="E2321" t="s">
        <v>9724</v>
      </c>
      <c r="F2321">
        <v>2</v>
      </c>
      <c r="I2321" t="str">
        <f>HYPERLINK("tel:+16266794013", "626-679-4013")</f>
        <v>626-679-4013</v>
      </c>
      <c r="J2321" t="s">
        <v>9725</v>
      </c>
      <c r="K2321" t="s">
        <v>9726</v>
      </c>
      <c r="M2321">
        <v>6266794013</v>
      </c>
    </row>
    <row r="2322" spans="1:13" x14ac:dyDescent="0.25">
      <c r="A2322">
        <v>2272957309</v>
      </c>
      <c r="B2322" t="s">
        <v>9235</v>
      </c>
      <c r="C2322">
        <v>749000</v>
      </c>
      <c r="D2322" t="s">
        <v>9236</v>
      </c>
      <c r="E2322" t="s">
        <v>9727</v>
      </c>
      <c r="F2322">
        <v>2</v>
      </c>
      <c r="I2322" t="str">
        <f>HYPERLINK("tel:+16266931356", "626-693-1356")</f>
        <v>626-693-1356</v>
      </c>
      <c r="J2322" t="s">
        <v>9728</v>
      </c>
      <c r="K2322" t="s">
        <v>9729</v>
      </c>
      <c r="M2322">
        <v>6266931356</v>
      </c>
    </row>
    <row r="2323" spans="1:13" x14ac:dyDescent="0.25">
      <c r="A2323">
        <v>1171985968</v>
      </c>
      <c r="B2323" t="s">
        <v>9730</v>
      </c>
      <c r="C2323">
        <v>530000</v>
      </c>
      <c r="D2323" t="s">
        <v>9731</v>
      </c>
      <c r="E2323" t="s">
        <v>9732</v>
      </c>
      <c r="F2323">
        <v>2</v>
      </c>
      <c r="I2323" t="str">
        <f>HYPERLINK("tel:+16266951137", "626-695-1137")</f>
        <v>626-695-1137</v>
      </c>
      <c r="J2323" t="s">
        <v>9733</v>
      </c>
      <c r="K2323" t="s">
        <v>5478</v>
      </c>
      <c r="M2323">
        <v>6266951137</v>
      </c>
    </row>
    <row r="2324" spans="1:13" x14ac:dyDescent="0.25">
      <c r="A2324">
        <v>2208710824</v>
      </c>
      <c r="B2324" t="s">
        <v>9734</v>
      </c>
      <c r="C2324">
        <v>1149000</v>
      </c>
      <c r="D2324" t="s">
        <v>9735</v>
      </c>
      <c r="E2324" t="s">
        <v>9736</v>
      </c>
      <c r="F2324">
        <v>2</v>
      </c>
      <c r="I2324" t="str">
        <f>HYPERLINK("tel:+16266960115", "626-696-0115")</f>
        <v>626-696-0115</v>
      </c>
      <c r="J2324" t="s">
        <v>9737</v>
      </c>
      <c r="K2324" t="s">
        <v>9738</v>
      </c>
      <c r="M2324">
        <v>6266960115</v>
      </c>
    </row>
    <row r="2325" spans="1:13" x14ac:dyDescent="0.25">
      <c r="A2325">
        <v>2267467843</v>
      </c>
      <c r="B2325" t="s">
        <v>9739</v>
      </c>
      <c r="C2325">
        <v>2649000</v>
      </c>
      <c r="D2325" t="s">
        <v>9740</v>
      </c>
      <c r="E2325" t="s">
        <v>9741</v>
      </c>
      <c r="F2325">
        <v>2</v>
      </c>
      <c r="I2325" t="str">
        <f>HYPERLINK("tel:+16266964800", "626-696-4800")</f>
        <v>626-696-4800</v>
      </c>
      <c r="J2325" t="s">
        <v>9742</v>
      </c>
      <c r="K2325" t="s">
        <v>24</v>
      </c>
      <c r="M2325">
        <v>6266964800</v>
      </c>
    </row>
    <row r="2326" spans="1:13" x14ac:dyDescent="0.25">
      <c r="A2326">
        <v>2275587447</v>
      </c>
      <c r="B2326" t="s">
        <v>9743</v>
      </c>
      <c r="C2326">
        <v>1250000</v>
      </c>
      <c r="D2326" t="s">
        <v>9744</v>
      </c>
      <c r="E2326" t="s">
        <v>9745</v>
      </c>
      <c r="F2326">
        <v>2</v>
      </c>
      <c r="I2326" t="str">
        <f>HYPERLINK("tel:+16267051160", "626-705-1160")</f>
        <v>626-705-1160</v>
      </c>
      <c r="J2326" t="s">
        <v>9746</v>
      </c>
      <c r="K2326" t="s">
        <v>9747</v>
      </c>
      <c r="M2326">
        <v>6267051160</v>
      </c>
    </row>
    <row r="2327" spans="1:13" x14ac:dyDescent="0.25">
      <c r="A2327">
        <v>2021409048</v>
      </c>
      <c r="B2327" t="s">
        <v>9748</v>
      </c>
      <c r="C2327">
        <v>1598000</v>
      </c>
      <c r="D2327" t="s">
        <v>9749</v>
      </c>
      <c r="E2327" t="s">
        <v>9750</v>
      </c>
      <c r="F2327">
        <v>2</v>
      </c>
      <c r="I2327" t="str">
        <f>HYPERLINK("tel:+16267570902", "626-757-0902")</f>
        <v>626-757-0902</v>
      </c>
      <c r="J2327" t="s">
        <v>9751</v>
      </c>
      <c r="K2327" t="s">
        <v>917</v>
      </c>
      <c r="M2327">
        <v>6267570902</v>
      </c>
    </row>
    <row r="2328" spans="1:13" x14ac:dyDescent="0.25">
      <c r="A2328">
        <v>1897130095</v>
      </c>
      <c r="B2328" t="s">
        <v>9752</v>
      </c>
      <c r="C2328">
        <v>1799800</v>
      </c>
      <c r="D2328" t="s">
        <v>9753</v>
      </c>
      <c r="E2328" t="s">
        <v>9754</v>
      </c>
      <c r="F2328">
        <v>2</v>
      </c>
      <c r="I2328" t="str">
        <f>HYPERLINK("tel:+16267577373", "626-757-7373")</f>
        <v>626-757-7373</v>
      </c>
      <c r="J2328" t="s">
        <v>9755</v>
      </c>
      <c r="K2328" t="s">
        <v>9756</v>
      </c>
      <c r="M2328">
        <v>6267577373</v>
      </c>
    </row>
    <row r="2329" spans="1:13" x14ac:dyDescent="0.25">
      <c r="A2329">
        <v>9634310148</v>
      </c>
      <c r="B2329" t="s">
        <v>9757</v>
      </c>
      <c r="C2329">
        <v>968000</v>
      </c>
      <c r="D2329" t="s">
        <v>9758</v>
      </c>
      <c r="E2329" t="s">
        <v>9759</v>
      </c>
      <c r="F2329">
        <v>2</v>
      </c>
      <c r="I2329" t="str">
        <f>HYPERLINK("tel:+16267876862", "626-787-6862")</f>
        <v>626-787-6862</v>
      </c>
      <c r="J2329" t="s">
        <v>9760</v>
      </c>
      <c r="K2329" t="s">
        <v>485</v>
      </c>
      <c r="M2329">
        <v>6267876862</v>
      </c>
    </row>
    <row r="2330" spans="1:13" x14ac:dyDescent="0.25">
      <c r="A2330">
        <v>2961467116</v>
      </c>
      <c r="B2330" t="s">
        <v>9761</v>
      </c>
      <c r="C2330">
        <v>3350000</v>
      </c>
      <c r="D2330" t="s">
        <v>9762</v>
      </c>
      <c r="E2330" t="s">
        <v>9763</v>
      </c>
      <c r="F2330">
        <v>2</v>
      </c>
      <c r="I2330" t="str">
        <f>HYPERLINK("tel:+16268028122", "626-802-8122")</f>
        <v>626-802-8122</v>
      </c>
      <c r="J2330" t="s">
        <v>9764</v>
      </c>
      <c r="K2330" t="s">
        <v>3094</v>
      </c>
      <c r="M2330">
        <v>6268028122</v>
      </c>
    </row>
    <row r="2331" spans="1:13" x14ac:dyDescent="0.25">
      <c r="A2331">
        <v>1706487408</v>
      </c>
      <c r="B2331" t="s">
        <v>9765</v>
      </c>
      <c r="C2331">
        <v>914990</v>
      </c>
      <c r="D2331" t="s">
        <v>9766</v>
      </c>
      <c r="E2331" t="s">
        <v>9767</v>
      </c>
      <c r="F2331">
        <v>2</v>
      </c>
      <c r="I2331" t="str">
        <f>HYPERLINK("tel:+16268041540", "626-804-1540")</f>
        <v>626-804-1540</v>
      </c>
      <c r="J2331" t="s">
        <v>9768</v>
      </c>
      <c r="K2331" t="s">
        <v>9769</v>
      </c>
      <c r="M2331">
        <v>6268041540</v>
      </c>
    </row>
    <row r="2332" spans="1:13" x14ac:dyDescent="0.25">
      <c r="A2332">
        <v>1376654529</v>
      </c>
      <c r="B2332" t="s">
        <v>9770</v>
      </c>
      <c r="C2332">
        <v>799000</v>
      </c>
      <c r="D2332" t="s">
        <v>9771</v>
      </c>
      <c r="E2332" t="s">
        <v>9772</v>
      </c>
      <c r="F2332">
        <v>2</v>
      </c>
      <c r="I2332" t="str">
        <f>HYPERLINK("tel:+16268066625", "626-806-6625")</f>
        <v>626-806-6625</v>
      </c>
      <c r="J2332" t="s">
        <v>9773</v>
      </c>
      <c r="K2332" t="s">
        <v>9774</v>
      </c>
      <c r="M2332">
        <v>6268066625</v>
      </c>
    </row>
    <row r="2333" spans="1:13" x14ac:dyDescent="0.25">
      <c r="A2333">
        <v>9691127030</v>
      </c>
      <c r="B2333" t="s">
        <v>9775</v>
      </c>
      <c r="C2333">
        <v>2275000</v>
      </c>
      <c r="D2333" t="s">
        <v>9776</v>
      </c>
      <c r="E2333" t="s">
        <v>9777</v>
      </c>
      <c r="F2333">
        <v>2</v>
      </c>
      <c r="I2333" t="str">
        <f>HYPERLINK("tel:+16268069610", "626-806-9610")</f>
        <v>626-806-9610</v>
      </c>
      <c r="J2333" t="s">
        <v>9778</v>
      </c>
      <c r="K2333" t="s">
        <v>9779</v>
      </c>
      <c r="M2333">
        <v>6268069610</v>
      </c>
    </row>
    <row r="2334" spans="1:13" x14ac:dyDescent="0.25">
      <c r="A2334">
        <v>9691127030</v>
      </c>
      <c r="B2334" t="s">
        <v>9775</v>
      </c>
      <c r="C2334">
        <v>2275000</v>
      </c>
      <c r="D2334" t="s">
        <v>9776</v>
      </c>
      <c r="E2334" t="s">
        <v>9780</v>
      </c>
      <c r="F2334">
        <v>2</v>
      </c>
      <c r="I2334" t="str">
        <f>HYPERLINK("tel:+16268069614", "626-806-9614")</f>
        <v>626-806-9614</v>
      </c>
      <c r="J2334" t="s">
        <v>9781</v>
      </c>
      <c r="K2334" t="s">
        <v>9779</v>
      </c>
      <c r="M2334">
        <v>6268069614</v>
      </c>
    </row>
    <row r="2335" spans="1:13" x14ac:dyDescent="0.25">
      <c r="A2335">
        <v>1030972099</v>
      </c>
      <c r="B2335" t="s">
        <v>9782</v>
      </c>
      <c r="C2335">
        <v>3990000</v>
      </c>
      <c r="D2335" t="s">
        <v>9783</v>
      </c>
      <c r="E2335" t="s">
        <v>9784</v>
      </c>
      <c r="F2335">
        <v>2</v>
      </c>
      <c r="I2335" t="str">
        <f>HYPERLINK("tel:+16268076688", "626-807-6688")</f>
        <v>626-807-6688</v>
      </c>
      <c r="J2335" t="s">
        <v>9785</v>
      </c>
      <c r="K2335" t="s">
        <v>9786</v>
      </c>
      <c r="M2335">
        <v>6268076688</v>
      </c>
    </row>
    <row r="2336" spans="1:13" x14ac:dyDescent="0.25">
      <c r="A2336">
        <v>2297545311</v>
      </c>
      <c r="B2336" t="s">
        <v>9787</v>
      </c>
      <c r="C2336">
        <v>2200000</v>
      </c>
      <c r="D2336" t="s">
        <v>9788</v>
      </c>
      <c r="E2336" t="s">
        <v>9789</v>
      </c>
      <c r="F2336">
        <v>2</v>
      </c>
      <c r="I2336" t="str">
        <f>HYPERLINK("tel:+16268102679", "626-810-2679")</f>
        <v>626-810-2679</v>
      </c>
      <c r="J2336" t="s">
        <v>9790</v>
      </c>
      <c r="K2336" t="s">
        <v>9791</v>
      </c>
      <c r="M2336">
        <v>6268102679</v>
      </c>
    </row>
    <row r="2337" spans="1:13" x14ac:dyDescent="0.25">
      <c r="A2337">
        <v>9891216033</v>
      </c>
      <c r="B2337" t="s">
        <v>9792</v>
      </c>
      <c r="C2337">
        <v>700000</v>
      </c>
      <c r="D2337" t="s">
        <v>9793</v>
      </c>
      <c r="E2337" t="s">
        <v>9794</v>
      </c>
      <c r="F2337">
        <v>2</v>
      </c>
      <c r="I2337" t="str">
        <f>HYPERLINK("tel:+16268188140", "626-818-8140")</f>
        <v>626-818-8140</v>
      </c>
      <c r="J2337" t="s">
        <v>9795</v>
      </c>
      <c r="K2337" t="s">
        <v>9796</v>
      </c>
      <c r="M2337">
        <v>6268188140</v>
      </c>
    </row>
    <row r="2338" spans="1:13" x14ac:dyDescent="0.25">
      <c r="A2338">
        <v>1407013677</v>
      </c>
      <c r="B2338" t="s">
        <v>9797</v>
      </c>
      <c r="C2338">
        <v>1849000</v>
      </c>
      <c r="D2338" t="s">
        <v>9798</v>
      </c>
      <c r="E2338" t="s">
        <v>9799</v>
      </c>
      <c r="F2338">
        <v>2</v>
      </c>
      <c r="I2338" t="str">
        <f>HYPERLINK("tel:+16268245701", "626-824-5701")</f>
        <v>626-824-5701</v>
      </c>
      <c r="J2338" t="s">
        <v>9800</v>
      </c>
      <c r="K2338" t="s">
        <v>9</v>
      </c>
      <c r="M2338">
        <v>6268245701</v>
      </c>
    </row>
    <row r="2339" spans="1:13" x14ac:dyDescent="0.25">
      <c r="A2339">
        <v>9198410067</v>
      </c>
      <c r="B2339" t="s">
        <v>9801</v>
      </c>
      <c r="C2339">
        <v>1249000</v>
      </c>
      <c r="D2339" t="s">
        <v>9802</v>
      </c>
      <c r="E2339" t="s">
        <v>9803</v>
      </c>
      <c r="F2339">
        <v>2</v>
      </c>
      <c r="I2339" t="str">
        <f>HYPERLINK("tel:+16268255508", "626-825-5508")</f>
        <v>626-825-5508</v>
      </c>
      <c r="J2339" t="s">
        <v>9804</v>
      </c>
      <c r="K2339" t="s">
        <v>9805</v>
      </c>
      <c r="M2339">
        <v>6268255508</v>
      </c>
    </row>
    <row r="2340" spans="1:13" x14ac:dyDescent="0.25">
      <c r="A2340">
        <v>1116255347</v>
      </c>
      <c r="B2340" t="s">
        <v>9806</v>
      </c>
      <c r="C2340">
        <v>849000</v>
      </c>
      <c r="D2340" t="s">
        <v>9807</v>
      </c>
      <c r="E2340" t="s">
        <v>9808</v>
      </c>
      <c r="F2340">
        <v>2</v>
      </c>
      <c r="I2340" t="str">
        <f>HYPERLINK("tel:+16268264544", "626-826-4544")</f>
        <v>626-826-4544</v>
      </c>
      <c r="J2340" t="s">
        <v>9809</v>
      </c>
      <c r="K2340" t="s">
        <v>68</v>
      </c>
      <c r="M2340">
        <v>6268264544</v>
      </c>
    </row>
    <row r="2341" spans="1:13" x14ac:dyDescent="0.25">
      <c r="A2341">
        <v>9113889588</v>
      </c>
      <c r="B2341" t="s">
        <v>9810</v>
      </c>
      <c r="C2341">
        <v>700000</v>
      </c>
      <c r="D2341" t="s">
        <v>9811</v>
      </c>
      <c r="E2341" t="s">
        <v>9812</v>
      </c>
      <c r="F2341">
        <v>2</v>
      </c>
      <c r="I2341" t="str">
        <f>HYPERLINK("tel:+16268995077", "626-899-5077")</f>
        <v>626-899-5077</v>
      </c>
      <c r="J2341" t="s">
        <v>9813</v>
      </c>
      <c r="K2341" t="s">
        <v>556</v>
      </c>
      <c r="M2341">
        <v>6268995077</v>
      </c>
    </row>
    <row r="2342" spans="1:13" x14ac:dyDescent="0.25">
      <c r="A2342">
        <v>1376920466</v>
      </c>
      <c r="B2342" t="s">
        <v>9814</v>
      </c>
      <c r="C2342">
        <v>598888</v>
      </c>
      <c r="D2342" t="s">
        <v>9815</v>
      </c>
      <c r="E2342" t="s">
        <v>9816</v>
      </c>
      <c r="F2342">
        <v>2</v>
      </c>
      <c r="I2342" t="str">
        <f>HYPERLINK("tel:+16269052252", "626-905-2252")</f>
        <v>626-905-2252</v>
      </c>
      <c r="J2342" t="s">
        <v>9817</v>
      </c>
      <c r="K2342" t="s">
        <v>9818</v>
      </c>
      <c r="M2342">
        <v>6269052252</v>
      </c>
    </row>
    <row r="2343" spans="1:13" x14ac:dyDescent="0.25">
      <c r="A2343">
        <v>2075947495</v>
      </c>
      <c r="B2343" t="s">
        <v>9819</v>
      </c>
      <c r="C2343">
        <v>14950000</v>
      </c>
      <c r="D2343" t="s">
        <v>9820</v>
      </c>
      <c r="E2343" t="s">
        <v>9821</v>
      </c>
      <c r="F2343">
        <v>2</v>
      </c>
      <c r="I2343" t="str">
        <f>HYPERLINK("tel:+16316641382", "631-664-1382")</f>
        <v>631-664-1382</v>
      </c>
      <c r="J2343" t="s">
        <v>9822</v>
      </c>
      <c r="K2343" t="s">
        <v>107</v>
      </c>
      <c r="M2343">
        <v>6316641382</v>
      </c>
    </row>
    <row r="2344" spans="1:13" x14ac:dyDescent="0.25">
      <c r="A2344">
        <v>2778070041</v>
      </c>
      <c r="B2344" t="s">
        <v>9823</v>
      </c>
      <c r="C2344">
        <v>299995</v>
      </c>
      <c r="D2344" t="s">
        <v>9824</v>
      </c>
      <c r="E2344" t="s">
        <v>9825</v>
      </c>
      <c r="F2344">
        <v>2</v>
      </c>
      <c r="I2344" t="str">
        <f>HYPERLINK("tel:+16463035997", "646-303-5997")</f>
        <v>646-303-5997</v>
      </c>
      <c r="J2344" t="s">
        <v>9826</v>
      </c>
      <c r="K2344" t="s">
        <v>9827</v>
      </c>
      <c r="M2344">
        <v>6463035997</v>
      </c>
    </row>
    <row r="2345" spans="1:13" x14ac:dyDescent="0.25">
      <c r="A2345">
        <v>2627350124</v>
      </c>
      <c r="B2345" t="s">
        <v>7489</v>
      </c>
      <c r="C2345">
        <v>780000</v>
      </c>
      <c r="D2345" t="s">
        <v>7490</v>
      </c>
      <c r="E2345" t="s">
        <v>9828</v>
      </c>
      <c r="F2345">
        <v>2</v>
      </c>
      <c r="I2345" t="str">
        <f>HYPERLINK("tel:+16468724990", "646-872-4990")</f>
        <v>646-872-4990</v>
      </c>
      <c r="J2345" t="s">
        <v>9829</v>
      </c>
      <c r="K2345" t="s">
        <v>24</v>
      </c>
      <c r="M2345">
        <v>6468724990</v>
      </c>
    </row>
    <row r="2346" spans="1:13" x14ac:dyDescent="0.25">
      <c r="A2346">
        <v>1976975449</v>
      </c>
      <c r="B2346" t="s">
        <v>9830</v>
      </c>
      <c r="C2346">
        <v>1799999</v>
      </c>
      <c r="D2346" t="s">
        <v>9831</v>
      </c>
      <c r="E2346" t="s">
        <v>9832</v>
      </c>
      <c r="F2346">
        <v>2</v>
      </c>
      <c r="I2346" t="str">
        <f>HYPERLINK("tel:+16468728604", "646-872-8604")</f>
        <v>646-872-8604</v>
      </c>
      <c r="J2346" t="s">
        <v>9833</v>
      </c>
      <c r="K2346" t="s">
        <v>9834</v>
      </c>
      <c r="M2346">
        <v>6468728604</v>
      </c>
    </row>
    <row r="2347" spans="1:13" x14ac:dyDescent="0.25">
      <c r="A2347">
        <v>2648280285</v>
      </c>
      <c r="B2347" t="s">
        <v>9835</v>
      </c>
      <c r="C2347">
        <v>1875000</v>
      </c>
      <c r="D2347" t="s">
        <v>9836</v>
      </c>
      <c r="E2347" t="s">
        <v>9837</v>
      </c>
      <c r="F2347">
        <v>2</v>
      </c>
      <c r="I2347" t="str">
        <f>HYPERLINK("tel:+16469467677", "646-946-7677")</f>
        <v>646-946-7677</v>
      </c>
      <c r="J2347" t="s">
        <v>9838</v>
      </c>
      <c r="K2347" t="s">
        <v>9837</v>
      </c>
      <c r="M2347">
        <v>6469467677</v>
      </c>
    </row>
    <row r="2348" spans="1:13" x14ac:dyDescent="0.25">
      <c r="A2348">
        <v>1588906359</v>
      </c>
      <c r="B2348" t="s">
        <v>9839</v>
      </c>
      <c r="C2348">
        <v>938000</v>
      </c>
      <c r="D2348" t="s">
        <v>9840</v>
      </c>
      <c r="E2348" t="s">
        <v>9841</v>
      </c>
      <c r="F2348">
        <v>2</v>
      </c>
      <c r="I2348" t="str">
        <f>HYPERLINK("tel:+16502458911", "650-245-8911")</f>
        <v>650-245-8911</v>
      </c>
      <c r="J2348" t="s">
        <v>9842</v>
      </c>
      <c r="K2348" t="s">
        <v>63</v>
      </c>
      <c r="M2348">
        <v>6502458911</v>
      </c>
    </row>
    <row r="2349" spans="1:13" x14ac:dyDescent="0.25">
      <c r="A2349">
        <v>1248661058</v>
      </c>
      <c r="B2349" t="s">
        <v>2161</v>
      </c>
      <c r="C2349">
        <v>1369854</v>
      </c>
      <c r="D2349" t="s">
        <v>2162</v>
      </c>
      <c r="E2349" t="s">
        <v>9843</v>
      </c>
      <c r="F2349">
        <v>2</v>
      </c>
      <c r="I2349" t="str">
        <f>HYPERLINK("tel:+16573311856", "657-331-1856")</f>
        <v>657-331-1856</v>
      </c>
      <c r="J2349" t="s">
        <v>9844</v>
      </c>
      <c r="K2349" t="s">
        <v>1090</v>
      </c>
      <c r="M2349">
        <v>6573311856</v>
      </c>
    </row>
    <row r="2350" spans="1:13" x14ac:dyDescent="0.25">
      <c r="A2350">
        <v>2344415533</v>
      </c>
      <c r="B2350" t="s">
        <v>9845</v>
      </c>
      <c r="C2350">
        <v>2300000</v>
      </c>
      <c r="D2350" t="s">
        <v>9846</v>
      </c>
      <c r="E2350" t="s">
        <v>9847</v>
      </c>
      <c r="F2350">
        <v>2</v>
      </c>
      <c r="I2350" t="str">
        <f>HYPERLINK("tel:+16573519929", "657-351-9929")</f>
        <v>657-351-9929</v>
      </c>
      <c r="J2350" t="s">
        <v>9848</v>
      </c>
      <c r="K2350" t="s">
        <v>9849</v>
      </c>
      <c r="M2350">
        <v>6573519929</v>
      </c>
    </row>
    <row r="2351" spans="1:13" x14ac:dyDescent="0.25">
      <c r="A2351">
        <v>9189784517</v>
      </c>
      <c r="B2351" t="s">
        <v>9850</v>
      </c>
      <c r="C2351">
        <v>75000</v>
      </c>
      <c r="D2351" t="s">
        <v>9851</v>
      </c>
      <c r="E2351" t="s">
        <v>9852</v>
      </c>
      <c r="F2351">
        <v>2</v>
      </c>
      <c r="I2351" t="str">
        <f>HYPERLINK("tel:+16574529554", "657-452-9554")</f>
        <v>657-452-9554</v>
      </c>
      <c r="J2351" t="s">
        <v>9853</v>
      </c>
      <c r="K2351" t="s">
        <v>9854</v>
      </c>
      <c r="M2351">
        <v>6574529554</v>
      </c>
    </row>
    <row r="2352" spans="1:13" x14ac:dyDescent="0.25">
      <c r="A2352">
        <v>1430494187</v>
      </c>
      <c r="B2352" t="s">
        <v>9855</v>
      </c>
      <c r="C2352">
        <v>1749000</v>
      </c>
      <c r="D2352" t="s">
        <v>9856</v>
      </c>
      <c r="E2352" t="s">
        <v>9857</v>
      </c>
      <c r="F2352">
        <v>2</v>
      </c>
      <c r="I2352" t="str">
        <f>HYPERLINK("tel:+16575028487", "657-502-8487")</f>
        <v>657-502-8487</v>
      </c>
      <c r="J2352" t="s">
        <v>9858</v>
      </c>
      <c r="K2352" t="s">
        <v>9859</v>
      </c>
      <c r="M2352">
        <v>6575028487</v>
      </c>
    </row>
    <row r="2353" spans="1:13" x14ac:dyDescent="0.25">
      <c r="A2353">
        <v>9332397296</v>
      </c>
      <c r="B2353" t="s">
        <v>9860</v>
      </c>
      <c r="C2353">
        <v>549900</v>
      </c>
      <c r="D2353" t="s">
        <v>9861</v>
      </c>
      <c r="E2353" t="s">
        <v>9862</v>
      </c>
      <c r="F2353">
        <v>2</v>
      </c>
      <c r="I2353" t="str">
        <f>HYPERLINK("tel:+16612123390", "661-212-3390")</f>
        <v>661-212-3390</v>
      </c>
      <c r="J2353" t="s">
        <v>9863</v>
      </c>
      <c r="K2353" t="s">
        <v>9864</v>
      </c>
      <c r="M2353">
        <v>6612123390</v>
      </c>
    </row>
    <row r="2354" spans="1:13" x14ac:dyDescent="0.25">
      <c r="A2354">
        <v>1527399117</v>
      </c>
      <c r="B2354" t="s">
        <v>9865</v>
      </c>
      <c r="C2354">
        <v>3495000</v>
      </c>
      <c r="D2354" t="s">
        <v>9866</v>
      </c>
      <c r="E2354" t="s">
        <v>9867</v>
      </c>
      <c r="F2354">
        <v>2</v>
      </c>
      <c r="I2354" t="str">
        <f>HYPERLINK("tel:+16612129900", "661-212-9900")</f>
        <v>661-212-9900</v>
      </c>
      <c r="J2354" t="s">
        <v>9868</v>
      </c>
      <c r="K2354" t="s">
        <v>5211</v>
      </c>
      <c r="M2354">
        <v>6612129900</v>
      </c>
    </row>
    <row r="2355" spans="1:13" x14ac:dyDescent="0.25">
      <c r="A2355">
        <v>1552996969</v>
      </c>
      <c r="B2355" t="s">
        <v>9869</v>
      </c>
      <c r="C2355">
        <v>895000</v>
      </c>
      <c r="D2355" t="s">
        <v>9870</v>
      </c>
      <c r="E2355" t="s">
        <v>9871</v>
      </c>
      <c r="F2355">
        <v>2</v>
      </c>
      <c r="I2355" t="str">
        <f>HYPERLINK("tel:+16612656513", "661-265-6513")</f>
        <v>661-265-6513</v>
      </c>
      <c r="J2355" t="s">
        <v>9872</v>
      </c>
      <c r="K2355" t="s">
        <v>9827</v>
      </c>
      <c r="M2355">
        <v>6612656513</v>
      </c>
    </row>
    <row r="2356" spans="1:13" x14ac:dyDescent="0.25">
      <c r="A2356">
        <v>9147877898</v>
      </c>
      <c r="B2356" t="s">
        <v>9873</v>
      </c>
      <c r="C2356">
        <v>1100000</v>
      </c>
      <c r="D2356" t="s">
        <v>9874</v>
      </c>
      <c r="E2356" t="s">
        <v>9875</v>
      </c>
      <c r="F2356">
        <v>2</v>
      </c>
      <c r="I2356" t="str">
        <f>HYPERLINK("tel:+16612664400", "661-266-4400")</f>
        <v>661-266-4400</v>
      </c>
      <c r="J2356" t="s">
        <v>9876</v>
      </c>
      <c r="K2356" t="s">
        <v>9877</v>
      </c>
      <c r="M2356">
        <v>6612664400</v>
      </c>
    </row>
    <row r="2357" spans="1:13" x14ac:dyDescent="0.25">
      <c r="A2357">
        <v>9412074189</v>
      </c>
      <c r="B2357" t="s">
        <v>9878</v>
      </c>
      <c r="C2357">
        <v>1999900</v>
      </c>
      <c r="D2357" t="s">
        <v>9879</v>
      </c>
      <c r="E2357" t="s">
        <v>9880</v>
      </c>
      <c r="F2357">
        <v>2</v>
      </c>
      <c r="I2357" t="str">
        <f>HYPERLINK("tel:+16612868600", "661-286-8600")</f>
        <v>661-286-8600</v>
      </c>
      <c r="J2357" t="s">
        <v>9881</v>
      </c>
      <c r="K2357" t="s">
        <v>9882</v>
      </c>
      <c r="M2357">
        <v>6612868600</v>
      </c>
    </row>
    <row r="2358" spans="1:13" x14ac:dyDescent="0.25">
      <c r="A2358">
        <v>1311677950</v>
      </c>
      <c r="B2358" t="s">
        <v>9883</v>
      </c>
      <c r="C2358">
        <v>849000</v>
      </c>
      <c r="D2358" t="s">
        <v>9884</v>
      </c>
      <c r="E2358" t="s">
        <v>9885</v>
      </c>
      <c r="F2358">
        <v>2</v>
      </c>
      <c r="I2358" t="str">
        <f>HYPERLINK("tel:+16612978981", "661-297-8981")</f>
        <v>661-297-8981</v>
      </c>
      <c r="J2358" t="s">
        <v>9886</v>
      </c>
      <c r="K2358" t="s">
        <v>9887</v>
      </c>
      <c r="M2358">
        <v>6612978981</v>
      </c>
    </row>
    <row r="2359" spans="1:13" x14ac:dyDescent="0.25">
      <c r="A2359">
        <v>1822854884</v>
      </c>
      <c r="B2359" t="s">
        <v>9888</v>
      </c>
      <c r="C2359">
        <v>649900</v>
      </c>
      <c r="D2359" t="s">
        <v>9889</v>
      </c>
      <c r="E2359" t="s">
        <v>9890</v>
      </c>
      <c r="F2359">
        <v>2</v>
      </c>
      <c r="I2359" t="str">
        <f>HYPERLINK("tel:+16613134284", "661-313-4284")</f>
        <v>661-313-4284</v>
      </c>
      <c r="J2359" t="s">
        <v>9891</v>
      </c>
      <c r="K2359" t="s">
        <v>82</v>
      </c>
      <c r="M2359">
        <v>6613134284</v>
      </c>
    </row>
    <row r="2360" spans="1:13" x14ac:dyDescent="0.25">
      <c r="A2360">
        <v>1190470732</v>
      </c>
      <c r="B2360" t="s">
        <v>9892</v>
      </c>
      <c r="C2360">
        <v>2500000</v>
      </c>
      <c r="D2360" t="s">
        <v>9893</v>
      </c>
      <c r="E2360" t="s">
        <v>9894</v>
      </c>
      <c r="F2360">
        <v>2</v>
      </c>
      <c r="I2360" t="str">
        <f>HYPERLINK("tel:+16613176900", "661-317-6900")</f>
        <v>661-317-6900</v>
      </c>
      <c r="J2360" t="s">
        <v>9895</v>
      </c>
      <c r="K2360" t="s">
        <v>4</v>
      </c>
      <c r="M2360">
        <v>6613176900</v>
      </c>
    </row>
    <row r="2361" spans="1:13" x14ac:dyDescent="0.25">
      <c r="A2361">
        <v>2581674918</v>
      </c>
      <c r="B2361" t="s">
        <v>9896</v>
      </c>
      <c r="C2361">
        <v>430000</v>
      </c>
      <c r="D2361" t="s">
        <v>9897</v>
      </c>
      <c r="E2361" t="s">
        <v>9898</v>
      </c>
      <c r="F2361">
        <v>2</v>
      </c>
      <c r="I2361" t="str">
        <f>HYPERLINK("tel:+16613425240", "661-342-5240")</f>
        <v>661-342-5240</v>
      </c>
      <c r="J2361" t="s">
        <v>9899</v>
      </c>
      <c r="K2361" t="s">
        <v>9900</v>
      </c>
      <c r="M2361">
        <v>6613425240</v>
      </c>
    </row>
    <row r="2362" spans="1:13" x14ac:dyDescent="0.25">
      <c r="A2362">
        <v>1107379756</v>
      </c>
      <c r="B2362" t="s">
        <v>9901</v>
      </c>
      <c r="C2362">
        <v>1290000</v>
      </c>
      <c r="D2362" t="s">
        <v>9902</v>
      </c>
      <c r="E2362" t="s">
        <v>9903</v>
      </c>
      <c r="F2362">
        <v>2</v>
      </c>
      <c r="I2362" t="str">
        <f>HYPERLINK("tel:+16613602227", "661-360-2227")</f>
        <v>661-360-2227</v>
      </c>
      <c r="J2362" t="s">
        <v>9904</v>
      </c>
      <c r="K2362" t="s">
        <v>9905</v>
      </c>
      <c r="M2362">
        <v>6613602227</v>
      </c>
    </row>
    <row r="2363" spans="1:13" x14ac:dyDescent="0.25">
      <c r="A2363">
        <v>9427726944</v>
      </c>
      <c r="B2363" t="s">
        <v>9906</v>
      </c>
      <c r="C2363">
        <v>450000</v>
      </c>
      <c r="D2363" t="s">
        <v>9907</v>
      </c>
      <c r="E2363" t="s">
        <v>9908</v>
      </c>
      <c r="F2363">
        <v>2</v>
      </c>
      <c r="I2363" t="str">
        <f>HYPERLINK("tel:+16613736597", "661-373-6597")</f>
        <v>661-373-6597</v>
      </c>
      <c r="J2363" t="s">
        <v>9909</v>
      </c>
      <c r="K2363" t="s">
        <v>3942</v>
      </c>
      <c r="M2363">
        <v>6613736597</v>
      </c>
    </row>
    <row r="2364" spans="1:13" x14ac:dyDescent="0.25">
      <c r="A2364">
        <v>1311677950</v>
      </c>
      <c r="B2364" t="s">
        <v>9883</v>
      </c>
      <c r="C2364">
        <v>849000</v>
      </c>
      <c r="D2364" t="s">
        <v>9884</v>
      </c>
      <c r="E2364" t="s">
        <v>9910</v>
      </c>
      <c r="F2364">
        <v>2</v>
      </c>
      <c r="I2364" t="str">
        <f>HYPERLINK("tel:+16616218007", "661-621-8007")</f>
        <v>661-621-8007</v>
      </c>
      <c r="J2364" t="s">
        <v>9911</v>
      </c>
      <c r="K2364" t="s">
        <v>9887</v>
      </c>
      <c r="M2364">
        <v>6616218007</v>
      </c>
    </row>
    <row r="2365" spans="1:13" x14ac:dyDescent="0.25">
      <c r="A2365">
        <v>2789555870</v>
      </c>
      <c r="B2365" t="s">
        <v>9912</v>
      </c>
      <c r="C2365">
        <v>699000</v>
      </c>
      <c r="D2365" t="s">
        <v>9913</v>
      </c>
      <c r="E2365" t="s">
        <v>9914</v>
      </c>
      <c r="F2365">
        <v>2</v>
      </c>
      <c r="I2365" t="str">
        <f>HYPERLINK("tel:+16616444651", "661-644-4651")</f>
        <v>661-644-4651</v>
      </c>
      <c r="J2365" t="s">
        <v>9915</v>
      </c>
      <c r="K2365" t="s">
        <v>9916</v>
      </c>
      <c r="M2365">
        <v>6616444651</v>
      </c>
    </row>
    <row r="2366" spans="1:13" x14ac:dyDescent="0.25">
      <c r="A2366">
        <v>9940281353</v>
      </c>
      <c r="B2366" t="s">
        <v>9917</v>
      </c>
      <c r="C2366">
        <v>650000</v>
      </c>
      <c r="D2366" t="s">
        <v>9918</v>
      </c>
      <c r="E2366" t="s">
        <v>9919</v>
      </c>
      <c r="F2366">
        <v>2</v>
      </c>
      <c r="I2366" t="str">
        <f>HYPERLINK("tel:+16617024747", "661-702-4747")</f>
        <v>661-702-4747</v>
      </c>
      <c r="J2366" t="s">
        <v>9920</v>
      </c>
      <c r="K2366" t="s">
        <v>9921</v>
      </c>
      <c r="M2366">
        <v>6617024747</v>
      </c>
    </row>
    <row r="2367" spans="1:13" x14ac:dyDescent="0.25">
      <c r="A2367">
        <v>1080507159</v>
      </c>
      <c r="B2367" t="s">
        <v>9922</v>
      </c>
      <c r="C2367">
        <v>625000</v>
      </c>
      <c r="D2367" t="s">
        <v>9923</v>
      </c>
      <c r="E2367" t="s">
        <v>9924</v>
      </c>
      <c r="F2367">
        <v>2</v>
      </c>
      <c r="I2367" t="str">
        <f>HYPERLINK("tel:+16617997400", "661-799-7400")</f>
        <v>661-799-7400</v>
      </c>
      <c r="J2367" t="s">
        <v>9925</v>
      </c>
      <c r="K2367" t="s">
        <v>9926</v>
      </c>
      <c r="M2367">
        <v>6617997400</v>
      </c>
    </row>
    <row r="2368" spans="1:13" x14ac:dyDescent="0.25">
      <c r="A2368">
        <v>1545690399</v>
      </c>
      <c r="B2368" t="s">
        <v>9927</v>
      </c>
      <c r="C2368">
        <v>349000</v>
      </c>
      <c r="D2368" t="s">
        <v>9928</v>
      </c>
      <c r="E2368" t="s">
        <v>9929</v>
      </c>
      <c r="F2368">
        <v>2</v>
      </c>
      <c r="I2368" t="str">
        <f>HYPERLINK("tel:+16619641600", "661-964-1600")</f>
        <v>661-964-1600</v>
      </c>
      <c r="J2368" t="s">
        <v>9930</v>
      </c>
      <c r="K2368" t="s">
        <v>9931</v>
      </c>
      <c r="M2368">
        <v>6619641600</v>
      </c>
    </row>
    <row r="2369" spans="1:13" x14ac:dyDescent="0.25">
      <c r="A2369">
        <v>1018067813</v>
      </c>
      <c r="B2369" t="s">
        <v>9932</v>
      </c>
      <c r="C2369">
        <v>1100000</v>
      </c>
      <c r="D2369" t="s">
        <v>9933</v>
      </c>
      <c r="E2369" t="s">
        <v>9934</v>
      </c>
      <c r="F2369">
        <v>2</v>
      </c>
      <c r="I2369" t="str">
        <f>HYPERLINK("tel:+16619642600", "661-964-2600")</f>
        <v>661-964-2600</v>
      </c>
      <c r="J2369" t="s">
        <v>9935</v>
      </c>
      <c r="K2369" t="s">
        <v>9936</v>
      </c>
      <c r="M2369">
        <v>6619642600</v>
      </c>
    </row>
    <row r="2370" spans="1:13" x14ac:dyDescent="0.25">
      <c r="A2370">
        <v>1956826986</v>
      </c>
      <c r="B2370" t="s">
        <v>9937</v>
      </c>
      <c r="C2370">
        <v>3790000</v>
      </c>
      <c r="D2370" t="s">
        <v>9938</v>
      </c>
      <c r="E2370" t="s">
        <v>9939</v>
      </c>
      <c r="F2370">
        <v>2</v>
      </c>
      <c r="I2370" t="str">
        <f>HYPERLINK("tel:+17028454991", "702-845-4991")</f>
        <v>702-845-4991</v>
      </c>
      <c r="J2370" t="s">
        <v>9940</v>
      </c>
      <c r="K2370" t="s">
        <v>9941</v>
      </c>
      <c r="M2370">
        <v>7028454991</v>
      </c>
    </row>
    <row r="2371" spans="1:13" x14ac:dyDescent="0.25">
      <c r="A2371">
        <v>1641022274</v>
      </c>
      <c r="B2371" t="s">
        <v>9942</v>
      </c>
      <c r="C2371">
        <v>777777</v>
      </c>
      <c r="D2371" t="s">
        <v>9943</v>
      </c>
      <c r="E2371" t="s">
        <v>9944</v>
      </c>
      <c r="F2371">
        <v>2</v>
      </c>
      <c r="I2371" t="str">
        <f>HYPERLINK("tel:+17033952531", "703-395-2531")</f>
        <v>703-395-2531</v>
      </c>
      <c r="J2371" t="s">
        <v>9945</v>
      </c>
      <c r="K2371" t="s">
        <v>450</v>
      </c>
      <c r="M2371">
        <v>7033952531</v>
      </c>
    </row>
    <row r="2372" spans="1:13" x14ac:dyDescent="0.25">
      <c r="A2372">
        <v>2347689861</v>
      </c>
      <c r="B2372" t="s">
        <v>9946</v>
      </c>
      <c r="C2372">
        <v>1465000</v>
      </c>
      <c r="D2372" t="s">
        <v>9947</v>
      </c>
      <c r="E2372" t="s">
        <v>9948</v>
      </c>
      <c r="F2372">
        <v>2</v>
      </c>
      <c r="I2372" t="str">
        <f>HYPERLINK("tel:+17142004607", "714-200-4607")</f>
        <v>714-200-4607</v>
      </c>
      <c r="J2372" t="s">
        <v>9949</v>
      </c>
      <c r="K2372" t="s">
        <v>9950</v>
      </c>
      <c r="M2372">
        <v>7142004607</v>
      </c>
    </row>
    <row r="2373" spans="1:13" x14ac:dyDescent="0.25">
      <c r="A2373">
        <v>1894322554</v>
      </c>
      <c r="B2373" t="s">
        <v>9951</v>
      </c>
      <c r="C2373">
        <v>1949000</v>
      </c>
      <c r="D2373" t="s">
        <v>9952</v>
      </c>
      <c r="E2373" t="s">
        <v>9953</v>
      </c>
      <c r="F2373">
        <v>2</v>
      </c>
      <c r="I2373" t="str">
        <f>HYPERLINK("tel:+17142007779", "714-200-7779")</f>
        <v>714-200-7779</v>
      </c>
      <c r="J2373" t="s">
        <v>9954</v>
      </c>
      <c r="K2373" t="s">
        <v>4</v>
      </c>
      <c r="M2373">
        <v>7142007779</v>
      </c>
    </row>
    <row r="2374" spans="1:13" x14ac:dyDescent="0.25">
      <c r="A2374">
        <v>1584913980</v>
      </c>
      <c r="B2374" t="s">
        <v>9955</v>
      </c>
      <c r="C2374">
        <v>212000</v>
      </c>
      <c r="D2374" t="s">
        <v>9956</v>
      </c>
      <c r="E2374" t="s">
        <v>9957</v>
      </c>
      <c r="F2374">
        <v>2</v>
      </c>
      <c r="I2374" t="str">
        <f>HYPERLINK("tel:+17142008212", "714-200-8212")</f>
        <v>714-200-8212</v>
      </c>
      <c r="J2374" t="s">
        <v>9958</v>
      </c>
      <c r="K2374" t="s">
        <v>465</v>
      </c>
      <c r="M2374">
        <v>7142008212</v>
      </c>
    </row>
    <row r="2375" spans="1:13" x14ac:dyDescent="0.25">
      <c r="A2375">
        <v>2251000910</v>
      </c>
      <c r="B2375" t="s">
        <v>9959</v>
      </c>
      <c r="C2375">
        <v>589900</v>
      </c>
      <c r="D2375" t="s">
        <v>9960</v>
      </c>
      <c r="E2375" t="s">
        <v>9961</v>
      </c>
      <c r="F2375">
        <v>2</v>
      </c>
      <c r="I2375" t="str">
        <f>HYPERLINK("tel:+17142040375", "714-204-0375")</f>
        <v>714-204-0375</v>
      </c>
      <c r="J2375" t="s">
        <v>9962</v>
      </c>
      <c r="K2375" t="s">
        <v>9963</v>
      </c>
      <c r="M2375">
        <v>7142040375</v>
      </c>
    </row>
    <row r="2376" spans="1:13" x14ac:dyDescent="0.25">
      <c r="A2376">
        <v>2572311292</v>
      </c>
      <c r="B2376" t="s">
        <v>9964</v>
      </c>
      <c r="C2376">
        <v>1555000</v>
      </c>
      <c r="D2376" t="s">
        <v>9965</v>
      </c>
      <c r="E2376" t="s">
        <v>9966</v>
      </c>
      <c r="F2376">
        <v>2</v>
      </c>
      <c r="I2376" t="str">
        <f>HYPERLINK("tel:+17142061479", "714-206-1479")</f>
        <v>714-206-1479</v>
      </c>
      <c r="J2376" t="s">
        <v>9967</v>
      </c>
      <c r="K2376" t="s">
        <v>1238</v>
      </c>
      <c r="M2376">
        <v>7142061479</v>
      </c>
    </row>
    <row r="2377" spans="1:13" x14ac:dyDescent="0.25">
      <c r="A2377">
        <v>1558075104</v>
      </c>
      <c r="B2377" t="s">
        <v>9968</v>
      </c>
      <c r="C2377">
        <v>1099000</v>
      </c>
      <c r="D2377" t="s">
        <v>9969</v>
      </c>
      <c r="E2377" t="s">
        <v>9970</v>
      </c>
      <c r="F2377">
        <v>2</v>
      </c>
      <c r="I2377" t="str">
        <f>HYPERLINK("tel:+17142200200", "714-220-0200")</f>
        <v>714-220-0200</v>
      </c>
      <c r="J2377" t="s">
        <v>9971</v>
      </c>
      <c r="K2377" t="s">
        <v>158</v>
      </c>
      <c r="M2377">
        <v>7142200200</v>
      </c>
    </row>
    <row r="2378" spans="1:13" x14ac:dyDescent="0.25">
      <c r="A2378">
        <v>2877622935</v>
      </c>
      <c r="B2378" t="s">
        <v>9972</v>
      </c>
      <c r="C2378">
        <v>799000</v>
      </c>
      <c r="D2378" t="s">
        <v>9973</v>
      </c>
      <c r="E2378" t="s">
        <v>9974</v>
      </c>
      <c r="F2378">
        <v>2</v>
      </c>
      <c r="I2378" t="str">
        <f>HYPERLINK("tel:+17142228583", "714-222-8583")</f>
        <v>714-222-8583</v>
      </c>
      <c r="J2378" t="s">
        <v>9975</v>
      </c>
      <c r="K2378" t="s">
        <v>311</v>
      </c>
      <c r="M2378">
        <v>7142228583</v>
      </c>
    </row>
    <row r="2379" spans="1:13" x14ac:dyDescent="0.25">
      <c r="A2379">
        <v>1459951951</v>
      </c>
      <c r="B2379" t="s">
        <v>9976</v>
      </c>
      <c r="C2379">
        <v>1259000</v>
      </c>
      <c r="D2379" t="s">
        <v>9977</v>
      </c>
      <c r="E2379" t="s">
        <v>9978</v>
      </c>
      <c r="F2379">
        <v>2</v>
      </c>
      <c r="I2379" t="str">
        <f>HYPERLINK("tel:+17142242424", "714-224-2424")</f>
        <v>714-224-2424</v>
      </c>
      <c r="J2379" t="s">
        <v>9979</v>
      </c>
      <c r="K2379" t="s">
        <v>9980</v>
      </c>
      <c r="M2379">
        <v>7142242424</v>
      </c>
    </row>
    <row r="2380" spans="1:13" x14ac:dyDescent="0.25">
      <c r="A2380">
        <v>2915386634</v>
      </c>
      <c r="B2380" t="s">
        <v>9981</v>
      </c>
      <c r="C2380">
        <v>1370000</v>
      </c>
      <c r="D2380" t="s">
        <v>9982</v>
      </c>
      <c r="E2380" t="s">
        <v>9983</v>
      </c>
      <c r="F2380">
        <v>2</v>
      </c>
      <c r="I2380" t="str">
        <f>HYPERLINK("tel:+17142248321", "714-224-8321")</f>
        <v>714-224-8321</v>
      </c>
      <c r="J2380" t="s">
        <v>9984</v>
      </c>
      <c r="K2380" t="s">
        <v>9985</v>
      </c>
      <c r="M2380">
        <v>7142248321</v>
      </c>
    </row>
    <row r="2381" spans="1:13" x14ac:dyDescent="0.25">
      <c r="A2381">
        <v>1837053024</v>
      </c>
      <c r="B2381" t="s">
        <v>9986</v>
      </c>
      <c r="C2381">
        <v>950000</v>
      </c>
      <c r="D2381" t="s">
        <v>9987</v>
      </c>
      <c r="E2381" t="s">
        <v>9988</v>
      </c>
      <c r="F2381">
        <v>2</v>
      </c>
      <c r="I2381" t="str">
        <f>HYPERLINK("tel:+17142250039", "714-225-0039")</f>
        <v>714-225-0039</v>
      </c>
      <c r="J2381" t="s">
        <v>9989</v>
      </c>
      <c r="K2381" t="s">
        <v>2078</v>
      </c>
      <c r="M2381">
        <v>7142250039</v>
      </c>
    </row>
    <row r="2382" spans="1:13" x14ac:dyDescent="0.25">
      <c r="A2382">
        <v>9076912844</v>
      </c>
      <c r="B2382" t="s">
        <v>9990</v>
      </c>
      <c r="C2382">
        <v>485000</v>
      </c>
      <c r="D2382" t="s">
        <v>9991</v>
      </c>
      <c r="E2382" t="s">
        <v>9992</v>
      </c>
      <c r="F2382">
        <v>2</v>
      </c>
      <c r="I2382" t="str">
        <f>HYPERLINK("tel:+17142272101", "714-227-2101")</f>
        <v>714-227-2101</v>
      </c>
      <c r="J2382" t="s">
        <v>9993</v>
      </c>
      <c r="K2382" t="s">
        <v>68</v>
      </c>
      <c r="M2382">
        <v>7142272101</v>
      </c>
    </row>
    <row r="2383" spans="1:13" x14ac:dyDescent="0.25">
      <c r="A2383">
        <v>2609562254</v>
      </c>
      <c r="B2383" t="s">
        <v>9994</v>
      </c>
      <c r="C2383">
        <v>1700000</v>
      </c>
      <c r="D2383" t="s">
        <v>9995</v>
      </c>
      <c r="E2383" t="s">
        <v>9996</v>
      </c>
      <c r="F2383">
        <v>2</v>
      </c>
      <c r="I2383" t="str">
        <f>HYPERLINK("tel:+17142347468", "714-234-7468")</f>
        <v>714-234-7468</v>
      </c>
      <c r="J2383" t="s">
        <v>9997</v>
      </c>
      <c r="K2383" t="s">
        <v>9998</v>
      </c>
      <c r="M2383">
        <v>7142347468</v>
      </c>
    </row>
    <row r="2384" spans="1:13" x14ac:dyDescent="0.25">
      <c r="A2384">
        <v>2410078124</v>
      </c>
      <c r="B2384" t="s">
        <v>9999</v>
      </c>
      <c r="C2384">
        <v>1089000</v>
      </c>
      <c r="D2384" t="s">
        <v>10000</v>
      </c>
      <c r="E2384" t="s">
        <v>10001</v>
      </c>
      <c r="F2384">
        <v>2</v>
      </c>
      <c r="I2384" t="str">
        <f>HYPERLINK("tel:+17142402559", "714-240-2559")</f>
        <v>714-240-2559</v>
      </c>
      <c r="J2384" t="s">
        <v>10002</v>
      </c>
      <c r="K2384" t="s">
        <v>10003</v>
      </c>
      <c r="M2384">
        <v>7142402559</v>
      </c>
    </row>
    <row r="2385" spans="1:13" x14ac:dyDescent="0.25">
      <c r="A2385">
        <v>2195970822</v>
      </c>
      <c r="B2385" t="s">
        <v>10004</v>
      </c>
      <c r="C2385">
        <v>800000</v>
      </c>
      <c r="D2385" t="s">
        <v>10005</v>
      </c>
      <c r="E2385" t="s">
        <v>10006</v>
      </c>
      <c r="F2385">
        <v>2</v>
      </c>
      <c r="I2385" t="str">
        <f>HYPERLINK("tel:+17142403504", "714-240-3504")</f>
        <v>714-240-3504</v>
      </c>
      <c r="J2385" t="s">
        <v>10007</v>
      </c>
      <c r="K2385" t="s">
        <v>455</v>
      </c>
      <c r="M2385">
        <v>7142403504</v>
      </c>
    </row>
    <row r="2386" spans="1:13" x14ac:dyDescent="0.25">
      <c r="A2386">
        <v>2819392714</v>
      </c>
      <c r="B2386" t="s">
        <v>5397</v>
      </c>
      <c r="C2386">
        <v>1700000</v>
      </c>
      <c r="D2386" t="s">
        <v>5398</v>
      </c>
      <c r="E2386" t="s">
        <v>10008</v>
      </c>
      <c r="F2386">
        <v>2</v>
      </c>
      <c r="I2386" t="str">
        <f>HYPERLINK("tel:+17142404360", "714-240-4360")</f>
        <v>714-240-4360</v>
      </c>
      <c r="J2386" t="s">
        <v>10009</v>
      </c>
      <c r="K2386" t="s">
        <v>3188</v>
      </c>
      <c r="M2386">
        <v>7142404360</v>
      </c>
    </row>
    <row r="2387" spans="1:13" x14ac:dyDescent="0.25">
      <c r="A2387">
        <v>2699066061</v>
      </c>
      <c r="B2387" t="s">
        <v>10010</v>
      </c>
      <c r="C2387">
        <v>1050000</v>
      </c>
      <c r="D2387" t="s">
        <v>10011</v>
      </c>
      <c r="E2387" t="s">
        <v>10012</v>
      </c>
      <c r="F2387">
        <v>2</v>
      </c>
      <c r="I2387" t="str">
        <f>HYPERLINK("tel:+17142409924", "714-240-9924")</f>
        <v>714-240-9924</v>
      </c>
      <c r="J2387" t="s">
        <v>10013</v>
      </c>
      <c r="K2387" t="s">
        <v>3154</v>
      </c>
      <c r="M2387">
        <v>7142409924</v>
      </c>
    </row>
    <row r="2388" spans="1:13" x14ac:dyDescent="0.25">
      <c r="A2388">
        <v>1763978943</v>
      </c>
      <c r="B2388" t="s">
        <v>10014</v>
      </c>
      <c r="C2388">
        <v>285000</v>
      </c>
      <c r="D2388" t="s">
        <v>10015</v>
      </c>
      <c r="E2388" t="s">
        <v>10016</v>
      </c>
      <c r="F2388">
        <v>2</v>
      </c>
      <c r="I2388" t="str">
        <f>HYPERLINK("tel:+17142482036", "714-248-2036")</f>
        <v>714-248-2036</v>
      </c>
      <c r="J2388" t="s">
        <v>10017</v>
      </c>
      <c r="K2388" t="s">
        <v>2146</v>
      </c>
      <c r="M2388">
        <v>7142482036</v>
      </c>
    </row>
    <row r="2389" spans="1:13" x14ac:dyDescent="0.25">
      <c r="A2389">
        <v>2037975945</v>
      </c>
      <c r="B2389" t="s">
        <v>10018</v>
      </c>
      <c r="C2389">
        <v>870000</v>
      </c>
      <c r="D2389" t="s">
        <v>10019</v>
      </c>
      <c r="E2389" t="s">
        <v>10020</v>
      </c>
      <c r="F2389">
        <v>2</v>
      </c>
      <c r="I2389" t="str">
        <f>HYPERLINK("tel:+17142486292", "714-248-6292")</f>
        <v>714-248-6292</v>
      </c>
      <c r="J2389" t="s">
        <v>10021</v>
      </c>
      <c r="K2389" t="s">
        <v>10022</v>
      </c>
      <c r="M2389">
        <v>7142486292</v>
      </c>
    </row>
    <row r="2390" spans="1:13" x14ac:dyDescent="0.25">
      <c r="A2390">
        <v>1271237218</v>
      </c>
      <c r="B2390" t="s">
        <v>10023</v>
      </c>
      <c r="C2390">
        <v>825000</v>
      </c>
      <c r="D2390" t="s">
        <v>10024</v>
      </c>
      <c r="E2390" t="s">
        <v>10025</v>
      </c>
      <c r="F2390">
        <v>2</v>
      </c>
      <c r="I2390" t="str">
        <f>HYPERLINK("tel:+17142498123", "714-249-8123")</f>
        <v>714-249-8123</v>
      </c>
      <c r="J2390" t="s">
        <v>10026</v>
      </c>
      <c r="K2390" t="s">
        <v>158</v>
      </c>
      <c r="M2390">
        <v>7142498123</v>
      </c>
    </row>
    <row r="2391" spans="1:13" x14ac:dyDescent="0.25">
      <c r="A2391">
        <v>2199943423</v>
      </c>
      <c r="B2391" t="s">
        <v>10027</v>
      </c>
      <c r="C2391">
        <v>529000</v>
      </c>
      <c r="D2391" t="s">
        <v>10028</v>
      </c>
      <c r="E2391" t="s">
        <v>10029</v>
      </c>
      <c r="F2391">
        <v>2</v>
      </c>
      <c r="I2391" t="str">
        <f>HYPERLINK("tel:+17142536017", "714-253-6017")</f>
        <v>714-253-6017</v>
      </c>
      <c r="J2391" t="s">
        <v>10030</v>
      </c>
      <c r="K2391" t="s">
        <v>707</v>
      </c>
      <c r="M2391">
        <v>7142536017</v>
      </c>
    </row>
    <row r="2392" spans="1:13" x14ac:dyDescent="0.25">
      <c r="A2392">
        <v>9480913341</v>
      </c>
      <c r="B2392" t="s">
        <v>10031</v>
      </c>
      <c r="C2392">
        <v>599000</v>
      </c>
      <c r="D2392" t="s">
        <v>10032</v>
      </c>
      <c r="E2392" t="s">
        <v>10033</v>
      </c>
      <c r="F2392">
        <v>2</v>
      </c>
      <c r="I2392" t="str">
        <f>HYPERLINK("tel:+17142623425", "714-262-3425")</f>
        <v>714-262-3425</v>
      </c>
      <c r="J2392" t="s">
        <v>10034</v>
      </c>
      <c r="K2392" t="s">
        <v>10035</v>
      </c>
      <c r="M2392">
        <v>7142623425</v>
      </c>
    </row>
    <row r="2393" spans="1:13" x14ac:dyDescent="0.25">
      <c r="A2393">
        <v>2518722742</v>
      </c>
      <c r="B2393" t="s">
        <v>10036</v>
      </c>
      <c r="C2393">
        <v>1375000</v>
      </c>
      <c r="D2393" t="s">
        <v>10037</v>
      </c>
      <c r="E2393" t="s">
        <v>10038</v>
      </c>
      <c r="F2393">
        <v>2</v>
      </c>
      <c r="I2393" t="str">
        <f>HYPERLINK("tel:+17142628992", "714-262-8992")</f>
        <v>714-262-8992</v>
      </c>
      <c r="J2393" t="s">
        <v>10039</v>
      </c>
      <c r="K2393" t="s">
        <v>912</v>
      </c>
      <c r="M2393">
        <v>7142628992</v>
      </c>
    </row>
    <row r="2394" spans="1:13" x14ac:dyDescent="0.25">
      <c r="A2394">
        <v>9634675707</v>
      </c>
      <c r="B2394" t="s">
        <v>10040</v>
      </c>
      <c r="C2394">
        <v>335000</v>
      </c>
      <c r="D2394" t="s">
        <v>10041</v>
      </c>
      <c r="E2394" t="s">
        <v>10042</v>
      </c>
      <c r="F2394">
        <v>2</v>
      </c>
      <c r="I2394" t="str">
        <f>HYPERLINK("tel:+17142649091", "714-264-9091")</f>
        <v>714-264-9091</v>
      </c>
      <c r="J2394" t="s">
        <v>10043</v>
      </c>
      <c r="K2394" t="s">
        <v>490</v>
      </c>
      <c r="M2394">
        <v>7142649091</v>
      </c>
    </row>
    <row r="2395" spans="1:13" x14ac:dyDescent="0.25">
      <c r="A2395">
        <v>2494258738</v>
      </c>
      <c r="B2395" t="s">
        <v>10044</v>
      </c>
      <c r="C2395">
        <v>1499877</v>
      </c>
      <c r="D2395" t="s">
        <v>10045</v>
      </c>
      <c r="E2395" t="s">
        <v>10046</v>
      </c>
      <c r="F2395">
        <v>2</v>
      </c>
      <c r="I2395" t="str">
        <f>HYPERLINK("tel:+17142671413", "714-267-1413")</f>
        <v>714-267-1413</v>
      </c>
      <c r="J2395" t="s">
        <v>10047</v>
      </c>
      <c r="K2395" t="s">
        <v>10048</v>
      </c>
      <c r="M2395">
        <v>7142671413</v>
      </c>
    </row>
    <row r="2396" spans="1:13" x14ac:dyDescent="0.25">
      <c r="A2396">
        <v>2217909031</v>
      </c>
      <c r="B2396" t="s">
        <v>10049</v>
      </c>
      <c r="C2396">
        <v>1399000</v>
      </c>
      <c r="D2396" t="s">
        <v>10050</v>
      </c>
      <c r="E2396" t="s">
        <v>10051</v>
      </c>
      <c r="F2396">
        <v>2</v>
      </c>
      <c r="I2396" t="str">
        <f>HYPERLINK("tel:+17142679102", "714-267-9102")</f>
        <v>714-267-9102</v>
      </c>
      <c r="J2396" t="s">
        <v>10052</v>
      </c>
      <c r="K2396" t="s">
        <v>2078</v>
      </c>
      <c r="M2396">
        <v>7142679102</v>
      </c>
    </row>
    <row r="2397" spans="1:13" x14ac:dyDescent="0.25">
      <c r="A2397">
        <v>2547921696</v>
      </c>
      <c r="B2397" t="s">
        <v>10053</v>
      </c>
      <c r="C2397">
        <v>929000</v>
      </c>
      <c r="D2397" t="s">
        <v>10054</v>
      </c>
      <c r="E2397" t="s">
        <v>10055</v>
      </c>
      <c r="F2397">
        <v>2</v>
      </c>
      <c r="I2397" t="str">
        <f>HYPERLINK("tel:+17142696841", "714-269-6841")</f>
        <v>714-269-6841</v>
      </c>
      <c r="J2397" t="s">
        <v>10056</v>
      </c>
      <c r="K2397" t="s">
        <v>2113</v>
      </c>
      <c r="M2397">
        <v>7142696841</v>
      </c>
    </row>
    <row r="2398" spans="1:13" x14ac:dyDescent="0.25">
      <c r="A2398">
        <v>2168680721</v>
      </c>
      <c r="B2398" t="s">
        <v>10057</v>
      </c>
      <c r="C2398">
        <v>1299000</v>
      </c>
      <c r="D2398" t="s">
        <v>10058</v>
      </c>
      <c r="E2398" t="s">
        <v>10059</v>
      </c>
      <c r="F2398">
        <v>2</v>
      </c>
      <c r="I2398" t="str">
        <f>HYPERLINK("tel:+17142702424", "714-270-2424")</f>
        <v>714-270-2424</v>
      </c>
      <c r="J2398" t="s">
        <v>10060</v>
      </c>
      <c r="K2398" t="s">
        <v>24</v>
      </c>
      <c r="M2398">
        <v>7142702424</v>
      </c>
    </row>
    <row r="2399" spans="1:13" x14ac:dyDescent="0.25">
      <c r="A2399">
        <v>2491222252</v>
      </c>
      <c r="B2399" t="s">
        <v>10061</v>
      </c>
      <c r="C2399">
        <v>675000</v>
      </c>
      <c r="D2399" t="s">
        <v>10062</v>
      </c>
      <c r="E2399" t="s">
        <v>10063</v>
      </c>
      <c r="F2399">
        <v>2</v>
      </c>
      <c r="I2399" t="str">
        <f>HYPERLINK("tel:+17142707355", "714-270-7355")</f>
        <v>714-270-7355</v>
      </c>
      <c r="J2399" t="s">
        <v>10064</v>
      </c>
      <c r="K2399" t="s">
        <v>3154</v>
      </c>
      <c r="M2399">
        <v>7142707355</v>
      </c>
    </row>
    <row r="2400" spans="1:13" x14ac:dyDescent="0.25">
      <c r="A2400">
        <v>1258010192</v>
      </c>
      <c r="B2400" t="s">
        <v>10065</v>
      </c>
      <c r="C2400">
        <v>1450000</v>
      </c>
      <c r="D2400" t="s">
        <v>10066</v>
      </c>
      <c r="E2400" t="s">
        <v>10067</v>
      </c>
      <c r="F2400">
        <v>2</v>
      </c>
      <c r="I2400" t="str">
        <f>HYPERLINK("tel:+17142716945", "714-271-6945")</f>
        <v>714-271-6945</v>
      </c>
      <c r="J2400" t="s">
        <v>10068</v>
      </c>
      <c r="K2400" t="s">
        <v>306</v>
      </c>
      <c r="M2400">
        <v>7142716945</v>
      </c>
    </row>
    <row r="2401" spans="1:13" x14ac:dyDescent="0.25">
      <c r="A2401">
        <v>1674811632</v>
      </c>
      <c r="B2401" t="s">
        <v>10069</v>
      </c>
      <c r="C2401">
        <v>2248999</v>
      </c>
      <c r="D2401" t="s">
        <v>10070</v>
      </c>
      <c r="E2401" t="s">
        <v>10071</v>
      </c>
      <c r="F2401">
        <v>2</v>
      </c>
      <c r="I2401" t="str">
        <f>HYPERLINK("tel:+17142739193", "714-273-9193")</f>
        <v>714-273-9193</v>
      </c>
      <c r="J2401" t="s">
        <v>10072</v>
      </c>
      <c r="K2401" t="s">
        <v>561</v>
      </c>
      <c r="M2401">
        <v>7142739193</v>
      </c>
    </row>
    <row r="2402" spans="1:13" x14ac:dyDescent="0.25">
      <c r="A2402">
        <v>2560980395</v>
      </c>
      <c r="B2402" t="s">
        <v>10073</v>
      </c>
      <c r="C2402">
        <v>1595000</v>
      </c>
      <c r="D2402" t="s">
        <v>10074</v>
      </c>
      <c r="E2402" t="s">
        <v>10075</v>
      </c>
      <c r="F2402">
        <v>2</v>
      </c>
      <c r="I2402" t="str">
        <f>HYPERLINK("tel:+17142743178", "714-274-3178")</f>
        <v>714-274-3178</v>
      </c>
      <c r="J2402" t="s">
        <v>10076</v>
      </c>
      <c r="K2402" t="s">
        <v>3264</v>
      </c>
      <c r="M2402">
        <v>7142743178</v>
      </c>
    </row>
    <row r="2403" spans="1:13" x14ac:dyDescent="0.25">
      <c r="A2403">
        <v>2115075848</v>
      </c>
      <c r="B2403" t="s">
        <v>10077</v>
      </c>
      <c r="C2403">
        <v>484500</v>
      </c>
      <c r="D2403" t="s">
        <v>10078</v>
      </c>
      <c r="E2403" t="s">
        <v>10079</v>
      </c>
      <c r="F2403">
        <v>2</v>
      </c>
      <c r="I2403" t="str">
        <f>HYPERLINK("tel:+17142832232", "714-283-2232")</f>
        <v>714-283-2232</v>
      </c>
      <c r="J2403" t="s">
        <v>10080</v>
      </c>
      <c r="K2403" t="s">
        <v>10081</v>
      </c>
      <c r="M2403">
        <v>7142832232</v>
      </c>
    </row>
    <row r="2404" spans="1:13" x14ac:dyDescent="0.25">
      <c r="A2404">
        <v>2892583025</v>
      </c>
      <c r="B2404" t="s">
        <v>10082</v>
      </c>
      <c r="C2404">
        <v>1700000</v>
      </c>
      <c r="D2404" t="s">
        <v>10083</v>
      </c>
      <c r="E2404" t="s">
        <v>10084</v>
      </c>
      <c r="F2404">
        <v>2</v>
      </c>
      <c r="I2404" t="str">
        <f>HYPERLINK("tel:+17142870960", "714-287-0960")</f>
        <v>714-287-0960</v>
      </c>
      <c r="J2404" t="s">
        <v>10085</v>
      </c>
      <c r="K2404" t="s">
        <v>68</v>
      </c>
      <c r="M2404">
        <v>7142870960</v>
      </c>
    </row>
    <row r="2405" spans="1:13" x14ac:dyDescent="0.25">
      <c r="A2405">
        <v>9119103360</v>
      </c>
      <c r="B2405" t="s">
        <v>10086</v>
      </c>
      <c r="C2405">
        <v>3488888</v>
      </c>
      <c r="D2405" t="s">
        <v>10087</v>
      </c>
      <c r="E2405" t="s">
        <v>10088</v>
      </c>
      <c r="F2405">
        <v>2</v>
      </c>
      <c r="I2405" t="str">
        <f>HYPERLINK("tel:+17142927869", "714-292-7869")</f>
        <v>714-292-7869</v>
      </c>
      <c r="J2405" t="s">
        <v>10089</v>
      </c>
      <c r="K2405" t="s">
        <v>3232</v>
      </c>
      <c r="M2405">
        <v>7142927869</v>
      </c>
    </row>
    <row r="2406" spans="1:13" x14ac:dyDescent="0.25">
      <c r="A2406">
        <v>2347831893</v>
      </c>
      <c r="B2406" t="s">
        <v>10090</v>
      </c>
      <c r="C2406">
        <v>160000</v>
      </c>
      <c r="D2406" t="s">
        <v>10091</v>
      </c>
      <c r="E2406" t="s">
        <v>10092</v>
      </c>
      <c r="F2406">
        <v>2</v>
      </c>
      <c r="I2406" t="str">
        <f>HYPERLINK("tel:+17142963264", "714-296-3264")</f>
        <v>714-296-3264</v>
      </c>
      <c r="J2406" t="s">
        <v>10093</v>
      </c>
      <c r="K2406" t="s">
        <v>10094</v>
      </c>
      <c r="M2406">
        <v>7142963264</v>
      </c>
    </row>
    <row r="2407" spans="1:13" x14ac:dyDescent="0.25">
      <c r="A2407">
        <v>1706788959</v>
      </c>
      <c r="B2407" t="s">
        <v>10095</v>
      </c>
      <c r="C2407">
        <v>1278900</v>
      </c>
      <c r="D2407" t="s">
        <v>10096</v>
      </c>
      <c r="E2407" t="s">
        <v>10097</v>
      </c>
      <c r="F2407">
        <v>2</v>
      </c>
      <c r="I2407" t="str">
        <f>HYPERLINK("tel:+17142991942", "714-299-1942")</f>
        <v>714-299-1942</v>
      </c>
      <c r="J2407" t="s">
        <v>10098</v>
      </c>
      <c r="K2407" t="s">
        <v>158</v>
      </c>
      <c r="M2407">
        <v>7142991942</v>
      </c>
    </row>
    <row r="2408" spans="1:13" x14ac:dyDescent="0.25">
      <c r="A2408">
        <v>1541994803</v>
      </c>
      <c r="B2408" t="s">
        <v>10099</v>
      </c>
      <c r="C2408">
        <v>749000</v>
      </c>
      <c r="D2408" t="s">
        <v>10100</v>
      </c>
      <c r="E2408" t="s">
        <v>10101</v>
      </c>
      <c r="F2408">
        <v>2</v>
      </c>
      <c r="I2408" t="str">
        <f>HYPERLINK("tel:+17142994096", "714-299-4096")</f>
        <v>714-299-4096</v>
      </c>
      <c r="J2408" t="s">
        <v>10102</v>
      </c>
      <c r="K2408" t="s">
        <v>10103</v>
      </c>
      <c r="M2408">
        <v>7142994096</v>
      </c>
    </row>
    <row r="2409" spans="1:13" x14ac:dyDescent="0.25">
      <c r="A2409">
        <v>1321081379</v>
      </c>
      <c r="B2409" t="s">
        <v>10104</v>
      </c>
      <c r="C2409">
        <v>1599000</v>
      </c>
      <c r="D2409" t="s">
        <v>10105</v>
      </c>
      <c r="E2409" t="s">
        <v>10106</v>
      </c>
      <c r="F2409">
        <v>2</v>
      </c>
      <c r="I2409" t="str">
        <f>HYPERLINK("tel:+17143050195", "714-305-0195")</f>
        <v>714-305-0195</v>
      </c>
      <c r="J2409" t="s">
        <v>10107</v>
      </c>
      <c r="K2409" t="s">
        <v>10108</v>
      </c>
      <c r="M2409">
        <v>7143050195</v>
      </c>
    </row>
    <row r="2410" spans="1:13" x14ac:dyDescent="0.25">
      <c r="A2410">
        <v>1331957960</v>
      </c>
      <c r="B2410" t="s">
        <v>9073</v>
      </c>
      <c r="C2410">
        <v>775000</v>
      </c>
      <c r="D2410" t="s">
        <v>9074</v>
      </c>
      <c r="E2410" t="s">
        <v>10109</v>
      </c>
      <c r="F2410">
        <v>2</v>
      </c>
      <c r="I2410" t="str">
        <f>HYPERLINK("tel:+17143073826", "714-307-3826")</f>
        <v>714-307-3826</v>
      </c>
      <c r="J2410" t="s">
        <v>10110</v>
      </c>
      <c r="K2410" t="s">
        <v>306</v>
      </c>
      <c r="M2410">
        <v>7143073826</v>
      </c>
    </row>
    <row r="2411" spans="1:13" x14ac:dyDescent="0.25">
      <c r="A2411">
        <v>1706788959</v>
      </c>
      <c r="B2411" t="s">
        <v>10095</v>
      </c>
      <c r="C2411">
        <v>1278900</v>
      </c>
      <c r="D2411" t="s">
        <v>10096</v>
      </c>
      <c r="E2411" t="s">
        <v>10111</v>
      </c>
      <c r="F2411">
        <v>2</v>
      </c>
      <c r="I2411" t="str">
        <f>HYPERLINK("tel:+17143080161", "714-308-0161")</f>
        <v>714-308-0161</v>
      </c>
      <c r="J2411" t="s">
        <v>10112</v>
      </c>
      <c r="K2411" t="s">
        <v>158</v>
      </c>
      <c r="M2411">
        <v>7143080161</v>
      </c>
    </row>
    <row r="2412" spans="1:13" x14ac:dyDescent="0.25">
      <c r="A2412">
        <v>2166928947</v>
      </c>
      <c r="B2412" t="s">
        <v>10113</v>
      </c>
      <c r="C2412">
        <v>1295000</v>
      </c>
      <c r="D2412" t="s">
        <v>10114</v>
      </c>
      <c r="E2412" t="s">
        <v>10115</v>
      </c>
      <c r="F2412">
        <v>2</v>
      </c>
      <c r="I2412" t="str">
        <f>HYPERLINK("tel:+17143088884", "714-308-8884")</f>
        <v>714-308-8884</v>
      </c>
      <c r="J2412" t="s">
        <v>10116</v>
      </c>
      <c r="K2412" t="s">
        <v>10117</v>
      </c>
      <c r="M2412">
        <v>7143088884</v>
      </c>
    </row>
    <row r="2413" spans="1:13" x14ac:dyDescent="0.25">
      <c r="A2413">
        <v>1030163836</v>
      </c>
      <c r="B2413" t="s">
        <v>10118</v>
      </c>
      <c r="C2413">
        <v>1789000</v>
      </c>
      <c r="D2413" t="s">
        <v>10119</v>
      </c>
      <c r="E2413" t="s">
        <v>10120</v>
      </c>
      <c r="F2413">
        <v>2</v>
      </c>
      <c r="I2413" t="str">
        <f>HYPERLINK("tel:+17143091707", "714-309-1707")</f>
        <v>714-309-1707</v>
      </c>
      <c r="J2413" t="s">
        <v>10121</v>
      </c>
      <c r="K2413" t="s">
        <v>3232</v>
      </c>
      <c r="M2413">
        <v>7143091707</v>
      </c>
    </row>
    <row r="2414" spans="1:13" x14ac:dyDescent="0.25">
      <c r="A2414">
        <v>1401188360</v>
      </c>
      <c r="B2414" t="s">
        <v>10122</v>
      </c>
      <c r="C2414">
        <v>1500000</v>
      </c>
      <c r="D2414" t="s">
        <v>10123</v>
      </c>
      <c r="E2414" t="s">
        <v>10124</v>
      </c>
      <c r="F2414">
        <v>2</v>
      </c>
      <c r="I2414" t="str">
        <f>HYPERLINK("tel:+17143092708", "714-309-2708")</f>
        <v>714-309-2708</v>
      </c>
      <c r="J2414" t="s">
        <v>10125</v>
      </c>
      <c r="K2414" t="s">
        <v>377</v>
      </c>
      <c r="M2414">
        <v>7143092708</v>
      </c>
    </row>
    <row r="2415" spans="1:13" x14ac:dyDescent="0.25">
      <c r="A2415">
        <v>2705888233</v>
      </c>
      <c r="B2415" t="s">
        <v>10126</v>
      </c>
      <c r="C2415">
        <v>2495000</v>
      </c>
      <c r="D2415" t="s">
        <v>10127</v>
      </c>
      <c r="E2415" t="s">
        <v>10128</v>
      </c>
      <c r="F2415">
        <v>2</v>
      </c>
      <c r="I2415" t="str">
        <f>HYPERLINK("tel:+17143106908", "714-310-6908")</f>
        <v>714-310-6908</v>
      </c>
      <c r="J2415" t="s">
        <v>10129</v>
      </c>
      <c r="K2415" t="s">
        <v>10130</v>
      </c>
      <c r="M2415">
        <v>7143106908</v>
      </c>
    </row>
    <row r="2416" spans="1:13" x14ac:dyDescent="0.25">
      <c r="A2416">
        <v>2582266373</v>
      </c>
      <c r="B2416" t="s">
        <v>10131</v>
      </c>
      <c r="C2416">
        <v>845000</v>
      </c>
      <c r="D2416" t="s">
        <v>10132</v>
      </c>
      <c r="E2416" t="s">
        <v>10133</v>
      </c>
      <c r="F2416">
        <v>2</v>
      </c>
      <c r="I2416" t="str">
        <f>HYPERLINK("tel:+17143132087", "714-313-2087")</f>
        <v>714-313-2087</v>
      </c>
      <c r="J2416" t="s">
        <v>10134</v>
      </c>
      <c r="K2416" t="s">
        <v>10135</v>
      </c>
      <c r="M2416">
        <v>7143132087</v>
      </c>
    </row>
    <row r="2417" spans="1:13" x14ac:dyDescent="0.25">
      <c r="A2417">
        <v>9352532884</v>
      </c>
      <c r="B2417" t="s">
        <v>10136</v>
      </c>
      <c r="C2417">
        <v>89999</v>
      </c>
      <c r="D2417" t="s">
        <v>10137</v>
      </c>
      <c r="E2417" t="s">
        <v>10138</v>
      </c>
      <c r="F2417">
        <v>2</v>
      </c>
      <c r="I2417" t="str">
        <f>HYPERLINK("tel:+17143133268", "714-313-3268")</f>
        <v>714-313-3268</v>
      </c>
      <c r="J2417" t="s">
        <v>10139</v>
      </c>
      <c r="K2417" t="s">
        <v>10140</v>
      </c>
      <c r="M2417">
        <v>7143133268</v>
      </c>
    </row>
    <row r="2418" spans="1:13" x14ac:dyDescent="0.25">
      <c r="A2418">
        <v>2532396319</v>
      </c>
      <c r="B2418" t="s">
        <v>10141</v>
      </c>
      <c r="C2418">
        <v>1800000</v>
      </c>
      <c r="D2418" t="s">
        <v>10142</v>
      </c>
      <c r="E2418" t="s">
        <v>10143</v>
      </c>
      <c r="F2418">
        <v>2</v>
      </c>
      <c r="I2418" t="str">
        <f>HYPERLINK("tel:+17143150887", "714-315-0887")</f>
        <v>714-315-0887</v>
      </c>
      <c r="J2418" t="s">
        <v>10144</v>
      </c>
      <c r="K2418" t="s">
        <v>556</v>
      </c>
      <c r="M2418">
        <v>7143150887</v>
      </c>
    </row>
    <row r="2419" spans="1:13" x14ac:dyDescent="0.25">
      <c r="A2419">
        <v>1041401764</v>
      </c>
      <c r="B2419" t="s">
        <v>10145</v>
      </c>
      <c r="C2419">
        <v>300000</v>
      </c>
      <c r="D2419" t="s">
        <v>10146</v>
      </c>
      <c r="E2419" t="s">
        <v>10147</v>
      </c>
      <c r="F2419">
        <v>2</v>
      </c>
      <c r="I2419" t="str">
        <f>HYPERLINK("tel:+17143155718", "714-315-5718")</f>
        <v>714-315-5718</v>
      </c>
      <c r="J2419" t="s">
        <v>10148</v>
      </c>
      <c r="K2419" t="s">
        <v>1238</v>
      </c>
      <c r="M2419">
        <v>7143155718</v>
      </c>
    </row>
    <row r="2420" spans="1:13" x14ac:dyDescent="0.25">
      <c r="A2420">
        <v>1851589064</v>
      </c>
      <c r="B2420" t="s">
        <v>10149</v>
      </c>
      <c r="C2420">
        <v>165000</v>
      </c>
      <c r="D2420" t="s">
        <v>10150</v>
      </c>
      <c r="E2420" t="s">
        <v>10151</v>
      </c>
      <c r="F2420">
        <v>2</v>
      </c>
      <c r="I2420" t="str">
        <f>HYPERLINK("tel:+17143172763", "714-317-2763")</f>
        <v>714-317-2763</v>
      </c>
      <c r="J2420" t="s">
        <v>10152</v>
      </c>
      <c r="K2420" t="s">
        <v>10153</v>
      </c>
      <c r="M2420">
        <v>7143172763</v>
      </c>
    </row>
    <row r="2421" spans="1:13" x14ac:dyDescent="0.25">
      <c r="A2421">
        <v>9420628206</v>
      </c>
      <c r="B2421" t="s">
        <v>10154</v>
      </c>
      <c r="C2421">
        <v>339900</v>
      </c>
      <c r="D2421" t="s">
        <v>10155</v>
      </c>
      <c r="E2421" t="s">
        <v>10156</v>
      </c>
      <c r="F2421">
        <v>2</v>
      </c>
      <c r="I2421" t="str">
        <f>HYPERLINK("tel:+17143175766", "714-317-5766")</f>
        <v>714-317-5766</v>
      </c>
      <c r="J2421" t="s">
        <v>10157</v>
      </c>
      <c r="K2421" t="s">
        <v>10158</v>
      </c>
      <c r="M2421">
        <v>7143175766</v>
      </c>
    </row>
    <row r="2422" spans="1:13" x14ac:dyDescent="0.25">
      <c r="A2422">
        <v>2445809864</v>
      </c>
      <c r="B2422" t="s">
        <v>10159</v>
      </c>
      <c r="C2422">
        <v>2095000</v>
      </c>
      <c r="D2422" t="s">
        <v>10160</v>
      </c>
      <c r="E2422" t="s">
        <v>10161</v>
      </c>
      <c r="F2422">
        <v>2</v>
      </c>
      <c r="I2422" t="str">
        <f>HYPERLINK("tel:+17143175943", "714-317-5943")</f>
        <v>714-317-5943</v>
      </c>
      <c r="J2422" t="s">
        <v>10162</v>
      </c>
      <c r="K2422" t="s">
        <v>10163</v>
      </c>
      <c r="M2422">
        <v>7143175943</v>
      </c>
    </row>
    <row r="2423" spans="1:13" x14ac:dyDescent="0.25">
      <c r="A2423">
        <v>2495270177</v>
      </c>
      <c r="B2423" t="s">
        <v>10164</v>
      </c>
      <c r="C2423">
        <v>630000</v>
      </c>
      <c r="D2423" t="s">
        <v>10165</v>
      </c>
      <c r="E2423" t="s">
        <v>10166</v>
      </c>
      <c r="F2423">
        <v>2</v>
      </c>
      <c r="I2423" t="str">
        <f>HYPERLINK("tel:+17143182194", "714-318-2194")</f>
        <v>714-318-2194</v>
      </c>
      <c r="J2423" t="s">
        <v>10167</v>
      </c>
      <c r="K2423" t="s">
        <v>9963</v>
      </c>
      <c r="M2423">
        <v>7143182194</v>
      </c>
    </row>
    <row r="2424" spans="1:13" x14ac:dyDescent="0.25">
      <c r="A2424">
        <v>1311920255</v>
      </c>
      <c r="B2424" t="s">
        <v>10168</v>
      </c>
      <c r="C2424">
        <v>329000</v>
      </c>
      <c r="D2424" t="s">
        <v>10169</v>
      </c>
      <c r="E2424" t="s">
        <v>10170</v>
      </c>
      <c r="F2424">
        <v>2</v>
      </c>
      <c r="I2424" t="str">
        <f>HYPERLINK("tel:+17143182747", "714-318-2747")</f>
        <v>714-318-2747</v>
      </c>
      <c r="J2424" t="s">
        <v>10171</v>
      </c>
      <c r="K2424" t="s">
        <v>561</v>
      </c>
      <c r="M2424">
        <v>7143182747</v>
      </c>
    </row>
    <row r="2425" spans="1:13" x14ac:dyDescent="0.25">
      <c r="A2425">
        <v>2856499872</v>
      </c>
      <c r="B2425" t="s">
        <v>10172</v>
      </c>
      <c r="C2425">
        <v>599000</v>
      </c>
      <c r="D2425" t="s">
        <v>10173</v>
      </c>
      <c r="E2425" t="s">
        <v>10174</v>
      </c>
      <c r="F2425">
        <v>2</v>
      </c>
      <c r="I2425" t="str">
        <f>HYPERLINK("tel:+17143192042", "714-319-2042")</f>
        <v>714-319-2042</v>
      </c>
      <c r="J2425" t="s">
        <v>10175</v>
      </c>
      <c r="K2425" t="s">
        <v>10176</v>
      </c>
      <c r="M2425">
        <v>7143192042</v>
      </c>
    </row>
    <row r="2426" spans="1:13" x14ac:dyDescent="0.25">
      <c r="A2426">
        <v>2414288684</v>
      </c>
      <c r="B2426" t="s">
        <v>10177</v>
      </c>
      <c r="C2426">
        <v>14000000</v>
      </c>
      <c r="D2426" t="s">
        <v>10178</v>
      </c>
      <c r="E2426" t="s">
        <v>10179</v>
      </c>
      <c r="F2426">
        <v>2</v>
      </c>
      <c r="I2426" t="str">
        <f>HYPERLINK("tel:+17143235262", "714-323-5262")</f>
        <v>714-323-5262</v>
      </c>
      <c r="J2426" t="s">
        <v>10180</v>
      </c>
      <c r="K2426" t="s">
        <v>1610</v>
      </c>
      <c r="M2426">
        <v>7143235262</v>
      </c>
    </row>
    <row r="2427" spans="1:13" x14ac:dyDescent="0.25">
      <c r="A2427">
        <v>2705007273</v>
      </c>
      <c r="B2427" t="s">
        <v>10181</v>
      </c>
      <c r="C2427">
        <v>1649000</v>
      </c>
      <c r="D2427" t="s">
        <v>10182</v>
      </c>
      <c r="E2427" t="s">
        <v>10183</v>
      </c>
      <c r="F2427">
        <v>2</v>
      </c>
      <c r="I2427" t="str">
        <f>HYPERLINK("tel:+17143284776", "714-328-4776")</f>
        <v>714-328-4776</v>
      </c>
      <c r="J2427" t="s">
        <v>10184</v>
      </c>
      <c r="K2427" t="s">
        <v>63</v>
      </c>
      <c r="M2427">
        <v>7143284776</v>
      </c>
    </row>
    <row r="2428" spans="1:13" x14ac:dyDescent="0.25">
      <c r="A2428">
        <v>1379635651</v>
      </c>
      <c r="B2428" t="s">
        <v>10185</v>
      </c>
      <c r="C2428">
        <v>1024000</v>
      </c>
      <c r="D2428" t="s">
        <v>10186</v>
      </c>
      <c r="E2428" t="s">
        <v>10187</v>
      </c>
      <c r="F2428">
        <v>2</v>
      </c>
      <c r="I2428" t="str">
        <f>HYPERLINK("tel:+17143295132", "714-329-5132")</f>
        <v>714-329-5132</v>
      </c>
      <c r="J2428" t="s">
        <v>10188</v>
      </c>
      <c r="K2428" t="s">
        <v>10189</v>
      </c>
      <c r="M2428">
        <v>7143295132</v>
      </c>
    </row>
    <row r="2429" spans="1:13" x14ac:dyDescent="0.25">
      <c r="A2429">
        <v>1230307841</v>
      </c>
      <c r="B2429" t="s">
        <v>10190</v>
      </c>
      <c r="C2429">
        <v>749900</v>
      </c>
      <c r="D2429" t="s">
        <v>10191</v>
      </c>
      <c r="E2429" t="s">
        <v>10192</v>
      </c>
      <c r="F2429">
        <v>2</v>
      </c>
      <c r="I2429" t="str">
        <f>HYPERLINK("tel:+17143296155", "714-329-6155")</f>
        <v>714-329-6155</v>
      </c>
      <c r="J2429" t="s">
        <v>10193</v>
      </c>
      <c r="K2429" t="s">
        <v>306</v>
      </c>
      <c r="M2429">
        <v>7143296155</v>
      </c>
    </row>
    <row r="2430" spans="1:13" x14ac:dyDescent="0.25">
      <c r="A2430">
        <v>9725771377</v>
      </c>
      <c r="B2430" t="s">
        <v>10194</v>
      </c>
      <c r="C2430">
        <v>999000</v>
      </c>
      <c r="D2430" t="s">
        <v>10195</v>
      </c>
      <c r="E2430" t="s">
        <v>10196</v>
      </c>
      <c r="F2430">
        <v>2</v>
      </c>
      <c r="I2430" t="str">
        <f>HYPERLINK("tel:+17143308517", "714-330-8517")</f>
        <v>714-330-8517</v>
      </c>
      <c r="J2430" t="s">
        <v>10197</v>
      </c>
      <c r="K2430" t="s">
        <v>4</v>
      </c>
      <c r="M2430">
        <v>7143308517</v>
      </c>
    </row>
    <row r="2431" spans="1:13" x14ac:dyDescent="0.25">
      <c r="A2431">
        <v>9963026604</v>
      </c>
      <c r="B2431" t="s">
        <v>10198</v>
      </c>
      <c r="C2431">
        <v>1799900</v>
      </c>
      <c r="D2431" t="s">
        <v>10199</v>
      </c>
      <c r="E2431" t="s">
        <v>10200</v>
      </c>
      <c r="F2431">
        <v>2</v>
      </c>
      <c r="I2431" t="str">
        <f>HYPERLINK("tel:+17143309558", "714-330-9558")</f>
        <v>714-330-9558</v>
      </c>
      <c r="J2431" t="s">
        <v>10201</v>
      </c>
      <c r="K2431" t="s">
        <v>158</v>
      </c>
      <c r="M2431">
        <v>7143309558</v>
      </c>
    </row>
    <row r="2432" spans="1:13" x14ac:dyDescent="0.25">
      <c r="A2432">
        <v>1865092940</v>
      </c>
      <c r="B2432" t="s">
        <v>10202</v>
      </c>
      <c r="C2432">
        <v>499900</v>
      </c>
      <c r="D2432" t="s">
        <v>10203</v>
      </c>
      <c r="E2432" t="s">
        <v>10204</v>
      </c>
      <c r="F2432">
        <v>2</v>
      </c>
      <c r="I2432" t="str">
        <f>HYPERLINK("tel:+17143343545", "714-334-3545")</f>
        <v>714-334-3545</v>
      </c>
      <c r="J2432" t="s">
        <v>10205</v>
      </c>
      <c r="K2432" t="s">
        <v>10206</v>
      </c>
      <c r="M2432">
        <v>7143343545</v>
      </c>
    </row>
    <row r="2433" spans="1:13" x14ac:dyDescent="0.25">
      <c r="A2433">
        <v>1045317286</v>
      </c>
      <c r="B2433" t="s">
        <v>10207</v>
      </c>
      <c r="C2433">
        <v>470000</v>
      </c>
      <c r="D2433" t="s">
        <v>10208</v>
      </c>
      <c r="E2433" t="s">
        <v>10209</v>
      </c>
      <c r="F2433">
        <v>2</v>
      </c>
      <c r="I2433" t="str">
        <f>HYPERLINK("tel:+17143355565", "714-335-5565")</f>
        <v>714-335-5565</v>
      </c>
      <c r="J2433" t="s">
        <v>10210</v>
      </c>
      <c r="K2433" t="s">
        <v>10108</v>
      </c>
      <c r="M2433">
        <v>7143355565</v>
      </c>
    </row>
    <row r="2434" spans="1:13" x14ac:dyDescent="0.25">
      <c r="A2434">
        <v>9505780604</v>
      </c>
      <c r="B2434" t="s">
        <v>10211</v>
      </c>
      <c r="C2434">
        <v>889000</v>
      </c>
      <c r="D2434" t="s">
        <v>10212</v>
      </c>
      <c r="E2434" t="s">
        <v>10213</v>
      </c>
      <c r="F2434">
        <v>2</v>
      </c>
      <c r="I2434" t="str">
        <f>HYPERLINK("tel:+17143359196", "714-335-9196")</f>
        <v>714-335-9196</v>
      </c>
      <c r="J2434" t="s">
        <v>10214</v>
      </c>
      <c r="K2434" t="s">
        <v>2500</v>
      </c>
      <c r="M2434">
        <v>7143359196</v>
      </c>
    </row>
    <row r="2435" spans="1:13" x14ac:dyDescent="0.25">
      <c r="A2435">
        <v>1930107489</v>
      </c>
      <c r="B2435" t="s">
        <v>10215</v>
      </c>
      <c r="C2435">
        <v>1850000</v>
      </c>
      <c r="D2435" t="s">
        <v>10216</v>
      </c>
      <c r="E2435" t="s">
        <v>10217</v>
      </c>
      <c r="F2435">
        <v>2</v>
      </c>
      <c r="I2435" t="str">
        <f>HYPERLINK("tel:+17143365239", "714-336-5239")</f>
        <v>714-336-5239</v>
      </c>
      <c r="J2435" t="s">
        <v>10218</v>
      </c>
      <c r="K2435" t="s">
        <v>2500</v>
      </c>
      <c r="M2435">
        <v>7143365239</v>
      </c>
    </row>
    <row r="2436" spans="1:13" x14ac:dyDescent="0.25">
      <c r="A2436">
        <v>1170325846</v>
      </c>
      <c r="B2436" t="s">
        <v>10219</v>
      </c>
      <c r="C2436">
        <v>590000</v>
      </c>
      <c r="D2436" t="s">
        <v>10220</v>
      </c>
      <c r="E2436" t="s">
        <v>10221</v>
      </c>
      <c r="F2436">
        <v>2</v>
      </c>
      <c r="I2436" t="str">
        <f>HYPERLINK("tel:+17143369133", "714-336-9133")</f>
        <v>714-336-9133</v>
      </c>
      <c r="J2436" t="s">
        <v>10222</v>
      </c>
      <c r="K2436" t="s">
        <v>10223</v>
      </c>
      <c r="M2436">
        <v>7143369133</v>
      </c>
    </row>
    <row r="2437" spans="1:13" x14ac:dyDescent="0.25">
      <c r="A2437">
        <v>1495715884</v>
      </c>
      <c r="B2437" t="s">
        <v>10224</v>
      </c>
      <c r="C2437">
        <v>565000</v>
      </c>
      <c r="D2437" t="s">
        <v>10225</v>
      </c>
      <c r="E2437" t="s">
        <v>10226</v>
      </c>
      <c r="F2437">
        <v>2</v>
      </c>
      <c r="I2437" t="str">
        <f>HYPERLINK("tel:+17143372816", "714-337-2816")</f>
        <v>714-337-2816</v>
      </c>
      <c r="J2437" t="s">
        <v>10227</v>
      </c>
      <c r="K2437" t="s">
        <v>1238</v>
      </c>
      <c r="M2437">
        <v>7143372816</v>
      </c>
    </row>
    <row r="2438" spans="1:13" x14ac:dyDescent="0.25">
      <c r="A2438">
        <v>2033339041</v>
      </c>
      <c r="B2438" t="s">
        <v>10228</v>
      </c>
      <c r="C2438">
        <v>930000</v>
      </c>
      <c r="D2438" t="s">
        <v>10229</v>
      </c>
      <c r="E2438" t="s">
        <v>10230</v>
      </c>
      <c r="F2438">
        <v>2</v>
      </c>
      <c r="I2438" t="str">
        <f>HYPERLINK("tel:+17143420149", "714-342-0149")</f>
        <v>714-342-0149</v>
      </c>
      <c r="J2438" t="s">
        <v>10231</v>
      </c>
      <c r="K2438" t="s">
        <v>1238</v>
      </c>
      <c r="M2438">
        <v>7143420149</v>
      </c>
    </row>
    <row r="2439" spans="1:13" x14ac:dyDescent="0.25">
      <c r="A2439">
        <v>1335371905</v>
      </c>
      <c r="B2439" t="s">
        <v>10232</v>
      </c>
      <c r="C2439">
        <v>720000</v>
      </c>
      <c r="D2439" t="s">
        <v>10233</v>
      </c>
      <c r="E2439" t="s">
        <v>10234</v>
      </c>
      <c r="F2439">
        <v>2</v>
      </c>
      <c r="I2439" t="str">
        <f>HYPERLINK("tel:+17143420347", "714-342-0347")</f>
        <v>714-342-0347</v>
      </c>
      <c r="J2439" t="s">
        <v>10235</v>
      </c>
      <c r="K2439" t="s">
        <v>2078</v>
      </c>
      <c r="M2439">
        <v>7143420347</v>
      </c>
    </row>
    <row r="2440" spans="1:13" x14ac:dyDescent="0.25">
      <c r="A2440">
        <v>1769369849</v>
      </c>
      <c r="B2440" t="s">
        <v>10236</v>
      </c>
      <c r="C2440">
        <v>1795000</v>
      </c>
      <c r="D2440" t="s">
        <v>10237</v>
      </c>
      <c r="E2440" t="s">
        <v>10238</v>
      </c>
      <c r="F2440">
        <v>2</v>
      </c>
      <c r="I2440" t="str">
        <f>HYPERLINK("tel:+17143424509", "714-342-4509")</f>
        <v>714-342-4509</v>
      </c>
      <c r="J2440" t="s">
        <v>10239</v>
      </c>
      <c r="K2440" t="s">
        <v>158</v>
      </c>
      <c r="M2440">
        <v>7143424509</v>
      </c>
    </row>
    <row r="2441" spans="1:13" x14ac:dyDescent="0.25">
      <c r="A2441">
        <v>1576742192</v>
      </c>
      <c r="B2441" t="s">
        <v>10240</v>
      </c>
      <c r="C2441">
        <v>1495000</v>
      </c>
      <c r="D2441" t="s">
        <v>10241</v>
      </c>
      <c r="E2441" t="s">
        <v>10242</v>
      </c>
      <c r="F2441">
        <v>2</v>
      </c>
      <c r="I2441" t="str">
        <f>HYPERLINK("tel:+17143429636", "714-342-9636")</f>
        <v>714-342-9636</v>
      </c>
      <c r="J2441" t="s">
        <v>10243</v>
      </c>
      <c r="K2441" t="s">
        <v>1238</v>
      </c>
      <c r="M2441">
        <v>7143429636</v>
      </c>
    </row>
    <row r="2442" spans="1:13" x14ac:dyDescent="0.25">
      <c r="A2442">
        <v>1407948291</v>
      </c>
      <c r="B2442" t="s">
        <v>10244</v>
      </c>
      <c r="C2442">
        <v>639000</v>
      </c>
      <c r="D2442" t="s">
        <v>10245</v>
      </c>
      <c r="E2442" t="s">
        <v>10246</v>
      </c>
      <c r="F2442">
        <v>2</v>
      </c>
      <c r="I2442" t="str">
        <f>HYPERLINK("tel:+17143432650", "714-343-2650")</f>
        <v>714-343-2650</v>
      </c>
      <c r="J2442" t="s">
        <v>10247</v>
      </c>
      <c r="K2442" t="s">
        <v>1238</v>
      </c>
      <c r="M2442">
        <v>7143432650</v>
      </c>
    </row>
    <row r="2443" spans="1:13" x14ac:dyDescent="0.25">
      <c r="A2443">
        <v>2917731239</v>
      </c>
      <c r="B2443" t="s">
        <v>10248</v>
      </c>
      <c r="C2443">
        <v>1180000</v>
      </c>
      <c r="D2443" t="s">
        <v>10249</v>
      </c>
      <c r="E2443" t="s">
        <v>10250</v>
      </c>
      <c r="F2443">
        <v>2</v>
      </c>
      <c r="I2443" t="str">
        <f>HYPERLINK("tel:+17143437633", "714-343-7633")</f>
        <v>714-343-7633</v>
      </c>
      <c r="J2443" t="s">
        <v>10251</v>
      </c>
      <c r="K2443" t="s">
        <v>306</v>
      </c>
      <c r="M2443">
        <v>7143437633</v>
      </c>
    </row>
    <row r="2444" spans="1:13" x14ac:dyDescent="0.25">
      <c r="A2444">
        <v>1507643215</v>
      </c>
      <c r="B2444" t="s">
        <v>10252</v>
      </c>
      <c r="C2444">
        <v>1400000</v>
      </c>
      <c r="D2444" t="s">
        <v>10253</v>
      </c>
      <c r="E2444" t="s">
        <v>10254</v>
      </c>
      <c r="F2444">
        <v>2</v>
      </c>
      <c r="I2444" t="str">
        <f>HYPERLINK("tel:+17143497399", "714-349-7399")</f>
        <v>714-349-7399</v>
      </c>
      <c r="J2444" t="s">
        <v>10255</v>
      </c>
      <c r="K2444" t="s">
        <v>10206</v>
      </c>
      <c r="M2444">
        <v>7143497399</v>
      </c>
    </row>
    <row r="2445" spans="1:13" x14ac:dyDescent="0.25">
      <c r="A2445">
        <v>2539807166</v>
      </c>
      <c r="B2445" t="s">
        <v>10256</v>
      </c>
      <c r="C2445">
        <v>639900</v>
      </c>
      <c r="D2445" t="s">
        <v>10257</v>
      </c>
      <c r="E2445" t="s">
        <v>10258</v>
      </c>
      <c r="F2445">
        <v>2</v>
      </c>
      <c r="I2445" t="str">
        <f>HYPERLINK("tel:+17143506565", "714-350-6565")</f>
        <v>714-350-6565</v>
      </c>
      <c r="J2445" t="s">
        <v>10259</v>
      </c>
      <c r="K2445" t="s">
        <v>505</v>
      </c>
      <c r="M2445">
        <v>7143506565</v>
      </c>
    </row>
    <row r="2446" spans="1:13" x14ac:dyDescent="0.25">
      <c r="A2446">
        <v>1401188360</v>
      </c>
      <c r="B2446" t="s">
        <v>10122</v>
      </c>
      <c r="C2446">
        <v>1500000</v>
      </c>
      <c r="D2446" t="s">
        <v>10123</v>
      </c>
      <c r="E2446" t="s">
        <v>10260</v>
      </c>
      <c r="F2446">
        <v>2</v>
      </c>
      <c r="I2446" t="str">
        <f>HYPERLINK("tel:+17143509861", "714-350-9861")</f>
        <v>714-350-9861</v>
      </c>
      <c r="J2446" t="s">
        <v>10261</v>
      </c>
      <c r="K2446" t="s">
        <v>377</v>
      </c>
      <c r="M2446">
        <v>7143509861</v>
      </c>
    </row>
    <row r="2447" spans="1:13" x14ac:dyDescent="0.25">
      <c r="A2447">
        <v>2177981706</v>
      </c>
      <c r="B2447" t="s">
        <v>10262</v>
      </c>
      <c r="C2447">
        <v>2075000</v>
      </c>
      <c r="D2447" t="s">
        <v>10263</v>
      </c>
      <c r="E2447" t="s">
        <v>10264</v>
      </c>
      <c r="F2447">
        <v>2</v>
      </c>
      <c r="I2447" t="str">
        <f>HYPERLINK("tel:+17143560140", "714-356-0140")</f>
        <v>714-356-0140</v>
      </c>
      <c r="J2447" t="s">
        <v>10265</v>
      </c>
      <c r="K2447" t="s">
        <v>306</v>
      </c>
      <c r="M2447">
        <v>7143560140</v>
      </c>
    </row>
    <row r="2448" spans="1:13" x14ac:dyDescent="0.25">
      <c r="A2448">
        <v>2178539748</v>
      </c>
      <c r="B2448" t="s">
        <v>10266</v>
      </c>
      <c r="C2448">
        <v>579000</v>
      </c>
      <c r="D2448" t="s">
        <v>10267</v>
      </c>
      <c r="E2448" t="s">
        <v>10268</v>
      </c>
      <c r="F2448">
        <v>2</v>
      </c>
      <c r="I2448" t="str">
        <f>HYPERLINK("tel:+17143574866", "714-357-4866")</f>
        <v>714-357-4866</v>
      </c>
      <c r="J2448" t="s">
        <v>10269</v>
      </c>
      <c r="K2448" t="s">
        <v>158</v>
      </c>
      <c r="M2448">
        <v>7143574866</v>
      </c>
    </row>
    <row r="2449" spans="1:13" x14ac:dyDescent="0.25">
      <c r="A2449">
        <v>2571399239</v>
      </c>
      <c r="B2449" t="s">
        <v>10270</v>
      </c>
      <c r="C2449">
        <v>1174000</v>
      </c>
      <c r="D2449" t="s">
        <v>10271</v>
      </c>
      <c r="E2449" t="s">
        <v>10272</v>
      </c>
      <c r="F2449">
        <v>2</v>
      </c>
      <c r="I2449" t="str">
        <f>HYPERLINK("tel:+17143658931", "714-365-8931")</f>
        <v>714-365-8931</v>
      </c>
      <c r="J2449" t="s">
        <v>10273</v>
      </c>
      <c r="K2449" t="s">
        <v>10274</v>
      </c>
      <c r="M2449">
        <v>7143658931</v>
      </c>
    </row>
    <row r="2450" spans="1:13" x14ac:dyDescent="0.25">
      <c r="A2450">
        <v>9679874476</v>
      </c>
      <c r="B2450" t="s">
        <v>10275</v>
      </c>
      <c r="C2450">
        <v>694999</v>
      </c>
      <c r="D2450" t="s">
        <v>10276</v>
      </c>
      <c r="E2450" t="s">
        <v>10277</v>
      </c>
      <c r="F2450">
        <v>2</v>
      </c>
      <c r="I2450" t="str">
        <f>HYPERLINK("tel:+17143662186", "714-366-2186")</f>
        <v>714-366-2186</v>
      </c>
      <c r="J2450" t="s">
        <v>10278</v>
      </c>
      <c r="K2450" t="s">
        <v>10279</v>
      </c>
      <c r="M2450">
        <v>7143662186</v>
      </c>
    </row>
    <row r="2451" spans="1:13" x14ac:dyDescent="0.25">
      <c r="A2451">
        <v>1494907130</v>
      </c>
      <c r="B2451" t="s">
        <v>10280</v>
      </c>
      <c r="C2451">
        <v>699800</v>
      </c>
      <c r="D2451" t="s">
        <v>10281</v>
      </c>
      <c r="E2451" t="s">
        <v>10282</v>
      </c>
      <c r="F2451">
        <v>2</v>
      </c>
      <c r="I2451" t="str">
        <f>HYPERLINK("tel:+17143695017", "714-369-5017")</f>
        <v>714-369-5017</v>
      </c>
      <c r="J2451" t="s">
        <v>10283</v>
      </c>
      <c r="K2451" t="s">
        <v>3661</v>
      </c>
      <c r="M2451">
        <v>7143695017</v>
      </c>
    </row>
    <row r="2452" spans="1:13" x14ac:dyDescent="0.25">
      <c r="A2452">
        <v>2602952304</v>
      </c>
      <c r="B2452" t="s">
        <v>10284</v>
      </c>
      <c r="C2452">
        <v>8995000</v>
      </c>
      <c r="D2452" t="s">
        <v>10285</v>
      </c>
      <c r="E2452" t="s">
        <v>10286</v>
      </c>
      <c r="F2452">
        <v>2</v>
      </c>
      <c r="I2452" t="str">
        <f>HYPERLINK("tel:+17143713692", "714-371-3692")</f>
        <v>714-371-3692</v>
      </c>
      <c r="J2452" t="s">
        <v>10287</v>
      </c>
      <c r="K2452" t="s">
        <v>4</v>
      </c>
      <c r="M2452">
        <v>7143713692</v>
      </c>
    </row>
    <row r="2453" spans="1:13" x14ac:dyDescent="0.25">
      <c r="A2453">
        <v>1707386437</v>
      </c>
      <c r="B2453" t="s">
        <v>10288</v>
      </c>
      <c r="C2453">
        <v>584000</v>
      </c>
      <c r="D2453" t="s">
        <v>10289</v>
      </c>
      <c r="E2453" t="s">
        <v>10290</v>
      </c>
      <c r="F2453">
        <v>2</v>
      </c>
      <c r="I2453" t="str">
        <f>HYPERLINK("tel:+17143735700", "714-373-5700")</f>
        <v>714-373-5700</v>
      </c>
      <c r="J2453" t="s">
        <v>10291</v>
      </c>
      <c r="K2453" t="s">
        <v>10292</v>
      </c>
      <c r="M2453">
        <v>7143735700</v>
      </c>
    </row>
    <row r="2454" spans="1:13" x14ac:dyDescent="0.25">
      <c r="A2454">
        <v>1535101613</v>
      </c>
      <c r="B2454" t="s">
        <v>10293</v>
      </c>
      <c r="C2454">
        <v>1490000</v>
      </c>
      <c r="D2454" t="s">
        <v>10294</v>
      </c>
      <c r="E2454" t="s">
        <v>10295</v>
      </c>
      <c r="F2454">
        <v>2</v>
      </c>
      <c r="I2454" t="str">
        <f>HYPERLINK("tel:+17143780000", "714-378-0000")</f>
        <v>714-378-0000</v>
      </c>
      <c r="J2454" t="s">
        <v>10296</v>
      </c>
      <c r="K2454" t="s">
        <v>122</v>
      </c>
      <c r="M2454">
        <v>7143780000</v>
      </c>
    </row>
    <row r="2455" spans="1:13" x14ac:dyDescent="0.25">
      <c r="A2455">
        <v>1528025025</v>
      </c>
      <c r="B2455" t="s">
        <v>10297</v>
      </c>
      <c r="C2455">
        <v>569000</v>
      </c>
      <c r="D2455" t="s">
        <v>10298</v>
      </c>
      <c r="E2455" t="s">
        <v>10299</v>
      </c>
      <c r="F2455">
        <v>2</v>
      </c>
      <c r="I2455" t="str">
        <f>HYPERLINK("tel:+17143813577", "714-381-3577")</f>
        <v>714-381-3577</v>
      </c>
      <c r="J2455" t="s">
        <v>10300</v>
      </c>
      <c r="K2455" t="s">
        <v>10301</v>
      </c>
      <c r="M2455">
        <v>7143813577</v>
      </c>
    </row>
    <row r="2456" spans="1:13" x14ac:dyDescent="0.25">
      <c r="A2456">
        <v>2677664037</v>
      </c>
      <c r="B2456" t="s">
        <v>10302</v>
      </c>
      <c r="C2456">
        <v>1348000</v>
      </c>
      <c r="D2456" t="s">
        <v>10303</v>
      </c>
      <c r="E2456" t="s">
        <v>10304</v>
      </c>
      <c r="F2456">
        <v>2</v>
      </c>
      <c r="I2456" t="str">
        <f>HYPERLINK("tel:+17143830180", "714-383-0180")</f>
        <v>714-383-0180</v>
      </c>
      <c r="J2456" t="s">
        <v>10305</v>
      </c>
      <c r="K2456" t="s">
        <v>10306</v>
      </c>
      <c r="M2456">
        <v>7143830180</v>
      </c>
    </row>
    <row r="2457" spans="1:13" x14ac:dyDescent="0.25">
      <c r="A2457">
        <v>1623804003</v>
      </c>
      <c r="B2457" t="s">
        <v>10307</v>
      </c>
      <c r="C2457">
        <v>1399999</v>
      </c>
      <c r="D2457" t="s">
        <v>10308</v>
      </c>
      <c r="E2457" t="s">
        <v>10309</v>
      </c>
      <c r="F2457">
        <v>2</v>
      </c>
      <c r="I2457" t="str">
        <f>HYPERLINK("tel:+17143900671", "714-390-0671")</f>
        <v>714-390-0671</v>
      </c>
      <c r="J2457" t="s">
        <v>10310</v>
      </c>
      <c r="K2457" t="s">
        <v>158</v>
      </c>
      <c r="M2457">
        <v>7143900671</v>
      </c>
    </row>
    <row r="2458" spans="1:13" x14ac:dyDescent="0.25">
      <c r="A2458">
        <v>1929559872</v>
      </c>
      <c r="B2458" t="s">
        <v>9205</v>
      </c>
      <c r="C2458">
        <v>1079000</v>
      </c>
      <c r="D2458" t="s">
        <v>9206</v>
      </c>
      <c r="E2458" t="s">
        <v>10311</v>
      </c>
      <c r="F2458">
        <v>2</v>
      </c>
      <c r="I2458" t="str">
        <f>HYPERLINK("tel:+17143906281", "714-390-6281")</f>
        <v>714-390-6281</v>
      </c>
      <c r="J2458" t="s">
        <v>10312</v>
      </c>
      <c r="K2458" t="s">
        <v>8595</v>
      </c>
      <c r="M2458">
        <v>7143906281</v>
      </c>
    </row>
    <row r="2459" spans="1:13" x14ac:dyDescent="0.25">
      <c r="A2459">
        <v>2476144341</v>
      </c>
      <c r="B2459" t="s">
        <v>10313</v>
      </c>
      <c r="C2459">
        <v>1125000</v>
      </c>
      <c r="D2459" t="s">
        <v>10314</v>
      </c>
      <c r="E2459" t="s">
        <v>10315</v>
      </c>
      <c r="F2459">
        <v>2</v>
      </c>
      <c r="I2459" t="str">
        <f>HYPERLINK("tel:+17143925716", "714-392-5716")</f>
        <v>714-392-5716</v>
      </c>
      <c r="J2459" t="s">
        <v>10316</v>
      </c>
      <c r="K2459" t="s">
        <v>158</v>
      </c>
      <c r="M2459">
        <v>7143925716</v>
      </c>
    </row>
    <row r="2460" spans="1:13" x14ac:dyDescent="0.25">
      <c r="A2460">
        <v>2943055633</v>
      </c>
      <c r="B2460" t="s">
        <v>10317</v>
      </c>
      <c r="C2460">
        <v>1900000</v>
      </c>
      <c r="D2460" t="s">
        <v>10318</v>
      </c>
      <c r="E2460" t="s">
        <v>10319</v>
      </c>
      <c r="F2460">
        <v>2</v>
      </c>
      <c r="I2460" t="str">
        <f>HYPERLINK("tel:+17143966388", "714-396-6388")</f>
        <v>714-396-6388</v>
      </c>
      <c r="J2460" t="s">
        <v>10320</v>
      </c>
      <c r="K2460" t="s">
        <v>5382</v>
      </c>
      <c r="M2460">
        <v>7143966388</v>
      </c>
    </row>
    <row r="2461" spans="1:13" x14ac:dyDescent="0.25">
      <c r="A2461">
        <v>1513567921</v>
      </c>
      <c r="B2461" t="s">
        <v>10321</v>
      </c>
      <c r="C2461">
        <v>999000</v>
      </c>
      <c r="D2461" t="s">
        <v>10322</v>
      </c>
      <c r="E2461" t="s">
        <v>10323</v>
      </c>
      <c r="F2461">
        <v>2</v>
      </c>
      <c r="I2461" t="str">
        <f>HYPERLINK("tel:+17143967295", "714-396-7295")</f>
        <v>714-396-7295</v>
      </c>
      <c r="J2461" t="s">
        <v>10324</v>
      </c>
      <c r="K2461" t="s">
        <v>10325</v>
      </c>
      <c r="M2461">
        <v>7143967295</v>
      </c>
    </row>
    <row r="2462" spans="1:13" x14ac:dyDescent="0.25">
      <c r="A2462">
        <v>1142005930</v>
      </c>
      <c r="B2462" t="s">
        <v>10326</v>
      </c>
      <c r="C2462">
        <v>2999000</v>
      </c>
      <c r="D2462" t="s">
        <v>10327</v>
      </c>
      <c r="E2462" t="s">
        <v>10328</v>
      </c>
      <c r="F2462">
        <v>2</v>
      </c>
      <c r="I2462" t="str">
        <f>HYPERLINK("tel:+17143968139", "714-396-8139")</f>
        <v>714-396-8139</v>
      </c>
      <c r="J2462" t="s">
        <v>10329</v>
      </c>
      <c r="K2462" t="s">
        <v>306</v>
      </c>
      <c r="M2462">
        <v>7143968139</v>
      </c>
    </row>
    <row r="2463" spans="1:13" x14ac:dyDescent="0.25">
      <c r="A2463">
        <v>9799536255</v>
      </c>
      <c r="B2463" t="s">
        <v>10330</v>
      </c>
      <c r="C2463">
        <v>229000</v>
      </c>
      <c r="D2463" t="s">
        <v>10331</v>
      </c>
      <c r="E2463" t="s">
        <v>10332</v>
      </c>
      <c r="F2463">
        <v>2</v>
      </c>
      <c r="I2463" t="str">
        <f>HYPERLINK("tel:+17143974139", "714-397-4139")</f>
        <v>714-397-4139</v>
      </c>
      <c r="J2463" t="s">
        <v>10333</v>
      </c>
      <c r="K2463" t="s">
        <v>4</v>
      </c>
      <c r="M2463">
        <v>7143974139</v>
      </c>
    </row>
    <row r="2464" spans="1:13" x14ac:dyDescent="0.25">
      <c r="A2464">
        <v>1929971540</v>
      </c>
      <c r="B2464" t="s">
        <v>10334</v>
      </c>
      <c r="C2464">
        <v>1480000</v>
      </c>
      <c r="D2464" t="s">
        <v>10335</v>
      </c>
      <c r="E2464" t="s">
        <v>10336</v>
      </c>
      <c r="F2464">
        <v>2</v>
      </c>
      <c r="I2464" t="str">
        <f>HYPERLINK("tel:+17143996066", "714-399-6066")</f>
        <v>714-399-6066</v>
      </c>
      <c r="J2464" t="s">
        <v>10337</v>
      </c>
      <c r="K2464" t="s">
        <v>10338</v>
      </c>
      <c r="M2464">
        <v>7143996066</v>
      </c>
    </row>
    <row r="2465" spans="1:13" x14ac:dyDescent="0.25">
      <c r="A2465">
        <v>1635660870</v>
      </c>
      <c r="B2465" t="s">
        <v>10339</v>
      </c>
      <c r="C2465">
        <v>549000</v>
      </c>
      <c r="D2465" t="s">
        <v>10340</v>
      </c>
      <c r="E2465" t="s">
        <v>10341</v>
      </c>
      <c r="F2465">
        <v>2</v>
      </c>
      <c r="I2465" t="str">
        <f>HYPERLINK("tel:+17144012671", "714-401-2671")</f>
        <v>714-401-2671</v>
      </c>
      <c r="J2465" t="s">
        <v>10342</v>
      </c>
      <c r="K2465" t="s">
        <v>24</v>
      </c>
      <c r="M2465">
        <v>7144012671</v>
      </c>
    </row>
    <row r="2466" spans="1:13" x14ac:dyDescent="0.25">
      <c r="A2466">
        <v>1789439745</v>
      </c>
      <c r="B2466" t="s">
        <v>10343</v>
      </c>
      <c r="C2466">
        <v>1239000</v>
      </c>
      <c r="D2466" t="s">
        <v>10344</v>
      </c>
      <c r="E2466" t="s">
        <v>10345</v>
      </c>
      <c r="F2466">
        <v>2</v>
      </c>
      <c r="I2466" t="str">
        <f>HYPERLINK("tel:+17144019621", "714-401-9621")</f>
        <v>714-401-9621</v>
      </c>
      <c r="J2466" t="s">
        <v>10346</v>
      </c>
      <c r="K2466" t="s">
        <v>306</v>
      </c>
      <c r="M2466">
        <v>7144019621</v>
      </c>
    </row>
    <row r="2467" spans="1:13" x14ac:dyDescent="0.25">
      <c r="A2467">
        <v>2378189849</v>
      </c>
      <c r="B2467" t="s">
        <v>10347</v>
      </c>
      <c r="C2467">
        <v>1380000</v>
      </c>
      <c r="D2467" t="s">
        <v>10348</v>
      </c>
      <c r="E2467" t="s">
        <v>10349</v>
      </c>
      <c r="F2467">
        <v>2</v>
      </c>
      <c r="I2467" t="str">
        <f>HYPERLINK("tel:+17144023711", "714-402-3711")</f>
        <v>714-402-3711</v>
      </c>
      <c r="J2467" t="s">
        <v>10350</v>
      </c>
      <c r="K2467" t="s">
        <v>3188</v>
      </c>
      <c r="M2467">
        <v>7144023711</v>
      </c>
    </row>
    <row r="2468" spans="1:13" x14ac:dyDescent="0.25">
      <c r="A2468">
        <v>1483010427</v>
      </c>
      <c r="B2468" t="s">
        <v>10351</v>
      </c>
      <c r="C2468">
        <v>689000</v>
      </c>
      <c r="D2468" t="s">
        <v>10352</v>
      </c>
      <c r="E2468" t="s">
        <v>10353</v>
      </c>
      <c r="F2468">
        <v>2</v>
      </c>
      <c r="I2468" t="str">
        <f>HYPERLINK("tel:+17144026047", "714-402-6047")</f>
        <v>714-402-6047</v>
      </c>
      <c r="J2468" t="s">
        <v>10354</v>
      </c>
      <c r="K2468" t="s">
        <v>158</v>
      </c>
      <c r="M2468">
        <v>7144026047</v>
      </c>
    </row>
    <row r="2469" spans="1:13" x14ac:dyDescent="0.25">
      <c r="A2469">
        <v>1615062953</v>
      </c>
      <c r="B2469" t="s">
        <v>10355</v>
      </c>
      <c r="C2469">
        <v>949000</v>
      </c>
      <c r="D2469" t="s">
        <v>10356</v>
      </c>
      <c r="E2469" t="s">
        <v>10357</v>
      </c>
      <c r="F2469">
        <v>2</v>
      </c>
      <c r="I2469" t="str">
        <f>HYPERLINK("tel:+17144037656", "714-403-7656")</f>
        <v>714-403-7656</v>
      </c>
      <c r="J2469" t="s">
        <v>10358</v>
      </c>
      <c r="K2469" t="s">
        <v>306</v>
      </c>
      <c r="M2469">
        <v>7144037656</v>
      </c>
    </row>
    <row r="2470" spans="1:13" x14ac:dyDescent="0.25">
      <c r="A2470">
        <v>1944328374</v>
      </c>
      <c r="B2470" t="s">
        <v>10359</v>
      </c>
      <c r="C2470">
        <v>1149000</v>
      </c>
      <c r="D2470" t="s">
        <v>10360</v>
      </c>
      <c r="E2470" t="s">
        <v>10361</v>
      </c>
      <c r="F2470">
        <v>2</v>
      </c>
      <c r="I2470" t="str">
        <f>HYPERLINK("tel:+17144040609", "714-404-0609")</f>
        <v>714-404-0609</v>
      </c>
      <c r="J2470" t="s">
        <v>10362</v>
      </c>
      <c r="K2470" t="s">
        <v>561</v>
      </c>
      <c r="M2470">
        <v>7144040609</v>
      </c>
    </row>
    <row r="2471" spans="1:13" x14ac:dyDescent="0.25">
      <c r="A2471">
        <v>2881059626</v>
      </c>
      <c r="B2471" t="s">
        <v>10363</v>
      </c>
      <c r="C2471">
        <v>3174000</v>
      </c>
      <c r="D2471" t="s">
        <v>10364</v>
      </c>
      <c r="E2471" t="s">
        <v>10365</v>
      </c>
      <c r="F2471">
        <v>2</v>
      </c>
      <c r="I2471" t="str">
        <f>HYPERLINK("tel:+17144045252", "714-404-5252")</f>
        <v>714-404-5252</v>
      </c>
      <c r="J2471" t="s">
        <v>10366</v>
      </c>
      <c r="K2471" t="s">
        <v>10367</v>
      </c>
      <c r="M2471">
        <v>7144045252</v>
      </c>
    </row>
    <row r="2472" spans="1:13" x14ac:dyDescent="0.25">
      <c r="A2472">
        <v>1875237317</v>
      </c>
      <c r="B2472" t="s">
        <v>10368</v>
      </c>
      <c r="C2472">
        <v>2749999</v>
      </c>
      <c r="D2472" t="s">
        <v>10369</v>
      </c>
      <c r="E2472" t="s">
        <v>10370</v>
      </c>
      <c r="F2472">
        <v>2</v>
      </c>
      <c r="I2472" t="str">
        <f>HYPERLINK("tel:+17144120766", "714-412-0766")</f>
        <v>714-412-0766</v>
      </c>
      <c r="J2472" t="s">
        <v>10371</v>
      </c>
      <c r="K2472" t="s">
        <v>10372</v>
      </c>
      <c r="M2472">
        <v>7144120766</v>
      </c>
    </row>
    <row r="2473" spans="1:13" x14ac:dyDescent="0.25">
      <c r="A2473">
        <v>1343085955</v>
      </c>
      <c r="B2473" t="s">
        <v>10373</v>
      </c>
      <c r="C2473">
        <v>750000</v>
      </c>
      <c r="D2473" t="s">
        <v>10374</v>
      </c>
      <c r="E2473" t="s">
        <v>10375</v>
      </c>
      <c r="F2473">
        <v>2</v>
      </c>
      <c r="I2473" t="str">
        <f>HYPERLINK("tel:+17144125019", "714-412-5019")</f>
        <v>714-412-5019</v>
      </c>
      <c r="J2473" t="s">
        <v>10376</v>
      </c>
      <c r="K2473" t="s">
        <v>10377</v>
      </c>
      <c r="M2473">
        <v>7144125019</v>
      </c>
    </row>
    <row r="2474" spans="1:13" x14ac:dyDescent="0.25">
      <c r="A2474">
        <v>1748547634</v>
      </c>
      <c r="B2474" t="s">
        <v>10378</v>
      </c>
      <c r="C2474">
        <v>3850000</v>
      </c>
      <c r="D2474" t="s">
        <v>10379</v>
      </c>
      <c r="E2474" t="s">
        <v>10380</v>
      </c>
      <c r="F2474">
        <v>2</v>
      </c>
      <c r="I2474" t="str">
        <f>HYPERLINK("tel:+17144148809", "714-414-8809")</f>
        <v>714-414-8809</v>
      </c>
      <c r="J2474" t="s">
        <v>10381</v>
      </c>
      <c r="K2474" t="s">
        <v>1663</v>
      </c>
      <c r="M2474">
        <v>7144148809</v>
      </c>
    </row>
    <row r="2475" spans="1:13" x14ac:dyDescent="0.25">
      <c r="A2475">
        <v>1748547634</v>
      </c>
      <c r="B2475" t="s">
        <v>10378</v>
      </c>
      <c r="C2475">
        <v>3850000</v>
      </c>
      <c r="D2475" t="s">
        <v>10379</v>
      </c>
      <c r="E2475" t="s">
        <v>10382</v>
      </c>
      <c r="F2475">
        <v>2</v>
      </c>
      <c r="I2475" t="str">
        <f>HYPERLINK("tel:+17144158526", "714-415-8526")</f>
        <v>714-415-8526</v>
      </c>
      <c r="J2475" t="s">
        <v>10383</v>
      </c>
      <c r="K2475" t="s">
        <v>1663</v>
      </c>
      <c r="M2475">
        <v>7144158526</v>
      </c>
    </row>
    <row r="2476" spans="1:13" x14ac:dyDescent="0.25">
      <c r="A2476">
        <v>9973145551</v>
      </c>
      <c r="B2476" t="s">
        <v>10384</v>
      </c>
      <c r="C2476">
        <v>799999</v>
      </c>
      <c r="D2476" t="s">
        <v>10385</v>
      </c>
      <c r="E2476" t="s">
        <v>10386</v>
      </c>
      <c r="F2476">
        <v>2</v>
      </c>
      <c r="I2476" t="str">
        <f>HYPERLINK("tel:+17144229975", "714-422-9975")</f>
        <v>714-422-9975</v>
      </c>
      <c r="J2476" t="s">
        <v>10387</v>
      </c>
      <c r="K2476" t="s">
        <v>8230</v>
      </c>
      <c r="M2476">
        <v>7144229975</v>
      </c>
    </row>
    <row r="2477" spans="1:13" x14ac:dyDescent="0.25">
      <c r="A2477">
        <v>1829711633</v>
      </c>
      <c r="B2477" t="s">
        <v>10388</v>
      </c>
      <c r="C2477">
        <v>1049000</v>
      </c>
      <c r="D2477" t="s">
        <v>10389</v>
      </c>
      <c r="E2477" t="s">
        <v>10390</v>
      </c>
      <c r="F2477">
        <v>2</v>
      </c>
      <c r="I2477" t="str">
        <f>HYPERLINK("tel:+17144237525", "714-423-7525")</f>
        <v>714-423-7525</v>
      </c>
      <c r="J2477" t="s">
        <v>10391</v>
      </c>
      <c r="K2477" t="s">
        <v>2078</v>
      </c>
      <c r="M2477">
        <v>7144237525</v>
      </c>
    </row>
    <row r="2478" spans="1:13" x14ac:dyDescent="0.25">
      <c r="A2478">
        <v>1859540315</v>
      </c>
      <c r="B2478" t="s">
        <v>10392</v>
      </c>
      <c r="C2478">
        <v>579000</v>
      </c>
      <c r="D2478" t="s">
        <v>10393</v>
      </c>
      <c r="E2478" t="s">
        <v>10394</v>
      </c>
      <c r="F2478">
        <v>2</v>
      </c>
      <c r="I2478" t="str">
        <f>HYPERLINK("tel:+17144250814", "714-425-0814")</f>
        <v>714-425-0814</v>
      </c>
      <c r="J2478" t="s">
        <v>10395</v>
      </c>
      <c r="K2478" t="s">
        <v>24</v>
      </c>
      <c r="M2478">
        <v>7144250814</v>
      </c>
    </row>
    <row r="2479" spans="1:13" x14ac:dyDescent="0.25">
      <c r="A2479">
        <v>1724919987</v>
      </c>
      <c r="B2479" t="s">
        <v>10396</v>
      </c>
      <c r="C2479">
        <v>829999</v>
      </c>
      <c r="D2479" t="s">
        <v>10397</v>
      </c>
      <c r="E2479" t="s">
        <v>10398</v>
      </c>
      <c r="F2479">
        <v>2</v>
      </c>
      <c r="I2479" t="str">
        <f>HYPERLINK("tel:+17144255606", "714-425-5606")</f>
        <v>714-425-5606</v>
      </c>
      <c r="J2479" t="s">
        <v>10399</v>
      </c>
      <c r="K2479" t="s">
        <v>10400</v>
      </c>
      <c r="M2479">
        <v>7144255606</v>
      </c>
    </row>
    <row r="2480" spans="1:13" x14ac:dyDescent="0.25">
      <c r="A2480">
        <v>1039974958</v>
      </c>
      <c r="B2480" t="s">
        <v>10401</v>
      </c>
      <c r="C2480">
        <v>2180000</v>
      </c>
      <c r="D2480" t="s">
        <v>10402</v>
      </c>
      <c r="E2480" t="s">
        <v>10403</v>
      </c>
      <c r="F2480">
        <v>2</v>
      </c>
      <c r="I2480" t="str">
        <f>HYPERLINK("tel:+17144379104", "714-437-9104")</f>
        <v>714-437-9104</v>
      </c>
      <c r="J2480" t="s">
        <v>10404</v>
      </c>
      <c r="K2480" t="s">
        <v>10405</v>
      </c>
      <c r="M2480">
        <v>7144379104</v>
      </c>
    </row>
    <row r="2481" spans="1:13" x14ac:dyDescent="0.25">
      <c r="A2481">
        <v>2799913724</v>
      </c>
      <c r="B2481" t="s">
        <v>10406</v>
      </c>
      <c r="C2481">
        <v>2999000</v>
      </c>
      <c r="D2481" t="s">
        <v>10407</v>
      </c>
      <c r="E2481" t="s">
        <v>10408</v>
      </c>
      <c r="F2481">
        <v>2</v>
      </c>
      <c r="I2481" t="str">
        <f>HYPERLINK("tel:+17144542748", "714-454-2748")</f>
        <v>714-454-2748</v>
      </c>
      <c r="J2481" t="s">
        <v>10409</v>
      </c>
      <c r="K2481" t="s">
        <v>10410</v>
      </c>
      <c r="M2481">
        <v>7144542748</v>
      </c>
    </row>
    <row r="2482" spans="1:13" x14ac:dyDescent="0.25">
      <c r="A2482">
        <v>1612277300</v>
      </c>
      <c r="B2482" t="s">
        <v>10411</v>
      </c>
      <c r="C2482">
        <v>1148800</v>
      </c>
      <c r="D2482" t="s">
        <v>10412</v>
      </c>
      <c r="E2482" t="s">
        <v>10413</v>
      </c>
      <c r="F2482">
        <v>2</v>
      </c>
      <c r="I2482" t="str">
        <f>HYPERLINK("tel:+17144545266", "714-454-5266")</f>
        <v>714-454-5266</v>
      </c>
      <c r="J2482" t="s">
        <v>10414</v>
      </c>
      <c r="K2482" t="s">
        <v>10415</v>
      </c>
      <c r="M2482">
        <v>7144545266</v>
      </c>
    </row>
    <row r="2483" spans="1:13" x14ac:dyDescent="0.25">
      <c r="A2483">
        <v>1812045651</v>
      </c>
      <c r="B2483" t="s">
        <v>10416</v>
      </c>
      <c r="C2483">
        <v>1350000</v>
      </c>
      <c r="D2483" t="s">
        <v>10417</v>
      </c>
      <c r="E2483" t="s">
        <v>10418</v>
      </c>
      <c r="F2483">
        <v>2</v>
      </c>
      <c r="I2483" t="str">
        <f>HYPERLINK("tel:+17144548834", "714-454-8834")</f>
        <v>714-454-8834</v>
      </c>
      <c r="J2483" t="s">
        <v>10419</v>
      </c>
      <c r="K2483" t="s">
        <v>10108</v>
      </c>
      <c r="M2483">
        <v>7144548834</v>
      </c>
    </row>
    <row r="2484" spans="1:13" x14ac:dyDescent="0.25">
      <c r="A2484">
        <v>2084292957</v>
      </c>
      <c r="B2484" t="s">
        <v>10420</v>
      </c>
      <c r="C2484">
        <v>4000000</v>
      </c>
      <c r="D2484" t="s">
        <v>10421</v>
      </c>
      <c r="E2484" t="s">
        <v>10422</v>
      </c>
      <c r="F2484">
        <v>2</v>
      </c>
      <c r="I2484" t="str">
        <f>HYPERLINK("tel:+17144549763", "714-454-9763")</f>
        <v>714-454-9763</v>
      </c>
      <c r="J2484" t="s">
        <v>10423</v>
      </c>
      <c r="K2484" t="s">
        <v>744</v>
      </c>
      <c r="M2484">
        <v>7144549763</v>
      </c>
    </row>
    <row r="2485" spans="1:13" x14ac:dyDescent="0.25">
      <c r="A2485">
        <v>2420190493</v>
      </c>
      <c r="B2485" t="s">
        <v>10424</v>
      </c>
      <c r="C2485">
        <v>1150000</v>
      </c>
      <c r="D2485" t="s">
        <v>10425</v>
      </c>
      <c r="E2485" t="s">
        <v>10426</v>
      </c>
      <c r="F2485">
        <v>2</v>
      </c>
      <c r="I2485" t="str">
        <f>HYPERLINK("tel:+17144573436", "714-457-3436")</f>
        <v>714-457-3436</v>
      </c>
      <c r="J2485" t="s">
        <v>10427</v>
      </c>
      <c r="K2485" t="s">
        <v>10428</v>
      </c>
      <c r="M2485">
        <v>7144573436</v>
      </c>
    </row>
    <row r="2486" spans="1:13" x14ac:dyDescent="0.25">
      <c r="A2486">
        <v>9330128576</v>
      </c>
      <c r="B2486" t="s">
        <v>10429</v>
      </c>
      <c r="C2486">
        <v>525000</v>
      </c>
      <c r="D2486" t="s">
        <v>10430</v>
      </c>
      <c r="E2486" t="s">
        <v>10431</v>
      </c>
      <c r="F2486">
        <v>2</v>
      </c>
      <c r="I2486" t="str">
        <f>HYPERLINK("tel:+17144574005", "714-457-4005")</f>
        <v>714-457-4005</v>
      </c>
      <c r="J2486" t="s">
        <v>10432</v>
      </c>
      <c r="K2486" t="s">
        <v>68</v>
      </c>
      <c r="M2486">
        <v>7144574005</v>
      </c>
    </row>
    <row r="2487" spans="1:13" x14ac:dyDescent="0.25">
      <c r="A2487">
        <v>9330128576</v>
      </c>
      <c r="B2487" t="s">
        <v>10429</v>
      </c>
      <c r="C2487">
        <v>525000</v>
      </c>
      <c r="D2487" t="s">
        <v>10430</v>
      </c>
      <c r="E2487" t="s">
        <v>10433</v>
      </c>
      <c r="F2487">
        <v>2</v>
      </c>
      <c r="I2487" t="str">
        <f>HYPERLINK("tel:+17144574009", "714-457-4009")</f>
        <v>714-457-4009</v>
      </c>
      <c r="J2487" t="s">
        <v>10434</v>
      </c>
      <c r="K2487" t="s">
        <v>68</v>
      </c>
      <c r="M2487">
        <v>7144574009</v>
      </c>
    </row>
    <row r="2488" spans="1:13" x14ac:dyDescent="0.25">
      <c r="A2488">
        <v>1058037538</v>
      </c>
      <c r="B2488" t="s">
        <v>10435</v>
      </c>
      <c r="C2488">
        <v>1568000</v>
      </c>
      <c r="D2488" t="s">
        <v>10436</v>
      </c>
      <c r="E2488" t="s">
        <v>10437</v>
      </c>
      <c r="F2488">
        <v>2</v>
      </c>
      <c r="I2488" t="str">
        <f>HYPERLINK("tel:+17144678542", "714-467-8542")</f>
        <v>714-467-8542</v>
      </c>
      <c r="J2488" t="s">
        <v>10438</v>
      </c>
      <c r="K2488" t="s">
        <v>5194</v>
      </c>
      <c r="M2488">
        <v>7144678542</v>
      </c>
    </row>
    <row r="2489" spans="1:13" x14ac:dyDescent="0.25">
      <c r="A2489">
        <v>1488562289</v>
      </c>
      <c r="B2489" t="s">
        <v>10439</v>
      </c>
      <c r="C2489">
        <v>2595000</v>
      </c>
      <c r="D2489" t="s">
        <v>10440</v>
      </c>
      <c r="E2489" t="s">
        <v>10441</v>
      </c>
      <c r="F2489">
        <v>2</v>
      </c>
      <c r="I2489" t="str">
        <f>HYPERLINK("tel:+17144695846", "714-469-5846")</f>
        <v>714-469-5846</v>
      </c>
      <c r="J2489" t="s">
        <v>10442</v>
      </c>
      <c r="K2489" t="s">
        <v>1080</v>
      </c>
      <c r="M2489">
        <v>7144695846</v>
      </c>
    </row>
    <row r="2490" spans="1:13" x14ac:dyDescent="0.25">
      <c r="A2490">
        <v>1779042547</v>
      </c>
      <c r="B2490" t="s">
        <v>9022</v>
      </c>
      <c r="C2490">
        <v>1149000</v>
      </c>
      <c r="D2490" t="s">
        <v>9023</v>
      </c>
      <c r="E2490" t="s">
        <v>10443</v>
      </c>
      <c r="F2490">
        <v>2</v>
      </c>
      <c r="I2490" t="str">
        <f>HYPERLINK("tel:+17144710632", "714-471-0632")</f>
        <v>714-471-0632</v>
      </c>
      <c r="J2490" t="s">
        <v>10444</v>
      </c>
      <c r="K2490" t="s">
        <v>8683</v>
      </c>
      <c r="M2490">
        <v>7144710632</v>
      </c>
    </row>
    <row r="2491" spans="1:13" x14ac:dyDescent="0.25">
      <c r="A2491">
        <v>2199728326</v>
      </c>
      <c r="B2491" t="s">
        <v>10445</v>
      </c>
      <c r="C2491">
        <v>1298000</v>
      </c>
      <c r="D2491" t="s">
        <v>10446</v>
      </c>
      <c r="E2491" t="s">
        <v>10447</v>
      </c>
      <c r="F2491">
        <v>2</v>
      </c>
      <c r="I2491" t="str">
        <f>HYPERLINK("tel:+17144748195", "714-474-8195")</f>
        <v>714-474-8195</v>
      </c>
      <c r="J2491" t="s">
        <v>10448</v>
      </c>
      <c r="K2491" t="s">
        <v>10449</v>
      </c>
      <c r="M2491">
        <v>7144748195</v>
      </c>
    </row>
    <row r="2492" spans="1:13" x14ac:dyDescent="0.25">
      <c r="A2492">
        <v>2892583025</v>
      </c>
      <c r="B2492" t="s">
        <v>10082</v>
      </c>
      <c r="C2492">
        <v>1700000</v>
      </c>
      <c r="D2492" t="s">
        <v>10083</v>
      </c>
      <c r="E2492" t="s">
        <v>10450</v>
      </c>
      <c r="F2492">
        <v>2</v>
      </c>
      <c r="I2492" t="str">
        <f>HYPERLINK("tel:+17144859005", "714-485-9005")</f>
        <v>714-485-9005</v>
      </c>
      <c r="J2492" t="s">
        <v>10451</v>
      </c>
      <c r="K2492" t="s">
        <v>68</v>
      </c>
      <c r="M2492">
        <v>7144859005</v>
      </c>
    </row>
    <row r="2493" spans="1:13" x14ac:dyDescent="0.25">
      <c r="A2493">
        <v>1403030470</v>
      </c>
      <c r="B2493" t="s">
        <v>10452</v>
      </c>
      <c r="C2493">
        <v>195000</v>
      </c>
      <c r="D2493" t="s">
        <v>10453</v>
      </c>
      <c r="E2493" t="s">
        <v>10454</v>
      </c>
      <c r="F2493">
        <v>2</v>
      </c>
      <c r="I2493" t="str">
        <f>HYPERLINK("tel:+17144877920", "714-487-7920")</f>
        <v>714-487-7920</v>
      </c>
      <c r="J2493" t="s">
        <v>10455</v>
      </c>
      <c r="K2493" t="s">
        <v>9687</v>
      </c>
      <c r="M2493">
        <v>7144877920</v>
      </c>
    </row>
    <row r="2494" spans="1:13" x14ac:dyDescent="0.25">
      <c r="A2494">
        <v>2478698235</v>
      </c>
      <c r="B2494" t="s">
        <v>10456</v>
      </c>
      <c r="C2494">
        <v>609000</v>
      </c>
      <c r="D2494" t="s">
        <v>10457</v>
      </c>
      <c r="E2494" t="s">
        <v>10458</v>
      </c>
      <c r="F2494">
        <v>2</v>
      </c>
      <c r="I2494" t="str">
        <f>HYPERLINK("tel:+17144884188", "714-488-4188")</f>
        <v>714-488-4188</v>
      </c>
      <c r="J2494" t="s">
        <v>10459</v>
      </c>
      <c r="K2494" t="s">
        <v>450</v>
      </c>
      <c r="M2494">
        <v>7144884188</v>
      </c>
    </row>
    <row r="2495" spans="1:13" x14ac:dyDescent="0.25">
      <c r="A2495">
        <v>2636065096</v>
      </c>
      <c r="B2495" t="s">
        <v>10460</v>
      </c>
      <c r="C2495">
        <v>610000</v>
      </c>
      <c r="D2495" t="s">
        <v>10461</v>
      </c>
      <c r="E2495" t="s">
        <v>10462</v>
      </c>
      <c r="F2495">
        <v>2</v>
      </c>
      <c r="I2495" t="str">
        <f>HYPERLINK("tel:+17144939289", "714-493-9289")</f>
        <v>714-493-9289</v>
      </c>
      <c r="J2495" t="s">
        <v>10463</v>
      </c>
      <c r="K2495" t="s">
        <v>10153</v>
      </c>
      <c r="M2495">
        <v>7144939289</v>
      </c>
    </row>
    <row r="2496" spans="1:13" x14ac:dyDescent="0.25">
      <c r="A2496">
        <v>2963887020</v>
      </c>
      <c r="B2496" t="s">
        <v>10464</v>
      </c>
      <c r="C2496">
        <v>120000</v>
      </c>
      <c r="D2496" t="s">
        <v>10465</v>
      </c>
      <c r="E2496" t="s">
        <v>10466</v>
      </c>
      <c r="F2496">
        <v>2</v>
      </c>
      <c r="I2496" t="str">
        <f>HYPERLINK("tel:+17144955719", "714-495-5719")</f>
        <v>714-495-5719</v>
      </c>
      <c r="J2496" t="s">
        <v>10467</v>
      </c>
      <c r="K2496" t="s">
        <v>82</v>
      </c>
      <c r="M2496">
        <v>7144955719</v>
      </c>
    </row>
    <row r="2497" spans="1:13" x14ac:dyDescent="0.25">
      <c r="A2497">
        <v>1343085955</v>
      </c>
      <c r="B2497" t="s">
        <v>10373</v>
      </c>
      <c r="C2497">
        <v>750000</v>
      </c>
      <c r="D2497" t="s">
        <v>10374</v>
      </c>
      <c r="E2497" t="s">
        <v>10468</v>
      </c>
      <c r="F2497">
        <v>2</v>
      </c>
      <c r="I2497" t="str">
        <f>HYPERLINK("tel:+17145018585", "714-501-8585")</f>
        <v>714-501-8585</v>
      </c>
      <c r="J2497" t="s">
        <v>10469</v>
      </c>
      <c r="K2497" t="s">
        <v>10377</v>
      </c>
      <c r="M2497">
        <v>7145018585</v>
      </c>
    </row>
    <row r="2498" spans="1:13" x14ac:dyDescent="0.25">
      <c r="A2498">
        <v>2513868848</v>
      </c>
      <c r="B2498" t="s">
        <v>10470</v>
      </c>
      <c r="C2498">
        <v>1699900</v>
      </c>
      <c r="D2498" t="s">
        <v>10471</v>
      </c>
      <c r="E2498" t="s">
        <v>10472</v>
      </c>
      <c r="F2498">
        <v>2</v>
      </c>
      <c r="I2498" t="str">
        <f>HYPERLINK("tel:+17145101615", "714-510-1615")</f>
        <v>714-510-1615</v>
      </c>
      <c r="J2498" t="s">
        <v>10473</v>
      </c>
      <c r="K2498" t="s">
        <v>3255</v>
      </c>
      <c r="M2498">
        <v>7145101615</v>
      </c>
    </row>
    <row r="2499" spans="1:13" x14ac:dyDescent="0.25">
      <c r="A2499">
        <v>9394532954</v>
      </c>
      <c r="B2499" t="s">
        <v>10474</v>
      </c>
      <c r="C2499">
        <v>1175000</v>
      </c>
      <c r="D2499" t="s">
        <v>10475</v>
      </c>
      <c r="E2499" t="s">
        <v>10476</v>
      </c>
      <c r="F2499">
        <v>2</v>
      </c>
      <c r="I2499" t="str">
        <f>HYPERLINK("tel:+17145217401", "714-521-7401")</f>
        <v>714-521-7401</v>
      </c>
      <c r="J2499" t="s">
        <v>10477</v>
      </c>
      <c r="K2499" t="s">
        <v>10206</v>
      </c>
      <c r="M2499">
        <v>7145217401</v>
      </c>
    </row>
    <row r="2500" spans="1:13" x14ac:dyDescent="0.25">
      <c r="A2500">
        <v>2918004542</v>
      </c>
      <c r="B2500" t="s">
        <v>10478</v>
      </c>
      <c r="C2500">
        <v>949888</v>
      </c>
      <c r="D2500" t="s">
        <v>10479</v>
      </c>
      <c r="E2500" t="s">
        <v>10480</v>
      </c>
      <c r="F2500">
        <v>2</v>
      </c>
      <c r="I2500" t="str">
        <f>HYPERLINK("tel:+17145244100", "714-524-4100")</f>
        <v>714-524-4100</v>
      </c>
      <c r="J2500" t="s">
        <v>10481</v>
      </c>
      <c r="K2500" t="s">
        <v>158</v>
      </c>
      <c r="M2500">
        <v>7145244100</v>
      </c>
    </row>
    <row r="2501" spans="1:13" x14ac:dyDescent="0.25">
      <c r="A2501">
        <v>9576451321</v>
      </c>
      <c r="B2501" t="s">
        <v>10482</v>
      </c>
      <c r="C2501">
        <v>3190000</v>
      </c>
      <c r="D2501" t="s">
        <v>10483</v>
      </c>
      <c r="E2501" t="s">
        <v>10484</v>
      </c>
      <c r="F2501">
        <v>2</v>
      </c>
      <c r="I2501" t="str">
        <f>HYPERLINK("tel:+17145274500", "714-527-4500")</f>
        <v>714-527-4500</v>
      </c>
      <c r="J2501" t="s">
        <v>10485</v>
      </c>
      <c r="K2501" t="s">
        <v>10486</v>
      </c>
      <c r="M2501">
        <v>7145274500</v>
      </c>
    </row>
    <row r="2502" spans="1:13" x14ac:dyDescent="0.25">
      <c r="A2502">
        <v>1467467076</v>
      </c>
      <c r="B2502" t="s">
        <v>3161</v>
      </c>
      <c r="C2502">
        <v>1500000</v>
      </c>
      <c r="D2502" t="s">
        <v>3162</v>
      </c>
      <c r="E2502" t="s">
        <v>10487</v>
      </c>
      <c r="F2502">
        <v>2</v>
      </c>
      <c r="I2502" t="str">
        <f>HYPERLINK("tel:+17145313360", "714-531-3360")</f>
        <v>714-531-3360</v>
      </c>
      <c r="J2502" t="s">
        <v>10488</v>
      </c>
      <c r="K2502" t="s">
        <v>3144</v>
      </c>
      <c r="M2502">
        <v>7145313360</v>
      </c>
    </row>
    <row r="2503" spans="1:13" x14ac:dyDescent="0.25">
      <c r="A2503">
        <v>9723948888</v>
      </c>
      <c r="B2503" t="s">
        <v>10489</v>
      </c>
      <c r="C2503">
        <v>1850000</v>
      </c>
      <c r="D2503" t="s">
        <v>10490</v>
      </c>
      <c r="E2503" t="s">
        <v>10491</v>
      </c>
      <c r="F2503">
        <v>2</v>
      </c>
      <c r="I2503" t="str">
        <f>HYPERLINK("tel:+17145433759", "714-543-3759")</f>
        <v>714-543-3759</v>
      </c>
      <c r="J2503" t="s">
        <v>10492</v>
      </c>
      <c r="K2503" t="s">
        <v>10493</v>
      </c>
      <c r="M2503">
        <v>7145433759</v>
      </c>
    </row>
    <row r="2504" spans="1:13" x14ac:dyDescent="0.25">
      <c r="A2504">
        <v>2578415447</v>
      </c>
      <c r="B2504" t="s">
        <v>10494</v>
      </c>
      <c r="C2504">
        <v>1895000</v>
      </c>
      <c r="D2504" t="s">
        <v>10495</v>
      </c>
      <c r="E2504" t="s">
        <v>10496</v>
      </c>
      <c r="F2504">
        <v>2</v>
      </c>
      <c r="I2504" t="str">
        <f>HYPERLINK("tel:+17145437800", "714-543-7800")</f>
        <v>714-543-7800</v>
      </c>
      <c r="J2504" t="s">
        <v>10497</v>
      </c>
      <c r="K2504" t="s">
        <v>10498</v>
      </c>
      <c r="M2504">
        <v>7145437800</v>
      </c>
    </row>
    <row r="2505" spans="1:13" x14ac:dyDescent="0.25">
      <c r="A2505">
        <v>2907778847</v>
      </c>
      <c r="B2505" t="s">
        <v>10499</v>
      </c>
      <c r="C2505">
        <v>135000</v>
      </c>
      <c r="D2505" t="s">
        <v>10500</v>
      </c>
      <c r="E2505" t="s">
        <v>10501</v>
      </c>
      <c r="F2505">
        <v>2</v>
      </c>
      <c r="I2505" t="str">
        <f>HYPERLINK("tel:+17145482727", "714-548-2727")</f>
        <v>714-548-2727</v>
      </c>
      <c r="J2505" t="s">
        <v>10502</v>
      </c>
      <c r="K2505" t="s">
        <v>874</v>
      </c>
      <c r="M2505">
        <v>7145482727</v>
      </c>
    </row>
    <row r="2506" spans="1:13" x14ac:dyDescent="0.25">
      <c r="A2506">
        <v>2414357410</v>
      </c>
      <c r="B2506" t="s">
        <v>10503</v>
      </c>
      <c r="C2506">
        <v>2899000</v>
      </c>
      <c r="D2506" t="s">
        <v>10504</v>
      </c>
      <c r="E2506" t="s">
        <v>10505</v>
      </c>
      <c r="F2506">
        <v>2</v>
      </c>
      <c r="I2506" t="str">
        <f>HYPERLINK("tel:+17145487296", "714-548-7296")</f>
        <v>714-548-7296</v>
      </c>
      <c r="J2506" t="s">
        <v>10506</v>
      </c>
      <c r="K2506" t="s">
        <v>10507</v>
      </c>
      <c r="M2506">
        <v>7145487296</v>
      </c>
    </row>
    <row r="2507" spans="1:13" x14ac:dyDescent="0.25">
      <c r="A2507">
        <v>1528025025</v>
      </c>
      <c r="B2507" t="s">
        <v>10297</v>
      </c>
      <c r="C2507">
        <v>569000</v>
      </c>
      <c r="D2507" t="s">
        <v>10298</v>
      </c>
      <c r="E2507" t="s">
        <v>10508</v>
      </c>
      <c r="F2507">
        <v>2</v>
      </c>
      <c r="I2507" t="str">
        <f>HYPERLINK("tel:+17145533036", "714-553-3036")</f>
        <v>714-553-3036</v>
      </c>
      <c r="J2507" t="s">
        <v>10509</v>
      </c>
      <c r="K2507" t="s">
        <v>10510</v>
      </c>
      <c r="M2507">
        <v>7145533036</v>
      </c>
    </row>
    <row r="2508" spans="1:13" x14ac:dyDescent="0.25">
      <c r="A2508">
        <v>2537340491</v>
      </c>
      <c r="B2508" t="s">
        <v>10511</v>
      </c>
      <c r="C2508">
        <v>1599000</v>
      </c>
      <c r="D2508" t="s">
        <v>10512</v>
      </c>
      <c r="E2508" t="s">
        <v>10513</v>
      </c>
      <c r="F2508">
        <v>2</v>
      </c>
      <c r="I2508" t="str">
        <f>HYPERLINK("tel:+17145549989", "714-554-9989")</f>
        <v>714-554-9989</v>
      </c>
      <c r="J2508" t="s">
        <v>10514</v>
      </c>
      <c r="K2508" t="s">
        <v>2704</v>
      </c>
      <c r="M2508">
        <v>7145549989</v>
      </c>
    </row>
    <row r="2509" spans="1:13" x14ac:dyDescent="0.25">
      <c r="A2509">
        <v>2414959962</v>
      </c>
      <c r="B2509" t="s">
        <v>10515</v>
      </c>
      <c r="C2509">
        <v>1779000</v>
      </c>
      <c r="D2509" t="s">
        <v>10516</v>
      </c>
      <c r="E2509" t="s">
        <v>10517</v>
      </c>
      <c r="F2509">
        <v>2</v>
      </c>
      <c r="I2509" t="str">
        <f>HYPERLINK("tel:+17145801014", "714-580-1014")</f>
        <v>714-580-1014</v>
      </c>
      <c r="J2509" t="s">
        <v>10518</v>
      </c>
      <c r="K2509" t="s">
        <v>10519</v>
      </c>
      <c r="M2509">
        <v>7145801014</v>
      </c>
    </row>
    <row r="2510" spans="1:13" x14ac:dyDescent="0.25">
      <c r="A2510">
        <v>2158273067</v>
      </c>
      <c r="B2510" t="s">
        <v>10520</v>
      </c>
      <c r="C2510">
        <v>4995000</v>
      </c>
      <c r="D2510" t="s">
        <v>10521</v>
      </c>
      <c r="E2510" t="s">
        <v>10522</v>
      </c>
      <c r="F2510">
        <v>2</v>
      </c>
      <c r="I2510" t="str">
        <f>HYPERLINK("tel:+17145807322", "714-580-7322")</f>
        <v>714-580-7322</v>
      </c>
      <c r="J2510" t="s">
        <v>10523</v>
      </c>
      <c r="K2510" t="s">
        <v>10524</v>
      </c>
      <c r="M2510">
        <v>7145807322</v>
      </c>
    </row>
    <row r="2511" spans="1:13" x14ac:dyDescent="0.25">
      <c r="A2511">
        <v>1843781713</v>
      </c>
      <c r="B2511" t="s">
        <v>10525</v>
      </c>
      <c r="C2511">
        <v>1295000</v>
      </c>
      <c r="D2511" t="s">
        <v>10526</v>
      </c>
      <c r="E2511" t="s">
        <v>10527</v>
      </c>
      <c r="F2511">
        <v>2</v>
      </c>
      <c r="I2511" t="str">
        <f>HYPERLINK("tel:+17145870995", "714-587-0995")</f>
        <v>714-587-0995</v>
      </c>
      <c r="J2511" t="s">
        <v>10528</v>
      </c>
      <c r="K2511" t="s">
        <v>884</v>
      </c>
      <c r="M2511">
        <v>7145870995</v>
      </c>
    </row>
    <row r="2512" spans="1:13" x14ac:dyDescent="0.25">
      <c r="A2512">
        <v>2381919133</v>
      </c>
      <c r="B2512" t="s">
        <v>10529</v>
      </c>
      <c r="C2512">
        <v>250000</v>
      </c>
      <c r="D2512" t="s">
        <v>10530</v>
      </c>
      <c r="E2512" t="s">
        <v>10531</v>
      </c>
      <c r="F2512">
        <v>2</v>
      </c>
      <c r="I2512" t="str">
        <f>HYPERLINK("tel:+17145889792", "714-588-9792")</f>
        <v>714-588-9792</v>
      </c>
      <c r="J2512" t="s">
        <v>10532</v>
      </c>
      <c r="K2512" t="s">
        <v>10533</v>
      </c>
      <c r="M2512">
        <v>7145889792</v>
      </c>
    </row>
    <row r="2513" spans="1:13" x14ac:dyDescent="0.25">
      <c r="A2513">
        <v>1694309423</v>
      </c>
      <c r="B2513" t="s">
        <v>10534</v>
      </c>
      <c r="C2513">
        <v>540000</v>
      </c>
      <c r="D2513" t="s">
        <v>10535</v>
      </c>
      <c r="E2513" t="s">
        <v>10536</v>
      </c>
      <c r="F2513">
        <v>2</v>
      </c>
      <c r="I2513" t="str">
        <f>HYPERLINK("tel:+17145928299", "714-592-8299")</f>
        <v>714-592-8299</v>
      </c>
      <c r="J2513" t="s">
        <v>10537</v>
      </c>
      <c r="K2513" t="s">
        <v>10538</v>
      </c>
      <c r="M2513">
        <v>7145928299</v>
      </c>
    </row>
    <row r="2514" spans="1:13" x14ac:dyDescent="0.25">
      <c r="A2514">
        <v>2767390277</v>
      </c>
      <c r="B2514" t="s">
        <v>10539</v>
      </c>
      <c r="C2514">
        <v>629888</v>
      </c>
      <c r="D2514" t="s">
        <v>10540</v>
      </c>
      <c r="E2514" t="s">
        <v>10541</v>
      </c>
      <c r="F2514">
        <v>2</v>
      </c>
      <c r="I2514" t="str">
        <f>HYPERLINK("tel:+17145954264", "714-595-4264")</f>
        <v>714-595-4264</v>
      </c>
      <c r="J2514" t="s">
        <v>10542</v>
      </c>
      <c r="K2514" t="s">
        <v>10279</v>
      </c>
      <c r="M2514">
        <v>7145954264</v>
      </c>
    </row>
    <row r="2515" spans="1:13" x14ac:dyDescent="0.25">
      <c r="A2515">
        <v>2168680721</v>
      </c>
      <c r="B2515" t="s">
        <v>10057</v>
      </c>
      <c r="C2515">
        <v>1299000</v>
      </c>
      <c r="D2515" t="s">
        <v>10058</v>
      </c>
      <c r="E2515" t="s">
        <v>10543</v>
      </c>
      <c r="F2515">
        <v>2</v>
      </c>
      <c r="I2515" t="str">
        <f>HYPERLINK("tel:+17145957670", "714-595-7670")</f>
        <v>714-595-7670</v>
      </c>
      <c r="J2515" t="s">
        <v>10544</v>
      </c>
      <c r="K2515" t="s">
        <v>24</v>
      </c>
      <c r="M2515">
        <v>7145957670</v>
      </c>
    </row>
    <row r="2516" spans="1:13" x14ac:dyDescent="0.25">
      <c r="A2516">
        <v>2476220096</v>
      </c>
      <c r="B2516" t="s">
        <v>10545</v>
      </c>
      <c r="C2516">
        <v>790000</v>
      </c>
      <c r="D2516" t="s">
        <v>10546</v>
      </c>
      <c r="E2516" t="s">
        <v>10547</v>
      </c>
      <c r="F2516">
        <v>2</v>
      </c>
      <c r="I2516" t="str">
        <f>HYPERLINK("tel:+17145986101", "714-598-6101")</f>
        <v>714-598-6101</v>
      </c>
      <c r="J2516" t="s">
        <v>10548</v>
      </c>
      <c r="K2516" t="s">
        <v>707</v>
      </c>
      <c r="M2516">
        <v>7145986101</v>
      </c>
    </row>
    <row r="2517" spans="1:13" x14ac:dyDescent="0.25">
      <c r="A2517">
        <v>2134231550</v>
      </c>
      <c r="B2517" t="s">
        <v>10549</v>
      </c>
      <c r="C2517">
        <v>254900</v>
      </c>
      <c r="D2517" t="s">
        <v>10550</v>
      </c>
      <c r="E2517" t="s">
        <v>10551</v>
      </c>
      <c r="F2517">
        <v>2</v>
      </c>
      <c r="I2517" t="str">
        <f>HYPERLINK("tel:+17146045670", "714-604-5670")</f>
        <v>714-604-5670</v>
      </c>
      <c r="J2517" t="s">
        <v>10552</v>
      </c>
      <c r="K2517" t="s">
        <v>306</v>
      </c>
      <c r="M2517">
        <v>7146045670</v>
      </c>
    </row>
    <row r="2518" spans="1:13" x14ac:dyDescent="0.25">
      <c r="A2518">
        <v>9755449140</v>
      </c>
      <c r="B2518" t="s">
        <v>10553</v>
      </c>
      <c r="C2518">
        <v>385000</v>
      </c>
      <c r="D2518" t="s">
        <v>10554</v>
      </c>
      <c r="E2518" t="s">
        <v>10555</v>
      </c>
      <c r="F2518">
        <v>2</v>
      </c>
      <c r="I2518" t="str">
        <f>HYPERLINK("tel:+17146046765", "714-604-6765")</f>
        <v>714-604-6765</v>
      </c>
      <c r="J2518" t="s">
        <v>10556</v>
      </c>
      <c r="K2518" t="s">
        <v>10557</v>
      </c>
      <c r="M2518">
        <v>7146046765</v>
      </c>
    </row>
    <row r="2519" spans="1:13" x14ac:dyDescent="0.25">
      <c r="A2519">
        <v>1491824482</v>
      </c>
      <c r="B2519" t="s">
        <v>10558</v>
      </c>
      <c r="C2519">
        <v>1699000</v>
      </c>
      <c r="D2519" t="s">
        <v>10559</v>
      </c>
      <c r="E2519" t="s">
        <v>10560</v>
      </c>
      <c r="F2519">
        <v>2</v>
      </c>
      <c r="I2519" t="str">
        <f>HYPERLINK("tel:+17146046908", "714-604-6908")</f>
        <v>714-604-6908</v>
      </c>
      <c r="J2519" t="s">
        <v>10561</v>
      </c>
      <c r="K2519" t="s">
        <v>861</v>
      </c>
      <c r="M2519">
        <v>7146046908</v>
      </c>
    </row>
    <row r="2520" spans="1:13" x14ac:dyDescent="0.25">
      <c r="A2520">
        <v>2775300807</v>
      </c>
      <c r="B2520" t="s">
        <v>10562</v>
      </c>
      <c r="C2520">
        <v>1850000</v>
      </c>
      <c r="D2520" t="s">
        <v>10563</v>
      </c>
      <c r="E2520" t="s">
        <v>10564</v>
      </c>
      <c r="F2520">
        <v>2</v>
      </c>
      <c r="I2520" t="str">
        <f>HYPERLINK("tel:+17146048569", "714-604-8569")</f>
        <v>714-604-8569</v>
      </c>
      <c r="J2520" t="s">
        <v>10565</v>
      </c>
      <c r="K2520" t="s">
        <v>3748</v>
      </c>
      <c r="M2520">
        <v>7146048569</v>
      </c>
    </row>
    <row r="2521" spans="1:13" x14ac:dyDescent="0.25">
      <c r="A2521">
        <v>2755829305</v>
      </c>
      <c r="B2521" t="s">
        <v>10566</v>
      </c>
      <c r="C2521">
        <v>2340000</v>
      </c>
      <c r="D2521" t="s">
        <v>10567</v>
      </c>
      <c r="E2521" t="s">
        <v>10568</v>
      </c>
      <c r="F2521">
        <v>2</v>
      </c>
      <c r="I2521" t="str">
        <f>HYPERLINK("tel:+17146060926", "714-606-0926")</f>
        <v>714-606-0926</v>
      </c>
      <c r="J2521" t="s">
        <v>10569</v>
      </c>
      <c r="K2521" t="s">
        <v>10570</v>
      </c>
      <c r="M2521">
        <v>7146060926</v>
      </c>
    </row>
    <row r="2522" spans="1:13" x14ac:dyDescent="0.25">
      <c r="A2522">
        <v>9400204991</v>
      </c>
      <c r="B2522" t="s">
        <v>10571</v>
      </c>
      <c r="C2522">
        <v>3200000</v>
      </c>
      <c r="D2522" t="s">
        <v>10572</v>
      </c>
      <c r="E2522" t="s">
        <v>10573</v>
      </c>
      <c r="F2522">
        <v>2</v>
      </c>
      <c r="I2522" t="str">
        <f>HYPERLINK("tel:+17146061698", "714-606-1698")</f>
        <v>714-606-1698</v>
      </c>
      <c r="J2522" t="s">
        <v>10574</v>
      </c>
      <c r="K2522" t="s">
        <v>10575</v>
      </c>
      <c r="M2522">
        <v>7146061698</v>
      </c>
    </row>
    <row r="2523" spans="1:13" x14ac:dyDescent="0.25">
      <c r="A2523">
        <v>9403370089</v>
      </c>
      <c r="B2523" t="s">
        <v>10576</v>
      </c>
      <c r="C2523">
        <v>369000</v>
      </c>
      <c r="D2523" t="s">
        <v>10577</v>
      </c>
      <c r="E2523" t="s">
        <v>10578</v>
      </c>
      <c r="F2523">
        <v>2</v>
      </c>
      <c r="I2523" t="str">
        <f>HYPERLINK("tel:+17146064555", "714-606-4555")</f>
        <v>714-606-4555</v>
      </c>
      <c r="J2523" t="s">
        <v>10579</v>
      </c>
      <c r="K2523" t="s">
        <v>68</v>
      </c>
      <c r="M2523">
        <v>7146064555</v>
      </c>
    </row>
    <row r="2524" spans="1:13" x14ac:dyDescent="0.25">
      <c r="A2524">
        <v>1848119083</v>
      </c>
      <c r="B2524" t="s">
        <v>10580</v>
      </c>
      <c r="C2524">
        <v>775000</v>
      </c>
      <c r="D2524" t="s">
        <v>10581</v>
      </c>
      <c r="E2524" t="s">
        <v>10582</v>
      </c>
      <c r="F2524">
        <v>2</v>
      </c>
      <c r="I2524" t="str">
        <f>HYPERLINK("tel:+17146065765", "714-606-5765")</f>
        <v>714-606-5765</v>
      </c>
      <c r="J2524" t="s">
        <v>10583</v>
      </c>
      <c r="K2524" t="s">
        <v>10584</v>
      </c>
      <c r="M2524">
        <v>7146065765</v>
      </c>
    </row>
    <row r="2525" spans="1:13" x14ac:dyDescent="0.25">
      <c r="A2525">
        <v>2853855488</v>
      </c>
      <c r="B2525" t="s">
        <v>10585</v>
      </c>
      <c r="C2525">
        <v>2025000</v>
      </c>
      <c r="D2525" t="s">
        <v>10586</v>
      </c>
      <c r="E2525" t="s">
        <v>10587</v>
      </c>
      <c r="F2525">
        <v>2</v>
      </c>
      <c r="I2525" t="str">
        <f>HYPERLINK("tel:+17146068867", "714-606-8867")</f>
        <v>714-606-8867</v>
      </c>
      <c r="J2525" t="s">
        <v>10588</v>
      </c>
      <c r="K2525" t="s">
        <v>306</v>
      </c>
      <c r="M2525">
        <v>7146068867</v>
      </c>
    </row>
    <row r="2526" spans="1:13" x14ac:dyDescent="0.25">
      <c r="A2526">
        <v>2841066972</v>
      </c>
      <c r="B2526" t="s">
        <v>10589</v>
      </c>
      <c r="C2526">
        <v>949888</v>
      </c>
      <c r="D2526" t="s">
        <v>10590</v>
      </c>
      <c r="E2526" t="s">
        <v>10591</v>
      </c>
      <c r="F2526">
        <v>2</v>
      </c>
      <c r="I2526" t="str">
        <f>HYPERLINK("tel:+17146080955", "714-608-0955")</f>
        <v>714-608-0955</v>
      </c>
      <c r="J2526" t="s">
        <v>10592</v>
      </c>
      <c r="K2526" t="s">
        <v>10593</v>
      </c>
      <c r="M2526">
        <v>7146080955</v>
      </c>
    </row>
    <row r="2527" spans="1:13" x14ac:dyDescent="0.25">
      <c r="A2527">
        <v>1069521746</v>
      </c>
      <c r="B2527" t="s">
        <v>10594</v>
      </c>
      <c r="C2527">
        <v>800000</v>
      </c>
      <c r="D2527" t="s">
        <v>10595</v>
      </c>
      <c r="E2527" t="s">
        <v>10596</v>
      </c>
      <c r="F2527">
        <v>2</v>
      </c>
      <c r="I2527" t="str">
        <f>HYPERLINK("tel:+17146120116", "714-612-0116")</f>
        <v>714-612-0116</v>
      </c>
      <c r="J2527" t="s">
        <v>10597</v>
      </c>
      <c r="K2527" t="s">
        <v>10598</v>
      </c>
      <c r="M2527">
        <v>7146120116</v>
      </c>
    </row>
    <row r="2528" spans="1:13" x14ac:dyDescent="0.25">
      <c r="A2528">
        <v>2755398868</v>
      </c>
      <c r="B2528" t="s">
        <v>10599</v>
      </c>
      <c r="C2528">
        <v>3275000</v>
      </c>
      <c r="D2528" t="s">
        <v>10600</v>
      </c>
      <c r="E2528" t="s">
        <v>10601</v>
      </c>
      <c r="F2528">
        <v>2</v>
      </c>
      <c r="I2528" t="str">
        <f>HYPERLINK("tel:+17146120529", "714-612-0529")</f>
        <v>714-612-0529</v>
      </c>
      <c r="J2528" t="s">
        <v>10602</v>
      </c>
      <c r="K2528" t="s">
        <v>3839</v>
      </c>
      <c r="M2528">
        <v>7146120529</v>
      </c>
    </row>
    <row r="2529" spans="1:13" x14ac:dyDescent="0.25">
      <c r="A2529">
        <v>2380043700</v>
      </c>
      <c r="B2529" t="s">
        <v>10603</v>
      </c>
      <c r="C2529">
        <v>899000</v>
      </c>
      <c r="D2529" t="s">
        <v>10604</v>
      </c>
      <c r="E2529" t="s">
        <v>10605</v>
      </c>
      <c r="F2529">
        <v>2</v>
      </c>
      <c r="I2529" t="str">
        <f>HYPERLINK("tel:+17146124253", "714-612-4253")</f>
        <v>714-612-4253</v>
      </c>
      <c r="J2529" t="s">
        <v>10606</v>
      </c>
      <c r="K2529" t="s">
        <v>2704</v>
      </c>
      <c r="M2529">
        <v>7146124253</v>
      </c>
    </row>
    <row r="2530" spans="1:13" x14ac:dyDescent="0.25">
      <c r="A2530">
        <v>2292056884</v>
      </c>
      <c r="B2530" t="s">
        <v>10607</v>
      </c>
      <c r="C2530">
        <v>895000</v>
      </c>
      <c r="D2530" t="s">
        <v>10608</v>
      </c>
      <c r="E2530" t="s">
        <v>10609</v>
      </c>
      <c r="F2530">
        <v>2</v>
      </c>
      <c r="I2530" t="str">
        <f>HYPERLINK("tel:+17146124702", "714-612-4702")</f>
        <v>714-612-4702</v>
      </c>
      <c r="J2530" t="s">
        <v>10610</v>
      </c>
      <c r="K2530" t="s">
        <v>306</v>
      </c>
      <c r="M2530">
        <v>7146124702</v>
      </c>
    </row>
    <row r="2531" spans="1:13" x14ac:dyDescent="0.25">
      <c r="A2531">
        <v>1921773214</v>
      </c>
      <c r="B2531" t="s">
        <v>10611</v>
      </c>
      <c r="C2531">
        <v>1288000</v>
      </c>
      <c r="D2531" t="s">
        <v>10612</v>
      </c>
      <c r="E2531" t="s">
        <v>10613</v>
      </c>
      <c r="F2531">
        <v>2</v>
      </c>
      <c r="I2531" t="str">
        <f>HYPERLINK("tel:+17146142426", "714-614-2426")</f>
        <v>714-614-2426</v>
      </c>
      <c r="J2531" t="s">
        <v>10614</v>
      </c>
      <c r="K2531" t="s">
        <v>10615</v>
      </c>
      <c r="M2531">
        <v>7146142426</v>
      </c>
    </row>
    <row r="2532" spans="1:13" x14ac:dyDescent="0.25">
      <c r="A2532">
        <v>2645329794</v>
      </c>
      <c r="B2532" t="s">
        <v>10616</v>
      </c>
      <c r="C2532">
        <v>3300000</v>
      </c>
      <c r="D2532" t="s">
        <v>10617</v>
      </c>
      <c r="E2532" t="s">
        <v>10618</v>
      </c>
      <c r="F2532">
        <v>2</v>
      </c>
      <c r="I2532" t="str">
        <f>HYPERLINK("tel:+17146160007", "714-616-0007")</f>
        <v>714-616-0007</v>
      </c>
      <c r="J2532" t="s">
        <v>10619</v>
      </c>
      <c r="K2532" t="s">
        <v>2078</v>
      </c>
      <c r="M2532">
        <v>7146160007</v>
      </c>
    </row>
    <row r="2533" spans="1:13" x14ac:dyDescent="0.25">
      <c r="A2533">
        <v>2402842233</v>
      </c>
      <c r="B2533" t="s">
        <v>10620</v>
      </c>
      <c r="C2533">
        <v>5499000</v>
      </c>
      <c r="D2533" t="s">
        <v>10621</v>
      </c>
      <c r="E2533" t="s">
        <v>10622</v>
      </c>
      <c r="F2533">
        <v>2</v>
      </c>
      <c r="I2533" t="str">
        <f>HYPERLINK("tel:+17146162626", "714-616-2626")</f>
        <v>714-616-2626</v>
      </c>
      <c r="J2533" t="s">
        <v>10623</v>
      </c>
      <c r="K2533" t="s">
        <v>2136</v>
      </c>
      <c r="M2533">
        <v>7146162626</v>
      </c>
    </row>
    <row r="2534" spans="1:13" x14ac:dyDescent="0.25">
      <c r="A2534">
        <v>1521508991</v>
      </c>
      <c r="B2534" t="s">
        <v>10624</v>
      </c>
      <c r="C2534">
        <v>1549000</v>
      </c>
      <c r="D2534" t="s">
        <v>10625</v>
      </c>
      <c r="E2534" t="s">
        <v>10626</v>
      </c>
      <c r="F2534">
        <v>2</v>
      </c>
      <c r="I2534" t="str">
        <f>HYPERLINK("tel:+17146167033", "714-616-7033")</f>
        <v>714-616-7033</v>
      </c>
      <c r="J2534" t="s">
        <v>10627</v>
      </c>
      <c r="K2534" t="s">
        <v>707</v>
      </c>
      <c r="M2534">
        <v>7146167033</v>
      </c>
    </row>
    <row r="2535" spans="1:13" x14ac:dyDescent="0.25">
      <c r="A2535">
        <v>2741759746</v>
      </c>
      <c r="B2535" t="s">
        <v>10628</v>
      </c>
      <c r="C2535">
        <v>2500000</v>
      </c>
      <c r="D2535" t="s">
        <v>10629</v>
      </c>
      <c r="E2535" t="s">
        <v>10630</v>
      </c>
      <c r="F2535">
        <v>2</v>
      </c>
      <c r="I2535" t="str">
        <f>HYPERLINK("tel:+17146188432", "714-618-8432")</f>
        <v>714-618-8432</v>
      </c>
      <c r="J2535" t="s">
        <v>10631</v>
      </c>
      <c r="K2535" t="s">
        <v>287</v>
      </c>
      <c r="M2535">
        <v>7146188432</v>
      </c>
    </row>
    <row r="2536" spans="1:13" x14ac:dyDescent="0.25">
      <c r="A2536">
        <v>2541780579</v>
      </c>
      <c r="B2536" t="s">
        <v>10632</v>
      </c>
      <c r="C2536">
        <v>1350000</v>
      </c>
      <c r="D2536" t="s">
        <v>10633</v>
      </c>
      <c r="E2536" t="s">
        <v>10634</v>
      </c>
      <c r="F2536">
        <v>2</v>
      </c>
      <c r="I2536" t="str">
        <f>HYPERLINK("tel:+17146249576", "714-624-9576")</f>
        <v>714-624-9576</v>
      </c>
      <c r="J2536" t="s">
        <v>10635</v>
      </c>
      <c r="K2536" t="s">
        <v>455</v>
      </c>
      <c r="M2536">
        <v>7146249576</v>
      </c>
    </row>
    <row r="2537" spans="1:13" x14ac:dyDescent="0.25">
      <c r="A2537">
        <v>2959715465</v>
      </c>
      <c r="B2537" t="s">
        <v>10636</v>
      </c>
      <c r="C2537">
        <v>908800</v>
      </c>
      <c r="D2537" t="s">
        <v>10637</v>
      </c>
      <c r="E2537" t="s">
        <v>10638</v>
      </c>
      <c r="F2537">
        <v>2</v>
      </c>
      <c r="I2537" t="str">
        <f>HYPERLINK("tel:+17146252076", "714-625-2076")</f>
        <v>714-625-2076</v>
      </c>
      <c r="J2537" t="s">
        <v>10639</v>
      </c>
      <c r="K2537" t="s">
        <v>10640</v>
      </c>
      <c r="M2537">
        <v>7146252076</v>
      </c>
    </row>
    <row r="2538" spans="1:13" x14ac:dyDescent="0.25">
      <c r="A2538">
        <v>1298464101</v>
      </c>
      <c r="B2538" t="s">
        <v>10641</v>
      </c>
      <c r="C2538">
        <v>9800000</v>
      </c>
      <c r="D2538" t="s">
        <v>10642</v>
      </c>
      <c r="E2538" t="s">
        <v>10643</v>
      </c>
      <c r="F2538">
        <v>2</v>
      </c>
      <c r="I2538" t="str">
        <f>HYPERLINK("tel:+17146255830", "714-625-5830")</f>
        <v>714-625-5830</v>
      </c>
      <c r="J2538" t="s">
        <v>10644</v>
      </c>
      <c r="K2538" t="s">
        <v>10645</v>
      </c>
      <c r="M2538">
        <v>7146255830</v>
      </c>
    </row>
    <row r="2539" spans="1:13" x14ac:dyDescent="0.25">
      <c r="A2539">
        <v>1632253925</v>
      </c>
      <c r="B2539" t="s">
        <v>10646</v>
      </c>
      <c r="C2539">
        <v>2200000</v>
      </c>
      <c r="D2539" t="s">
        <v>10647</v>
      </c>
      <c r="E2539" t="s">
        <v>10648</v>
      </c>
      <c r="F2539">
        <v>2</v>
      </c>
      <c r="I2539" t="str">
        <f>HYPERLINK("tel:+17146280008", "714-628-0008")</f>
        <v>714-628-0008</v>
      </c>
      <c r="J2539" t="s">
        <v>10649</v>
      </c>
      <c r="K2539" t="s">
        <v>158</v>
      </c>
      <c r="M2539">
        <v>7146280008</v>
      </c>
    </row>
    <row r="2540" spans="1:13" x14ac:dyDescent="0.25">
      <c r="A2540">
        <v>1634834722</v>
      </c>
      <c r="B2540" t="s">
        <v>10650</v>
      </c>
      <c r="C2540">
        <v>1499000</v>
      </c>
      <c r="D2540" t="s">
        <v>10651</v>
      </c>
      <c r="E2540" t="s">
        <v>10652</v>
      </c>
      <c r="F2540">
        <v>2</v>
      </c>
      <c r="I2540" t="str">
        <f>HYPERLINK("tel:+17146541779", "714-654-1779")</f>
        <v>714-654-1779</v>
      </c>
      <c r="J2540" t="s">
        <v>10653</v>
      </c>
      <c r="K2540" t="s">
        <v>306</v>
      </c>
      <c r="M2540">
        <v>7146541779</v>
      </c>
    </row>
    <row r="2541" spans="1:13" x14ac:dyDescent="0.25">
      <c r="A2541">
        <v>1154384978</v>
      </c>
      <c r="B2541" t="s">
        <v>10654</v>
      </c>
      <c r="C2541">
        <v>1990000</v>
      </c>
      <c r="D2541" t="s">
        <v>10655</v>
      </c>
      <c r="E2541" t="s">
        <v>10656</v>
      </c>
      <c r="F2541">
        <v>2</v>
      </c>
      <c r="I2541" t="str">
        <f>HYPERLINK("tel:+17146575503", "714-657-5503")</f>
        <v>714-657-5503</v>
      </c>
      <c r="J2541" t="s">
        <v>10657</v>
      </c>
      <c r="K2541" t="s">
        <v>10658</v>
      </c>
      <c r="M2541">
        <v>7146575503</v>
      </c>
    </row>
    <row r="2542" spans="1:13" x14ac:dyDescent="0.25">
      <c r="A2542">
        <v>2516675166</v>
      </c>
      <c r="B2542" t="s">
        <v>10659</v>
      </c>
      <c r="C2542">
        <v>899000</v>
      </c>
      <c r="D2542" t="s">
        <v>10660</v>
      </c>
      <c r="E2542" t="s">
        <v>10661</v>
      </c>
      <c r="F2542">
        <v>2</v>
      </c>
      <c r="I2542" t="str">
        <f>HYPERLINK("tel:+17146575899", "714-657-5899")</f>
        <v>714-657-5899</v>
      </c>
      <c r="J2542" t="s">
        <v>10662</v>
      </c>
      <c r="K2542" t="s">
        <v>10663</v>
      </c>
      <c r="M2542">
        <v>7146575899</v>
      </c>
    </row>
    <row r="2543" spans="1:13" x14ac:dyDescent="0.25">
      <c r="A2543">
        <v>2156302130</v>
      </c>
      <c r="B2543" t="s">
        <v>10664</v>
      </c>
      <c r="C2543">
        <v>1599999</v>
      </c>
      <c r="D2543" t="s">
        <v>10665</v>
      </c>
      <c r="E2543" t="s">
        <v>10666</v>
      </c>
      <c r="F2543">
        <v>2</v>
      </c>
      <c r="I2543" t="str">
        <f>HYPERLINK("tel:+17146583041", "714-658-3041")</f>
        <v>714-658-3041</v>
      </c>
      <c r="J2543" t="s">
        <v>10667</v>
      </c>
      <c r="K2543" t="s">
        <v>10668</v>
      </c>
      <c r="M2543">
        <v>7146583041</v>
      </c>
    </row>
    <row r="2544" spans="1:13" x14ac:dyDescent="0.25">
      <c r="A2544">
        <v>1744648008</v>
      </c>
      <c r="B2544" t="s">
        <v>10669</v>
      </c>
      <c r="C2544">
        <v>1100000</v>
      </c>
      <c r="D2544" t="s">
        <v>10670</v>
      </c>
      <c r="E2544" t="s">
        <v>10671</v>
      </c>
      <c r="F2544">
        <v>2</v>
      </c>
      <c r="I2544" t="str">
        <f>HYPERLINK("tel:+17146610708", "714-661-0708")</f>
        <v>714-661-0708</v>
      </c>
      <c r="J2544" t="s">
        <v>10672</v>
      </c>
      <c r="K2544" t="s">
        <v>10673</v>
      </c>
      <c r="M2544">
        <v>7146610708</v>
      </c>
    </row>
    <row r="2545" spans="1:13" x14ac:dyDescent="0.25">
      <c r="A2545">
        <v>1640099553</v>
      </c>
      <c r="B2545" t="s">
        <v>10674</v>
      </c>
      <c r="C2545">
        <v>1099000</v>
      </c>
      <c r="D2545" t="s">
        <v>10675</v>
      </c>
      <c r="E2545" t="s">
        <v>10676</v>
      </c>
      <c r="F2545">
        <v>2</v>
      </c>
      <c r="I2545" t="str">
        <f>HYPERLINK("tel:+17146811222", "714-681-1222")</f>
        <v>714-681-1222</v>
      </c>
      <c r="J2545" t="s">
        <v>10677</v>
      </c>
      <c r="K2545" t="s">
        <v>5396</v>
      </c>
      <c r="M2545">
        <v>7146811222</v>
      </c>
    </row>
    <row r="2546" spans="1:13" x14ac:dyDescent="0.25">
      <c r="A2546">
        <v>1549056929</v>
      </c>
      <c r="B2546" t="s">
        <v>4739</v>
      </c>
      <c r="C2546">
        <v>2495000</v>
      </c>
      <c r="D2546" t="s">
        <v>4740</v>
      </c>
      <c r="E2546" t="s">
        <v>10678</v>
      </c>
      <c r="F2546">
        <v>2</v>
      </c>
      <c r="I2546" t="str">
        <f>HYPERLINK("tel:+17146973315", "714-697-3315")</f>
        <v>714-697-3315</v>
      </c>
      <c r="J2546" t="s">
        <v>10679</v>
      </c>
      <c r="K2546" t="s">
        <v>4743</v>
      </c>
      <c r="M2546">
        <v>7146973315</v>
      </c>
    </row>
    <row r="2547" spans="1:13" x14ac:dyDescent="0.25">
      <c r="A2547">
        <v>1136580173</v>
      </c>
      <c r="B2547" t="s">
        <v>10680</v>
      </c>
      <c r="C2547">
        <v>885000</v>
      </c>
      <c r="D2547" t="s">
        <v>10681</v>
      </c>
      <c r="E2547" t="s">
        <v>10682</v>
      </c>
      <c r="F2547">
        <v>2</v>
      </c>
      <c r="I2547" t="str">
        <f>HYPERLINK("tel:+17147053034", "714-705-3034")</f>
        <v>714-705-3034</v>
      </c>
      <c r="J2547" t="s">
        <v>10683</v>
      </c>
      <c r="K2547" t="s">
        <v>10684</v>
      </c>
      <c r="M2547">
        <v>7147053034</v>
      </c>
    </row>
    <row r="2548" spans="1:13" x14ac:dyDescent="0.25">
      <c r="A2548">
        <v>1491824482</v>
      </c>
      <c r="B2548" t="s">
        <v>10558</v>
      </c>
      <c r="C2548">
        <v>1699000</v>
      </c>
      <c r="D2548" t="s">
        <v>10559</v>
      </c>
      <c r="E2548" t="s">
        <v>10685</v>
      </c>
      <c r="F2548">
        <v>2</v>
      </c>
      <c r="I2548" t="str">
        <f>HYPERLINK("tel:+17147138371", "714-713-8371")</f>
        <v>714-713-8371</v>
      </c>
      <c r="J2548" t="s">
        <v>10686</v>
      </c>
      <c r="K2548" t="s">
        <v>861</v>
      </c>
      <c r="M2548">
        <v>7147138371</v>
      </c>
    </row>
    <row r="2549" spans="1:13" x14ac:dyDescent="0.25">
      <c r="A2549">
        <v>1506339458</v>
      </c>
      <c r="B2549" t="s">
        <v>10687</v>
      </c>
      <c r="C2549">
        <v>4795000</v>
      </c>
      <c r="D2549" t="s">
        <v>10688</v>
      </c>
      <c r="E2549" t="s">
        <v>10689</v>
      </c>
      <c r="F2549">
        <v>2</v>
      </c>
      <c r="I2549" t="str">
        <f>HYPERLINK("tel:+17147178911", "714-717-8911")</f>
        <v>714-717-8911</v>
      </c>
      <c r="J2549" t="s">
        <v>10690</v>
      </c>
      <c r="K2549" t="s">
        <v>306</v>
      </c>
      <c r="M2549">
        <v>7147178911</v>
      </c>
    </row>
  </sheetData>
  <hyperlinks>
    <hyperlink ref="D1" r:id="rId1" xr:uid="{00000000-0004-0000-0000-000000000000}"/>
    <hyperlink ref="D2" r:id="rId2" xr:uid="{00000000-0004-0000-0000-000001000000}"/>
    <hyperlink ref="D3" r:id="rId3" xr:uid="{00000000-0004-0000-0000-000002000000}"/>
    <hyperlink ref="D4" r:id="rId4" xr:uid="{00000000-0004-0000-0000-000003000000}"/>
    <hyperlink ref="D5" r:id="rId5" xr:uid="{00000000-0004-0000-0000-000004000000}"/>
    <hyperlink ref="D6" r:id="rId6" xr:uid="{00000000-0004-0000-0000-000005000000}"/>
    <hyperlink ref="D7" r:id="rId7" xr:uid="{00000000-0004-0000-0000-000006000000}"/>
    <hyperlink ref="D8" r:id="rId8" xr:uid="{00000000-0004-0000-0000-000007000000}"/>
    <hyperlink ref="D9" r:id="rId9" xr:uid="{00000000-0004-0000-0000-000008000000}"/>
    <hyperlink ref="D10" r:id="rId10" xr:uid="{00000000-0004-0000-0000-000009000000}"/>
    <hyperlink ref="K10" r:id="rId11" xr:uid="{00000000-0004-0000-0000-00000A000000}"/>
    <hyperlink ref="D11" r:id="rId12" xr:uid="{00000000-0004-0000-0000-00000B000000}"/>
    <hyperlink ref="D12" r:id="rId13" xr:uid="{00000000-0004-0000-0000-00000C000000}"/>
    <hyperlink ref="D13" r:id="rId14" xr:uid="{00000000-0004-0000-0000-00000D000000}"/>
    <hyperlink ref="D14" r:id="rId15" xr:uid="{00000000-0004-0000-0000-00000E000000}"/>
    <hyperlink ref="D15" r:id="rId16" xr:uid="{00000000-0004-0000-0000-00000F000000}"/>
    <hyperlink ref="D16" r:id="rId17" xr:uid="{00000000-0004-0000-0000-000010000000}"/>
    <hyperlink ref="D17" r:id="rId18" xr:uid="{00000000-0004-0000-0000-000011000000}"/>
    <hyperlink ref="D18" r:id="rId19" xr:uid="{00000000-0004-0000-0000-000012000000}"/>
    <hyperlink ref="D19" r:id="rId20" xr:uid="{00000000-0004-0000-0000-000013000000}"/>
    <hyperlink ref="D20" r:id="rId21" xr:uid="{00000000-0004-0000-0000-000014000000}"/>
    <hyperlink ref="D21" r:id="rId22" xr:uid="{00000000-0004-0000-0000-000015000000}"/>
    <hyperlink ref="D22" r:id="rId23" xr:uid="{00000000-0004-0000-0000-000016000000}"/>
    <hyperlink ref="D23" r:id="rId24" xr:uid="{00000000-0004-0000-0000-000017000000}"/>
    <hyperlink ref="D24" r:id="rId25" xr:uid="{00000000-0004-0000-0000-000018000000}"/>
    <hyperlink ref="D25" r:id="rId26" xr:uid="{00000000-0004-0000-0000-000019000000}"/>
    <hyperlink ref="D26" r:id="rId27" xr:uid="{00000000-0004-0000-0000-00001A000000}"/>
    <hyperlink ref="D27" r:id="rId28" xr:uid="{00000000-0004-0000-0000-00001B000000}"/>
    <hyperlink ref="D28" r:id="rId29" xr:uid="{00000000-0004-0000-0000-00001C000000}"/>
    <hyperlink ref="D29" r:id="rId30" xr:uid="{00000000-0004-0000-0000-00001D000000}"/>
    <hyperlink ref="D30" r:id="rId31" xr:uid="{00000000-0004-0000-0000-00001E000000}"/>
    <hyperlink ref="D31" r:id="rId32" xr:uid="{00000000-0004-0000-0000-00001F000000}"/>
    <hyperlink ref="D32" r:id="rId33" xr:uid="{00000000-0004-0000-0000-000020000000}"/>
    <hyperlink ref="D33" r:id="rId34" xr:uid="{00000000-0004-0000-0000-000021000000}"/>
    <hyperlink ref="D34" r:id="rId35" xr:uid="{00000000-0004-0000-0000-000022000000}"/>
    <hyperlink ref="D35" r:id="rId36" xr:uid="{00000000-0004-0000-0000-000023000000}"/>
    <hyperlink ref="D36" r:id="rId37" xr:uid="{00000000-0004-0000-0000-000024000000}"/>
    <hyperlink ref="D37" r:id="rId38" xr:uid="{00000000-0004-0000-0000-000025000000}"/>
    <hyperlink ref="D38" r:id="rId39" xr:uid="{00000000-0004-0000-0000-000026000000}"/>
    <hyperlink ref="D39" r:id="rId40" xr:uid="{00000000-0004-0000-0000-000027000000}"/>
    <hyperlink ref="D40" r:id="rId41" xr:uid="{00000000-0004-0000-0000-000028000000}"/>
    <hyperlink ref="D41" r:id="rId42" xr:uid="{00000000-0004-0000-0000-000029000000}"/>
    <hyperlink ref="D42" r:id="rId43" xr:uid="{00000000-0004-0000-0000-00002A000000}"/>
    <hyperlink ref="D43" r:id="rId44" xr:uid="{00000000-0004-0000-0000-00002B000000}"/>
    <hyperlink ref="D44" r:id="rId45" xr:uid="{00000000-0004-0000-0000-00002C000000}"/>
    <hyperlink ref="D45" r:id="rId46" xr:uid="{00000000-0004-0000-0000-00002D000000}"/>
    <hyperlink ref="D46" r:id="rId47" xr:uid="{00000000-0004-0000-0000-00002E000000}"/>
    <hyperlink ref="D47" r:id="rId48" xr:uid="{00000000-0004-0000-0000-00002F000000}"/>
    <hyperlink ref="D48" r:id="rId49" xr:uid="{00000000-0004-0000-0000-000030000000}"/>
    <hyperlink ref="D49" r:id="rId50" xr:uid="{00000000-0004-0000-0000-000031000000}"/>
    <hyperlink ref="D50" r:id="rId51" xr:uid="{00000000-0004-0000-0000-000032000000}"/>
    <hyperlink ref="D51" r:id="rId52" xr:uid="{00000000-0004-0000-0000-000033000000}"/>
    <hyperlink ref="D52" r:id="rId53" xr:uid="{00000000-0004-0000-0000-000034000000}"/>
    <hyperlink ref="D53" r:id="rId54" xr:uid="{00000000-0004-0000-0000-000035000000}"/>
    <hyperlink ref="D54" r:id="rId55" xr:uid="{00000000-0004-0000-0000-000036000000}"/>
    <hyperlink ref="D55" r:id="rId56" xr:uid="{00000000-0004-0000-0000-000037000000}"/>
    <hyperlink ref="D56" r:id="rId57" xr:uid="{00000000-0004-0000-0000-000038000000}"/>
    <hyperlink ref="D57" r:id="rId58" xr:uid="{00000000-0004-0000-0000-000039000000}"/>
    <hyperlink ref="D58" r:id="rId59" xr:uid="{00000000-0004-0000-0000-00003A000000}"/>
    <hyperlink ref="D59" r:id="rId60" xr:uid="{00000000-0004-0000-0000-00003B000000}"/>
    <hyperlink ref="D60" r:id="rId61" xr:uid="{00000000-0004-0000-0000-00003C000000}"/>
    <hyperlink ref="D61" r:id="rId62" xr:uid="{00000000-0004-0000-0000-00003D000000}"/>
    <hyperlink ref="D62" r:id="rId63" xr:uid="{00000000-0004-0000-0000-00003E000000}"/>
    <hyperlink ref="D63" r:id="rId64" xr:uid="{00000000-0004-0000-0000-00003F000000}"/>
    <hyperlink ref="D64" r:id="rId65" xr:uid="{00000000-0004-0000-0000-000040000000}"/>
    <hyperlink ref="D65" r:id="rId66" xr:uid="{00000000-0004-0000-0000-000041000000}"/>
    <hyperlink ref="D66" r:id="rId67" xr:uid="{00000000-0004-0000-0000-000042000000}"/>
    <hyperlink ref="D67" r:id="rId68" xr:uid="{00000000-0004-0000-0000-000043000000}"/>
    <hyperlink ref="D68" r:id="rId69" xr:uid="{00000000-0004-0000-0000-000044000000}"/>
    <hyperlink ref="D69" r:id="rId70" xr:uid="{00000000-0004-0000-0000-000045000000}"/>
    <hyperlink ref="D70" r:id="rId71" xr:uid="{00000000-0004-0000-0000-000046000000}"/>
    <hyperlink ref="D71" r:id="rId72" xr:uid="{00000000-0004-0000-0000-000047000000}"/>
    <hyperlink ref="D72" r:id="rId73" xr:uid="{00000000-0004-0000-0000-000048000000}"/>
    <hyperlink ref="D73" r:id="rId74" xr:uid="{00000000-0004-0000-0000-000049000000}"/>
    <hyperlink ref="D74" r:id="rId75" xr:uid="{00000000-0004-0000-0000-00004A000000}"/>
    <hyperlink ref="D75" r:id="rId76" xr:uid="{00000000-0004-0000-0000-00004B000000}"/>
    <hyperlink ref="D76" r:id="rId77" xr:uid="{00000000-0004-0000-0000-00004C000000}"/>
    <hyperlink ref="D77" r:id="rId78" xr:uid="{00000000-0004-0000-0000-00004D000000}"/>
    <hyperlink ref="D78" r:id="rId79" xr:uid="{00000000-0004-0000-0000-00004E000000}"/>
    <hyperlink ref="D79" r:id="rId80" xr:uid="{00000000-0004-0000-0000-00004F000000}"/>
    <hyperlink ref="D80" r:id="rId81" xr:uid="{00000000-0004-0000-0000-000050000000}"/>
    <hyperlink ref="D81" r:id="rId82" xr:uid="{00000000-0004-0000-0000-000051000000}"/>
    <hyperlink ref="D82" r:id="rId83" xr:uid="{00000000-0004-0000-0000-000052000000}"/>
    <hyperlink ref="D83" r:id="rId84" xr:uid="{00000000-0004-0000-0000-000053000000}"/>
    <hyperlink ref="D84" r:id="rId85" xr:uid="{00000000-0004-0000-0000-000054000000}"/>
    <hyperlink ref="D85" r:id="rId86" xr:uid="{00000000-0004-0000-0000-000055000000}"/>
    <hyperlink ref="D86" r:id="rId87" xr:uid="{00000000-0004-0000-0000-000056000000}"/>
    <hyperlink ref="D87" r:id="rId88" xr:uid="{00000000-0004-0000-0000-000057000000}"/>
    <hyperlink ref="D88" r:id="rId89" xr:uid="{00000000-0004-0000-0000-000058000000}"/>
    <hyperlink ref="D89" r:id="rId90" xr:uid="{00000000-0004-0000-0000-000059000000}"/>
    <hyperlink ref="D90" r:id="rId91" xr:uid="{00000000-0004-0000-0000-00005A000000}"/>
    <hyperlink ref="D91" r:id="rId92" xr:uid="{00000000-0004-0000-0000-00005B000000}"/>
    <hyperlink ref="D92" r:id="rId93" xr:uid="{00000000-0004-0000-0000-00005C000000}"/>
    <hyperlink ref="D93" r:id="rId94" xr:uid="{00000000-0004-0000-0000-00005D000000}"/>
    <hyperlink ref="D94" r:id="rId95" xr:uid="{00000000-0004-0000-0000-00005E000000}"/>
    <hyperlink ref="D95" r:id="rId96" xr:uid="{00000000-0004-0000-0000-00005F000000}"/>
    <hyperlink ref="D96" r:id="rId97" xr:uid="{00000000-0004-0000-0000-000060000000}"/>
    <hyperlink ref="D97" r:id="rId98" xr:uid="{00000000-0004-0000-0000-000061000000}"/>
    <hyperlink ref="D98" r:id="rId99" xr:uid="{00000000-0004-0000-0000-000062000000}"/>
    <hyperlink ref="D99" r:id="rId100" xr:uid="{00000000-0004-0000-0000-000063000000}"/>
    <hyperlink ref="D100" r:id="rId101" xr:uid="{00000000-0004-0000-0000-000064000000}"/>
    <hyperlink ref="D101" r:id="rId102" xr:uid="{00000000-0004-0000-0000-000065000000}"/>
    <hyperlink ref="D102" r:id="rId103" xr:uid="{00000000-0004-0000-0000-000066000000}"/>
    <hyperlink ref="D103" r:id="rId104" xr:uid="{00000000-0004-0000-0000-000067000000}"/>
    <hyperlink ref="D104" r:id="rId105" xr:uid="{00000000-0004-0000-0000-000068000000}"/>
    <hyperlink ref="D105" r:id="rId106" xr:uid="{00000000-0004-0000-0000-000069000000}"/>
    <hyperlink ref="D106" r:id="rId107" xr:uid="{00000000-0004-0000-0000-00006A000000}"/>
    <hyperlink ref="D107" r:id="rId108" xr:uid="{00000000-0004-0000-0000-00006B000000}"/>
    <hyperlink ref="D108" r:id="rId109" xr:uid="{00000000-0004-0000-0000-00006C000000}"/>
    <hyperlink ref="D109" r:id="rId110" xr:uid="{00000000-0004-0000-0000-00006D000000}"/>
    <hyperlink ref="D110" r:id="rId111" xr:uid="{00000000-0004-0000-0000-00006E000000}"/>
    <hyperlink ref="D111" r:id="rId112" xr:uid="{00000000-0004-0000-0000-00006F000000}"/>
    <hyperlink ref="D112" r:id="rId113" xr:uid="{00000000-0004-0000-0000-000070000000}"/>
    <hyperlink ref="D113" r:id="rId114" xr:uid="{00000000-0004-0000-0000-000071000000}"/>
    <hyperlink ref="D114" r:id="rId115" xr:uid="{00000000-0004-0000-0000-000072000000}"/>
    <hyperlink ref="D115" r:id="rId116" xr:uid="{00000000-0004-0000-0000-000073000000}"/>
    <hyperlink ref="D116" r:id="rId117" xr:uid="{00000000-0004-0000-0000-000074000000}"/>
    <hyperlink ref="D117" r:id="rId118" xr:uid="{00000000-0004-0000-0000-000075000000}"/>
    <hyperlink ref="D118" r:id="rId119" xr:uid="{00000000-0004-0000-0000-000076000000}"/>
    <hyperlink ref="D119" r:id="rId120" xr:uid="{00000000-0004-0000-0000-000077000000}"/>
    <hyperlink ref="D120" r:id="rId121" xr:uid="{00000000-0004-0000-0000-000078000000}"/>
    <hyperlink ref="D121" r:id="rId122" xr:uid="{00000000-0004-0000-0000-000079000000}"/>
    <hyperlink ref="D122" r:id="rId123" xr:uid="{00000000-0004-0000-0000-00007A000000}"/>
    <hyperlink ref="D123" r:id="rId124" xr:uid="{00000000-0004-0000-0000-00007B000000}"/>
    <hyperlink ref="D124" r:id="rId125" xr:uid="{00000000-0004-0000-0000-00007C000000}"/>
    <hyperlink ref="D125" r:id="rId126" xr:uid="{00000000-0004-0000-0000-00007D000000}"/>
    <hyperlink ref="D126" r:id="rId127" xr:uid="{00000000-0004-0000-0000-00007E000000}"/>
    <hyperlink ref="D127" r:id="rId128" xr:uid="{00000000-0004-0000-0000-00007F000000}"/>
    <hyperlink ref="D128" r:id="rId129" xr:uid="{00000000-0004-0000-0000-000080000000}"/>
    <hyperlink ref="D129" r:id="rId130" xr:uid="{00000000-0004-0000-0000-000081000000}"/>
    <hyperlink ref="D130" r:id="rId131" xr:uid="{00000000-0004-0000-0000-000082000000}"/>
    <hyperlink ref="D131" r:id="rId132" xr:uid="{00000000-0004-0000-0000-000083000000}"/>
    <hyperlink ref="D132" r:id="rId133" xr:uid="{00000000-0004-0000-0000-000084000000}"/>
    <hyperlink ref="D133" r:id="rId134" xr:uid="{00000000-0004-0000-0000-000085000000}"/>
    <hyperlink ref="D134" r:id="rId135" xr:uid="{00000000-0004-0000-0000-000086000000}"/>
    <hyperlink ref="D135" r:id="rId136" xr:uid="{00000000-0004-0000-0000-000087000000}"/>
    <hyperlink ref="D136" r:id="rId137" xr:uid="{00000000-0004-0000-0000-000088000000}"/>
    <hyperlink ref="D137" r:id="rId138" xr:uid="{00000000-0004-0000-0000-000089000000}"/>
    <hyperlink ref="D138" r:id="rId139" xr:uid="{00000000-0004-0000-0000-00008A000000}"/>
    <hyperlink ref="D139" r:id="rId140" xr:uid="{00000000-0004-0000-0000-00008B000000}"/>
    <hyperlink ref="D140" r:id="rId141" xr:uid="{00000000-0004-0000-0000-00008C000000}"/>
    <hyperlink ref="D141" r:id="rId142" xr:uid="{00000000-0004-0000-0000-00008D000000}"/>
    <hyperlink ref="D142" r:id="rId143" xr:uid="{00000000-0004-0000-0000-00008E000000}"/>
    <hyperlink ref="D143" r:id="rId144" xr:uid="{00000000-0004-0000-0000-00008F000000}"/>
    <hyperlink ref="D144" r:id="rId145" xr:uid="{00000000-0004-0000-0000-000090000000}"/>
    <hyperlink ref="D145" r:id="rId146" xr:uid="{00000000-0004-0000-0000-000091000000}"/>
    <hyperlink ref="D146" r:id="rId147" xr:uid="{00000000-0004-0000-0000-000092000000}"/>
    <hyperlink ref="D147" r:id="rId148" xr:uid="{00000000-0004-0000-0000-000093000000}"/>
    <hyperlink ref="D148" r:id="rId149" xr:uid="{00000000-0004-0000-0000-000094000000}"/>
    <hyperlink ref="D149" r:id="rId150" xr:uid="{00000000-0004-0000-0000-000095000000}"/>
    <hyperlink ref="D150" r:id="rId151" xr:uid="{00000000-0004-0000-0000-000096000000}"/>
    <hyperlink ref="D151" r:id="rId152" xr:uid="{00000000-0004-0000-0000-000097000000}"/>
    <hyperlink ref="D152" r:id="rId153" xr:uid="{00000000-0004-0000-0000-000098000000}"/>
    <hyperlink ref="D153" r:id="rId154" xr:uid="{00000000-0004-0000-0000-000099000000}"/>
    <hyperlink ref="D154" r:id="rId155" xr:uid="{00000000-0004-0000-0000-00009A000000}"/>
    <hyperlink ref="D155" r:id="rId156" xr:uid="{00000000-0004-0000-0000-00009B000000}"/>
    <hyperlink ref="D156" r:id="rId157" xr:uid="{00000000-0004-0000-0000-00009C000000}"/>
    <hyperlink ref="D157" r:id="rId158" xr:uid="{00000000-0004-0000-0000-00009D000000}"/>
    <hyperlink ref="D158" r:id="rId159" xr:uid="{00000000-0004-0000-0000-00009E000000}"/>
    <hyperlink ref="D159" r:id="rId160" xr:uid="{00000000-0004-0000-0000-00009F000000}"/>
    <hyperlink ref="D160" r:id="rId161" xr:uid="{00000000-0004-0000-0000-0000A0000000}"/>
    <hyperlink ref="D161" r:id="rId162" xr:uid="{00000000-0004-0000-0000-0000A1000000}"/>
    <hyperlink ref="D162" r:id="rId163" xr:uid="{00000000-0004-0000-0000-0000A2000000}"/>
    <hyperlink ref="D163" r:id="rId164" xr:uid="{00000000-0004-0000-0000-0000A3000000}"/>
    <hyperlink ref="D164" r:id="rId165" xr:uid="{00000000-0004-0000-0000-0000A4000000}"/>
    <hyperlink ref="D165" r:id="rId166" xr:uid="{00000000-0004-0000-0000-0000A5000000}"/>
    <hyperlink ref="D166" r:id="rId167" xr:uid="{00000000-0004-0000-0000-0000A6000000}"/>
    <hyperlink ref="D167" r:id="rId168" xr:uid="{00000000-0004-0000-0000-0000A7000000}"/>
    <hyperlink ref="D168" r:id="rId169" xr:uid="{00000000-0004-0000-0000-0000A8000000}"/>
    <hyperlink ref="D169" r:id="rId170" xr:uid="{00000000-0004-0000-0000-0000A9000000}"/>
    <hyperlink ref="D170" r:id="rId171" xr:uid="{00000000-0004-0000-0000-0000AA000000}"/>
    <hyperlink ref="D171" r:id="rId172" xr:uid="{00000000-0004-0000-0000-0000AB000000}"/>
    <hyperlink ref="D172" r:id="rId173" xr:uid="{00000000-0004-0000-0000-0000AC000000}"/>
    <hyperlink ref="D173" r:id="rId174" xr:uid="{00000000-0004-0000-0000-0000AD000000}"/>
    <hyperlink ref="D174" r:id="rId175" xr:uid="{00000000-0004-0000-0000-0000AE000000}"/>
    <hyperlink ref="D175" r:id="rId176" xr:uid="{00000000-0004-0000-0000-0000AF000000}"/>
    <hyperlink ref="D176" r:id="rId177" xr:uid="{00000000-0004-0000-0000-0000B0000000}"/>
    <hyperlink ref="D177" r:id="rId178" xr:uid="{00000000-0004-0000-0000-0000B1000000}"/>
    <hyperlink ref="D178" r:id="rId179" xr:uid="{00000000-0004-0000-0000-0000B2000000}"/>
    <hyperlink ref="D179" r:id="rId180" xr:uid="{00000000-0004-0000-0000-0000B3000000}"/>
    <hyperlink ref="D180" r:id="rId181" xr:uid="{00000000-0004-0000-0000-0000B4000000}"/>
    <hyperlink ref="D181" r:id="rId182" xr:uid="{00000000-0004-0000-0000-0000B5000000}"/>
    <hyperlink ref="D182" r:id="rId183" xr:uid="{00000000-0004-0000-0000-0000B6000000}"/>
    <hyperlink ref="D183" r:id="rId184" xr:uid="{00000000-0004-0000-0000-0000B7000000}"/>
    <hyperlink ref="D184" r:id="rId185" xr:uid="{00000000-0004-0000-0000-0000B8000000}"/>
    <hyperlink ref="D185" r:id="rId186" xr:uid="{00000000-0004-0000-0000-0000B9000000}"/>
    <hyperlink ref="D186" r:id="rId187" xr:uid="{00000000-0004-0000-0000-0000BA000000}"/>
    <hyperlink ref="D187" r:id="rId188" xr:uid="{00000000-0004-0000-0000-0000BB000000}"/>
    <hyperlink ref="D188" r:id="rId189" xr:uid="{00000000-0004-0000-0000-0000BC000000}"/>
    <hyperlink ref="D189" r:id="rId190" xr:uid="{00000000-0004-0000-0000-0000BD000000}"/>
    <hyperlink ref="D190" r:id="rId191" xr:uid="{00000000-0004-0000-0000-0000BE000000}"/>
    <hyperlink ref="D191" r:id="rId192" xr:uid="{00000000-0004-0000-0000-0000BF000000}"/>
    <hyperlink ref="D192" r:id="rId193" xr:uid="{00000000-0004-0000-0000-0000C0000000}"/>
    <hyperlink ref="D193" r:id="rId194" xr:uid="{00000000-0004-0000-0000-0000C1000000}"/>
    <hyperlink ref="D194" r:id="rId195" xr:uid="{00000000-0004-0000-0000-0000C2000000}"/>
    <hyperlink ref="D195" r:id="rId196" xr:uid="{00000000-0004-0000-0000-0000C3000000}"/>
    <hyperlink ref="D196" r:id="rId197" xr:uid="{00000000-0004-0000-0000-0000C4000000}"/>
    <hyperlink ref="D197" r:id="rId198" xr:uid="{00000000-0004-0000-0000-0000C5000000}"/>
    <hyperlink ref="D198" r:id="rId199" xr:uid="{00000000-0004-0000-0000-0000C6000000}"/>
    <hyperlink ref="D199" r:id="rId200" xr:uid="{00000000-0004-0000-0000-0000C7000000}"/>
    <hyperlink ref="D200" r:id="rId201" xr:uid="{00000000-0004-0000-0000-0000C8000000}"/>
    <hyperlink ref="D201" r:id="rId202" xr:uid="{00000000-0004-0000-0000-0000C9000000}"/>
    <hyperlink ref="D202" r:id="rId203" xr:uid="{00000000-0004-0000-0000-0000CA000000}"/>
    <hyperlink ref="D203" r:id="rId204" xr:uid="{00000000-0004-0000-0000-0000CB000000}"/>
    <hyperlink ref="D204" r:id="rId205" xr:uid="{00000000-0004-0000-0000-0000CC000000}"/>
    <hyperlink ref="D205" r:id="rId206" xr:uid="{00000000-0004-0000-0000-0000CD000000}"/>
    <hyperlink ref="D206" r:id="rId207" xr:uid="{00000000-0004-0000-0000-0000CE000000}"/>
    <hyperlink ref="D207" r:id="rId208" xr:uid="{00000000-0004-0000-0000-0000CF000000}"/>
    <hyperlink ref="D208" r:id="rId209" xr:uid="{00000000-0004-0000-0000-0000D0000000}"/>
    <hyperlink ref="D209" r:id="rId210" xr:uid="{00000000-0004-0000-0000-0000D1000000}"/>
    <hyperlink ref="D210" r:id="rId211" xr:uid="{00000000-0004-0000-0000-0000D2000000}"/>
    <hyperlink ref="D211" r:id="rId212" xr:uid="{00000000-0004-0000-0000-0000D3000000}"/>
    <hyperlink ref="D212" r:id="rId213" xr:uid="{00000000-0004-0000-0000-0000D4000000}"/>
    <hyperlink ref="D213" r:id="rId214" xr:uid="{00000000-0004-0000-0000-0000D5000000}"/>
    <hyperlink ref="D214" r:id="rId215" xr:uid="{00000000-0004-0000-0000-0000D6000000}"/>
    <hyperlink ref="D215" r:id="rId216" xr:uid="{00000000-0004-0000-0000-0000D7000000}"/>
    <hyperlink ref="D216" r:id="rId217" xr:uid="{00000000-0004-0000-0000-0000D8000000}"/>
    <hyperlink ref="D217" r:id="rId218" xr:uid="{00000000-0004-0000-0000-0000D9000000}"/>
    <hyperlink ref="D218" r:id="rId219" xr:uid="{00000000-0004-0000-0000-0000DA000000}"/>
    <hyperlink ref="D219" r:id="rId220" xr:uid="{00000000-0004-0000-0000-0000DB000000}"/>
    <hyperlink ref="D220" r:id="rId221" xr:uid="{00000000-0004-0000-0000-0000DC000000}"/>
    <hyperlink ref="D221" r:id="rId222" xr:uid="{00000000-0004-0000-0000-0000DD000000}"/>
    <hyperlink ref="D222" r:id="rId223" xr:uid="{00000000-0004-0000-0000-0000DE000000}"/>
    <hyperlink ref="D223" r:id="rId224" xr:uid="{00000000-0004-0000-0000-0000DF000000}"/>
    <hyperlink ref="D224" r:id="rId225" xr:uid="{00000000-0004-0000-0000-0000E0000000}"/>
    <hyperlink ref="D225" r:id="rId226" xr:uid="{00000000-0004-0000-0000-0000E1000000}"/>
    <hyperlink ref="D226" r:id="rId227" xr:uid="{00000000-0004-0000-0000-0000E2000000}"/>
    <hyperlink ref="D227" r:id="rId228" xr:uid="{00000000-0004-0000-0000-0000E3000000}"/>
    <hyperlink ref="D228" r:id="rId229" xr:uid="{00000000-0004-0000-0000-0000E4000000}"/>
    <hyperlink ref="D229" r:id="rId230" xr:uid="{00000000-0004-0000-0000-0000E5000000}"/>
    <hyperlink ref="D230" r:id="rId231" xr:uid="{00000000-0004-0000-0000-0000E6000000}"/>
    <hyperlink ref="D231" r:id="rId232" xr:uid="{00000000-0004-0000-0000-0000E7000000}"/>
    <hyperlink ref="D232" r:id="rId233" xr:uid="{00000000-0004-0000-0000-0000E8000000}"/>
    <hyperlink ref="D233" r:id="rId234" xr:uid="{00000000-0004-0000-0000-0000E9000000}"/>
    <hyperlink ref="D234" r:id="rId235" xr:uid="{00000000-0004-0000-0000-0000EA000000}"/>
    <hyperlink ref="D235" r:id="rId236" xr:uid="{00000000-0004-0000-0000-0000EB000000}"/>
    <hyperlink ref="D236" r:id="rId237" xr:uid="{00000000-0004-0000-0000-0000EC000000}"/>
    <hyperlink ref="D237" r:id="rId238" xr:uid="{00000000-0004-0000-0000-0000ED000000}"/>
    <hyperlink ref="D238" r:id="rId239" xr:uid="{00000000-0004-0000-0000-0000EE000000}"/>
    <hyperlink ref="D239" r:id="rId240" xr:uid="{00000000-0004-0000-0000-0000EF000000}"/>
    <hyperlink ref="D240" r:id="rId241" xr:uid="{00000000-0004-0000-0000-0000F0000000}"/>
    <hyperlink ref="D241" r:id="rId242" xr:uid="{00000000-0004-0000-0000-0000F1000000}"/>
    <hyperlink ref="D242" r:id="rId243" xr:uid="{00000000-0004-0000-0000-0000F2000000}"/>
    <hyperlink ref="D243" r:id="rId244" xr:uid="{00000000-0004-0000-0000-0000F3000000}"/>
    <hyperlink ref="D244" r:id="rId245" xr:uid="{00000000-0004-0000-0000-0000F4000000}"/>
    <hyperlink ref="D245" r:id="rId246" xr:uid="{00000000-0004-0000-0000-0000F5000000}"/>
    <hyperlink ref="D246" r:id="rId247" xr:uid="{00000000-0004-0000-0000-0000F6000000}"/>
    <hyperlink ref="D247" r:id="rId248" xr:uid="{00000000-0004-0000-0000-0000F7000000}"/>
    <hyperlink ref="D248" r:id="rId249" xr:uid="{00000000-0004-0000-0000-0000F8000000}"/>
    <hyperlink ref="D249" r:id="rId250" xr:uid="{00000000-0004-0000-0000-0000F9000000}"/>
    <hyperlink ref="D250" r:id="rId251" xr:uid="{00000000-0004-0000-0000-0000FA000000}"/>
    <hyperlink ref="D251" r:id="rId252" xr:uid="{00000000-0004-0000-0000-0000FB000000}"/>
    <hyperlink ref="D252" r:id="rId253" xr:uid="{00000000-0004-0000-0000-0000FC000000}"/>
    <hyperlink ref="D253" r:id="rId254" xr:uid="{00000000-0004-0000-0000-0000FD000000}"/>
    <hyperlink ref="D254" r:id="rId255" xr:uid="{00000000-0004-0000-0000-0000FE000000}"/>
    <hyperlink ref="D255" r:id="rId256" xr:uid="{00000000-0004-0000-0000-0000FF000000}"/>
    <hyperlink ref="D256" r:id="rId257" xr:uid="{00000000-0004-0000-0000-000000010000}"/>
    <hyperlink ref="D257" r:id="rId258" xr:uid="{00000000-0004-0000-0000-000001010000}"/>
    <hyperlink ref="D258" r:id="rId259" xr:uid="{00000000-0004-0000-0000-000002010000}"/>
    <hyperlink ref="D259" r:id="rId260" xr:uid="{00000000-0004-0000-0000-000003010000}"/>
    <hyperlink ref="D260" r:id="rId261" xr:uid="{00000000-0004-0000-0000-000004010000}"/>
    <hyperlink ref="D261" r:id="rId262" xr:uid="{00000000-0004-0000-0000-000005010000}"/>
    <hyperlink ref="D262" r:id="rId263" xr:uid="{00000000-0004-0000-0000-000006010000}"/>
    <hyperlink ref="D263" r:id="rId264" xr:uid="{00000000-0004-0000-0000-000007010000}"/>
    <hyperlink ref="D264" r:id="rId265" xr:uid="{00000000-0004-0000-0000-000008010000}"/>
    <hyperlink ref="D265" r:id="rId266" xr:uid="{00000000-0004-0000-0000-000009010000}"/>
    <hyperlink ref="D266" r:id="rId267" xr:uid="{00000000-0004-0000-0000-00000A010000}"/>
    <hyperlink ref="D267" r:id="rId268" xr:uid="{00000000-0004-0000-0000-00000B010000}"/>
    <hyperlink ref="D268" r:id="rId269" xr:uid="{00000000-0004-0000-0000-00000C010000}"/>
    <hyperlink ref="D269" r:id="rId270" xr:uid="{00000000-0004-0000-0000-00000D010000}"/>
    <hyperlink ref="D270" r:id="rId271" xr:uid="{00000000-0004-0000-0000-00000E010000}"/>
    <hyperlink ref="D271" r:id="rId272" xr:uid="{00000000-0004-0000-0000-00000F010000}"/>
    <hyperlink ref="D272" r:id="rId273" xr:uid="{00000000-0004-0000-0000-000010010000}"/>
    <hyperlink ref="D273" r:id="rId274" xr:uid="{00000000-0004-0000-0000-000011010000}"/>
    <hyperlink ref="D274" r:id="rId275" xr:uid="{00000000-0004-0000-0000-000012010000}"/>
    <hyperlink ref="D275" r:id="rId276" xr:uid="{00000000-0004-0000-0000-000013010000}"/>
    <hyperlink ref="D276" r:id="rId277" xr:uid="{00000000-0004-0000-0000-000014010000}"/>
    <hyperlink ref="D277" r:id="rId278" xr:uid="{00000000-0004-0000-0000-000015010000}"/>
    <hyperlink ref="D278" r:id="rId279" xr:uid="{00000000-0004-0000-0000-000016010000}"/>
    <hyperlink ref="D279" r:id="rId280" xr:uid="{00000000-0004-0000-0000-000017010000}"/>
    <hyperlink ref="D280" r:id="rId281" xr:uid="{00000000-0004-0000-0000-000018010000}"/>
    <hyperlink ref="D281" r:id="rId282" xr:uid="{00000000-0004-0000-0000-000019010000}"/>
    <hyperlink ref="D282" r:id="rId283" xr:uid="{00000000-0004-0000-0000-00001A010000}"/>
    <hyperlink ref="D283" r:id="rId284" xr:uid="{00000000-0004-0000-0000-00001B010000}"/>
    <hyperlink ref="D284" r:id="rId285" xr:uid="{00000000-0004-0000-0000-00001C010000}"/>
    <hyperlink ref="D285" r:id="rId286" xr:uid="{00000000-0004-0000-0000-00001D010000}"/>
    <hyperlink ref="D286" r:id="rId287" xr:uid="{00000000-0004-0000-0000-00001E010000}"/>
    <hyperlink ref="D287" r:id="rId288" xr:uid="{00000000-0004-0000-0000-00001F010000}"/>
    <hyperlink ref="D288" r:id="rId289" xr:uid="{00000000-0004-0000-0000-000020010000}"/>
    <hyperlink ref="D289" r:id="rId290" xr:uid="{00000000-0004-0000-0000-000021010000}"/>
    <hyperlink ref="D290" r:id="rId291" xr:uid="{00000000-0004-0000-0000-000022010000}"/>
    <hyperlink ref="D291" r:id="rId292" xr:uid="{00000000-0004-0000-0000-000023010000}"/>
    <hyperlink ref="D292" r:id="rId293" xr:uid="{00000000-0004-0000-0000-000024010000}"/>
    <hyperlink ref="D293" r:id="rId294" xr:uid="{00000000-0004-0000-0000-000025010000}"/>
    <hyperlink ref="D294" r:id="rId295" xr:uid="{00000000-0004-0000-0000-000026010000}"/>
    <hyperlink ref="D295" r:id="rId296" xr:uid="{00000000-0004-0000-0000-000027010000}"/>
    <hyperlink ref="D296" r:id="rId297" xr:uid="{00000000-0004-0000-0000-000028010000}"/>
    <hyperlink ref="D297" r:id="rId298" xr:uid="{00000000-0004-0000-0000-000029010000}"/>
    <hyperlink ref="D298" r:id="rId299" xr:uid="{00000000-0004-0000-0000-00002A010000}"/>
    <hyperlink ref="D299" r:id="rId300" xr:uid="{00000000-0004-0000-0000-00002B010000}"/>
    <hyperlink ref="D300" r:id="rId301" xr:uid="{00000000-0004-0000-0000-00002C010000}"/>
    <hyperlink ref="D301" r:id="rId302" xr:uid="{00000000-0004-0000-0000-00002D010000}"/>
    <hyperlink ref="D302" r:id="rId303" xr:uid="{00000000-0004-0000-0000-00002E010000}"/>
    <hyperlink ref="D303" r:id="rId304" xr:uid="{00000000-0004-0000-0000-00002F010000}"/>
    <hyperlink ref="D304" r:id="rId305" xr:uid="{00000000-0004-0000-0000-000030010000}"/>
    <hyperlink ref="D305" r:id="rId306" xr:uid="{00000000-0004-0000-0000-000031010000}"/>
    <hyperlink ref="D306" r:id="rId307" xr:uid="{00000000-0004-0000-0000-000032010000}"/>
    <hyperlink ref="D307" r:id="rId308" xr:uid="{00000000-0004-0000-0000-000033010000}"/>
    <hyperlink ref="D308" r:id="rId309" xr:uid="{00000000-0004-0000-0000-000034010000}"/>
    <hyperlink ref="D309" r:id="rId310" xr:uid="{00000000-0004-0000-0000-000035010000}"/>
    <hyperlink ref="D310" r:id="rId311" xr:uid="{00000000-0004-0000-0000-000036010000}"/>
    <hyperlink ref="D311" r:id="rId312" xr:uid="{00000000-0004-0000-0000-000037010000}"/>
    <hyperlink ref="D312" r:id="rId313" xr:uid="{00000000-0004-0000-0000-000038010000}"/>
    <hyperlink ref="D313" r:id="rId314" xr:uid="{00000000-0004-0000-0000-000039010000}"/>
    <hyperlink ref="D314" r:id="rId315" xr:uid="{00000000-0004-0000-0000-00003A010000}"/>
    <hyperlink ref="D315" r:id="rId316" xr:uid="{00000000-0004-0000-0000-00003B010000}"/>
    <hyperlink ref="D316" r:id="rId317" xr:uid="{00000000-0004-0000-0000-00003C010000}"/>
    <hyperlink ref="D317" r:id="rId318" xr:uid="{00000000-0004-0000-0000-00003D010000}"/>
    <hyperlink ref="D318" r:id="rId319" xr:uid="{00000000-0004-0000-0000-00003E010000}"/>
    <hyperlink ref="D319" r:id="rId320" xr:uid="{00000000-0004-0000-0000-00003F010000}"/>
    <hyperlink ref="D320" r:id="rId321" xr:uid="{00000000-0004-0000-0000-000040010000}"/>
    <hyperlink ref="D321" r:id="rId322" xr:uid="{00000000-0004-0000-0000-000041010000}"/>
    <hyperlink ref="D322" r:id="rId323" xr:uid="{00000000-0004-0000-0000-000042010000}"/>
    <hyperlink ref="D323" r:id="rId324" xr:uid="{00000000-0004-0000-0000-000043010000}"/>
    <hyperlink ref="D324" r:id="rId325" xr:uid="{00000000-0004-0000-0000-000044010000}"/>
    <hyperlink ref="D325" r:id="rId326" xr:uid="{00000000-0004-0000-0000-000045010000}"/>
    <hyperlink ref="D326" r:id="rId327" xr:uid="{00000000-0004-0000-0000-000046010000}"/>
    <hyperlink ref="D327" r:id="rId328" xr:uid="{00000000-0004-0000-0000-000047010000}"/>
    <hyperlink ref="D328" r:id="rId329" xr:uid="{00000000-0004-0000-0000-000048010000}"/>
    <hyperlink ref="D329" r:id="rId330" xr:uid="{00000000-0004-0000-0000-000049010000}"/>
    <hyperlink ref="D330" r:id="rId331" xr:uid="{00000000-0004-0000-0000-00004A010000}"/>
    <hyperlink ref="D331" r:id="rId332" xr:uid="{00000000-0004-0000-0000-00004B010000}"/>
    <hyperlink ref="D332" r:id="rId333" xr:uid="{00000000-0004-0000-0000-00004C010000}"/>
    <hyperlink ref="D333" r:id="rId334" xr:uid="{00000000-0004-0000-0000-00004D010000}"/>
    <hyperlink ref="D334" r:id="rId335" xr:uid="{00000000-0004-0000-0000-00004E010000}"/>
    <hyperlink ref="D335" r:id="rId336" xr:uid="{00000000-0004-0000-0000-00004F010000}"/>
    <hyperlink ref="D336" r:id="rId337" xr:uid="{00000000-0004-0000-0000-000050010000}"/>
    <hyperlink ref="D337" r:id="rId338" xr:uid="{00000000-0004-0000-0000-000051010000}"/>
    <hyperlink ref="D338" r:id="rId339" xr:uid="{00000000-0004-0000-0000-000052010000}"/>
    <hyperlink ref="D339" r:id="rId340" xr:uid="{00000000-0004-0000-0000-000053010000}"/>
    <hyperlink ref="D340" r:id="rId341" xr:uid="{00000000-0004-0000-0000-000054010000}"/>
    <hyperlink ref="D341" r:id="rId342" xr:uid="{00000000-0004-0000-0000-000055010000}"/>
    <hyperlink ref="D342" r:id="rId343" xr:uid="{00000000-0004-0000-0000-000056010000}"/>
    <hyperlink ref="D343" r:id="rId344" xr:uid="{00000000-0004-0000-0000-000057010000}"/>
    <hyperlink ref="D344" r:id="rId345" xr:uid="{00000000-0004-0000-0000-000058010000}"/>
    <hyperlink ref="D345" r:id="rId346" xr:uid="{00000000-0004-0000-0000-000059010000}"/>
    <hyperlink ref="D346" r:id="rId347" xr:uid="{00000000-0004-0000-0000-00005A010000}"/>
    <hyperlink ref="D347" r:id="rId348" xr:uid="{00000000-0004-0000-0000-00005B010000}"/>
    <hyperlink ref="D348" r:id="rId349" xr:uid="{00000000-0004-0000-0000-00005C010000}"/>
    <hyperlink ref="D349" r:id="rId350" xr:uid="{00000000-0004-0000-0000-00005D010000}"/>
    <hyperlink ref="D350" r:id="rId351" xr:uid="{00000000-0004-0000-0000-00005E010000}"/>
    <hyperlink ref="D351" r:id="rId352" xr:uid="{00000000-0004-0000-0000-00005F010000}"/>
    <hyperlink ref="D352" r:id="rId353" xr:uid="{00000000-0004-0000-0000-000060010000}"/>
    <hyperlink ref="D353" r:id="rId354" xr:uid="{00000000-0004-0000-0000-000061010000}"/>
    <hyperlink ref="D354" r:id="rId355" xr:uid="{00000000-0004-0000-0000-000062010000}"/>
    <hyperlink ref="D355" r:id="rId356" xr:uid="{00000000-0004-0000-0000-000063010000}"/>
    <hyperlink ref="D356" r:id="rId357" xr:uid="{00000000-0004-0000-0000-000064010000}"/>
    <hyperlink ref="D357" r:id="rId358" xr:uid="{00000000-0004-0000-0000-000065010000}"/>
    <hyperlink ref="D358" r:id="rId359" xr:uid="{00000000-0004-0000-0000-000066010000}"/>
    <hyperlink ref="D359" r:id="rId360" xr:uid="{00000000-0004-0000-0000-000067010000}"/>
    <hyperlink ref="D360" r:id="rId361" xr:uid="{00000000-0004-0000-0000-000068010000}"/>
    <hyperlink ref="D361" r:id="rId362" xr:uid="{00000000-0004-0000-0000-000069010000}"/>
    <hyperlink ref="D362" r:id="rId363" xr:uid="{00000000-0004-0000-0000-00006A010000}"/>
    <hyperlink ref="D363" r:id="rId364" xr:uid="{00000000-0004-0000-0000-00006B010000}"/>
    <hyperlink ref="D364" r:id="rId365" xr:uid="{00000000-0004-0000-0000-00006C010000}"/>
    <hyperlink ref="D365" r:id="rId366" xr:uid="{00000000-0004-0000-0000-00006D010000}"/>
    <hyperlink ref="D366" r:id="rId367" xr:uid="{00000000-0004-0000-0000-00006E010000}"/>
    <hyperlink ref="D367" r:id="rId368" xr:uid="{00000000-0004-0000-0000-00006F010000}"/>
    <hyperlink ref="D368" r:id="rId369" xr:uid="{00000000-0004-0000-0000-000070010000}"/>
    <hyperlink ref="D369" r:id="rId370" xr:uid="{00000000-0004-0000-0000-000071010000}"/>
    <hyperlink ref="D370" r:id="rId371" xr:uid="{00000000-0004-0000-0000-000072010000}"/>
    <hyperlink ref="D371" r:id="rId372" xr:uid="{00000000-0004-0000-0000-000073010000}"/>
    <hyperlink ref="D372" r:id="rId373" xr:uid="{00000000-0004-0000-0000-000074010000}"/>
    <hyperlink ref="D373" r:id="rId374" xr:uid="{00000000-0004-0000-0000-000075010000}"/>
    <hyperlink ref="D374" r:id="rId375" xr:uid="{00000000-0004-0000-0000-000076010000}"/>
    <hyperlink ref="D375" r:id="rId376" xr:uid="{00000000-0004-0000-0000-000077010000}"/>
    <hyperlink ref="D376" r:id="rId377" xr:uid="{00000000-0004-0000-0000-000078010000}"/>
    <hyperlink ref="D377" r:id="rId378" xr:uid="{00000000-0004-0000-0000-000079010000}"/>
    <hyperlink ref="D378" r:id="rId379" xr:uid="{00000000-0004-0000-0000-00007A010000}"/>
    <hyperlink ref="D379" r:id="rId380" xr:uid="{00000000-0004-0000-0000-00007B010000}"/>
    <hyperlink ref="D380" r:id="rId381" xr:uid="{00000000-0004-0000-0000-00007C010000}"/>
    <hyperlink ref="D381" r:id="rId382" xr:uid="{00000000-0004-0000-0000-00007D010000}"/>
    <hyperlink ref="D382" r:id="rId383" xr:uid="{00000000-0004-0000-0000-00007E010000}"/>
    <hyperlink ref="D383" r:id="rId384" xr:uid="{00000000-0004-0000-0000-00007F010000}"/>
    <hyperlink ref="D384" r:id="rId385" xr:uid="{00000000-0004-0000-0000-000080010000}"/>
    <hyperlink ref="D385" r:id="rId386" xr:uid="{00000000-0004-0000-0000-000081010000}"/>
    <hyperlink ref="D386" r:id="rId387" xr:uid="{00000000-0004-0000-0000-000082010000}"/>
    <hyperlink ref="D387" r:id="rId388" xr:uid="{00000000-0004-0000-0000-000083010000}"/>
    <hyperlink ref="D388" r:id="rId389" xr:uid="{00000000-0004-0000-0000-000084010000}"/>
    <hyperlink ref="D389" r:id="rId390" xr:uid="{00000000-0004-0000-0000-000085010000}"/>
    <hyperlink ref="D390" r:id="rId391" xr:uid="{00000000-0004-0000-0000-000086010000}"/>
    <hyperlink ref="D391" r:id="rId392" xr:uid="{00000000-0004-0000-0000-000087010000}"/>
    <hyperlink ref="D392" r:id="rId393" xr:uid="{00000000-0004-0000-0000-000088010000}"/>
    <hyperlink ref="D393" r:id="rId394" xr:uid="{00000000-0004-0000-0000-000089010000}"/>
    <hyperlink ref="D394" r:id="rId395" xr:uid="{00000000-0004-0000-0000-00008A010000}"/>
    <hyperlink ref="D395" r:id="rId396" xr:uid="{00000000-0004-0000-0000-00008B010000}"/>
    <hyperlink ref="D396" r:id="rId397" xr:uid="{00000000-0004-0000-0000-00008C010000}"/>
    <hyperlink ref="D397" r:id="rId398" xr:uid="{00000000-0004-0000-0000-00008D010000}"/>
    <hyperlink ref="D398" r:id="rId399" xr:uid="{00000000-0004-0000-0000-00008E010000}"/>
    <hyperlink ref="D399" r:id="rId400" xr:uid="{00000000-0004-0000-0000-00008F010000}"/>
    <hyperlink ref="D400" r:id="rId401" xr:uid="{00000000-0004-0000-0000-000090010000}"/>
    <hyperlink ref="D401" r:id="rId402" xr:uid="{00000000-0004-0000-0000-000091010000}"/>
    <hyperlink ref="D402" r:id="rId403" xr:uid="{00000000-0004-0000-0000-000092010000}"/>
    <hyperlink ref="D403" r:id="rId404" xr:uid="{00000000-0004-0000-0000-000093010000}"/>
    <hyperlink ref="D404" r:id="rId405" xr:uid="{00000000-0004-0000-0000-000094010000}"/>
    <hyperlink ref="D405" r:id="rId406" xr:uid="{00000000-0004-0000-0000-000095010000}"/>
    <hyperlink ref="D406" r:id="rId407" xr:uid="{00000000-0004-0000-0000-000096010000}"/>
    <hyperlink ref="D407" r:id="rId408" xr:uid="{00000000-0004-0000-0000-000097010000}"/>
    <hyperlink ref="D408" r:id="rId409" xr:uid="{00000000-0004-0000-0000-000098010000}"/>
    <hyperlink ref="D409" r:id="rId410" xr:uid="{00000000-0004-0000-0000-000099010000}"/>
    <hyperlink ref="D410" r:id="rId411" xr:uid="{00000000-0004-0000-0000-00009A010000}"/>
    <hyperlink ref="D411" r:id="rId412" xr:uid="{00000000-0004-0000-0000-00009B010000}"/>
    <hyperlink ref="D412" r:id="rId413" xr:uid="{00000000-0004-0000-0000-00009C010000}"/>
    <hyperlink ref="D413" r:id="rId414" xr:uid="{00000000-0004-0000-0000-00009D010000}"/>
    <hyperlink ref="D414" r:id="rId415" xr:uid="{00000000-0004-0000-0000-00009E010000}"/>
    <hyperlink ref="D415" r:id="rId416" xr:uid="{00000000-0004-0000-0000-00009F010000}"/>
    <hyperlink ref="D416" r:id="rId417" xr:uid="{00000000-0004-0000-0000-0000A0010000}"/>
    <hyperlink ref="D417" r:id="rId418" xr:uid="{00000000-0004-0000-0000-0000A1010000}"/>
    <hyperlink ref="D418" r:id="rId419" xr:uid="{00000000-0004-0000-0000-0000A2010000}"/>
    <hyperlink ref="D419" r:id="rId420" xr:uid="{00000000-0004-0000-0000-0000A3010000}"/>
    <hyperlink ref="D420" r:id="rId421" xr:uid="{00000000-0004-0000-0000-0000A4010000}"/>
    <hyperlink ref="D421" r:id="rId422" xr:uid="{00000000-0004-0000-0000-0000A5010000}"/>
    <hyperlink ref="D422" r:id="rId423" xr:uid="{00000000-0004-0000-0000-0000A6010000}"/>
    <hyperlink ref="D423" r:id="rId424" xr:uid="{00000000-0004-0000-0000-0000A7010000}"/>
    <hyperlink ref="D424" r:id="rId425" xr:uid="{00000000-0004-0000-0000-0000A8010000}"/>
    <hyperlink ref="D425" r:id="rId426" xr:uid="{00000000-0004-0000-0000-0000A9010000}"/>
    <hyperlink ref="D426" r:id="rId427" xr:uid="{00000000-0004-0000-0000-0000AA010000}"/>
    <hyperlink ref="D427" r:id="rId428" xr:uid="{00000000-0004-0000-0000-0000AB010000}"/>
    <hyperlink ref="D428" r:id="rId429" xr:uid="{00000000-0004-0000-0000-0000AC010000}"/>
    <hyperlink ref="D429" r:id="rId430" xr:uid="{00000000-0004-0000-0000-0000AD010000}"/>
    <hyperlink ref="D430" r:id="rId431" xr:uid="{00000000-0004-0000-0000-0000AE010000}"/>
    <hyperlink ref="D431" r:id="rId432" xr:uid="{00000000-0004-0000-0000-0000AF010000}"/>
    <hyperlink ref="D432" r:id="rId433" xr:uid="{00000000-0004-0000-0000-0000B0010000}"/>
    <hyperlink ref="D433" r:id="rId434" xr:uid="{00000000-0004-0000-0000-0000B1010000}"/>
    <hyperlink ref="D434" r:id="rId435" xr:uid="{00000000-0004-0000-0000-0000B2010000}"/>
    <hyperlink ref="D435" r:id="rId436" xr:uid="{00000000-0004-0000-0000-0000B3010000}"/>
    <hyperlink ref="D436" r:id="rId437" xr:uid="{00000000-0004-0000-0000-0000B4010000}"/>
    <hyperlink ref="D437" r:id="rId438" xr:uid="{00000000-0004-0000-0000-0000B5010000}"/>
    <hyperlink ref="D438" r:id="rId439" xr:uid="{00000000-0004-0000-0000-0000B6010000}"/>
    <hyperlink ref="D439" r:id="rId440" xr:uid="{00000000-0004-0000-0000-0000B7010000}"/>
    <hyperlink ref="D440" r:id="rId441" xr:uid="{00000000-0004-0000-0000-0000B8010000}"/>
    <hyperlink ref="D441" r:id="rId442" xr:uid="{00000000-0004-0000-0000-0000B9010000}"/>
    <hyperlink ref="D442" r:id="rId443" xr:uid="{00000000-0004-0000-0000-0000BA010000}"/>
    <hyperlink ref="D443" r:id="rId444" xr:uid="{00000000-0004-0000-0000-0000BB010000}"/>
    <hyperlink ref="D444" r:id="rId445" xr:uid="{00000000-0004-0000-0000-0000BC010000}"/>
    <hyperlink ref="D445" r:id="rId446" xr:uid="{00000000-0004-0000-0000-0000BD010000}"/>
    <hyperlink ref="D446" r:id="rId447" xr:uid="{00000000-0004-0000-0000-0000BE010000}"/>
    <hyperlink ref="D447" r:id="rId448" xr:uid="{00000000-0004-0000-0000-0000BF010000}"/>
    <hyperlink ref="D448" r:id="rId449" xr:uid="{00000000-0004-0000-0000-0000C0010000}"/>
    <hyperlink ref="D449" r:id="rId450" xr:uid="{00000000-0004-0000-0000-0000C1010000}"/>
    <hyperlink ref="D450" r:id="rId451" xr:uid="{00000000-0004-0000-0000-0000C2010000}"/>
    <hyperlink ref="D451" r:id="rId452" xr:uid="{00000000-0004-0000-0000-0000C3010000}"/>
    <hyperlink ref="D452" r:id="rId453" xr:uid="{00000000-0004-0000-0000-0000C4010000}"/>
    <hyperlink ref="D453" r:id="rId454" xr:uid="{00000000-0004-0000-0000-0000C5010000}"/>
    <hyperlink ref="D454" r:id="rId455" xr:uid="{00000000-0004-0000-0000-0000C6010000}"/>
    <hyperlink ref="D455" r:id="rId456" xr:uid="{00000000-0004-0000-0000-0000C7010000}"/>
    <hyperlink ref="D456" r:id="rId457" xr:uid="{00000000-0004-0000-0000-0000C8010000}"/>
    <hyperlink ref="D457" r:id="rId458" xr:uid="{00000000-0004-0000-0000-0000C9010000}"/>
    <hyperlink ref="D458" r:id="rId459" xr:uid="{00000000-0004-0000-0000-0000CA010000}"/>
    <hyperlink ref="D459" r:id="rId460" xr:uid="{00000000-0004-0000-0000-0000CB010000}"/>
    <hyperlink ref="D460" r:id="rId461" xr:uid="{00000000-0004-0000-0000-0000CC010000}"/>
    <hyperlink ref="D461" r:id="rId462" xr:uid="{00000000-0004-0000-0000-0000CD010000}"/>
    <hyperlink ref="D462" r:id="rId463" xr:uid="{00000000-0004-0000-0000-0000CE010000}"/>
    <hyperlink ref="D463" r:id="rId464" xr:uid="{00000000-0004-0000-0000-0000CF010000}"/>
    <hyperlink ref="D464" r:id="rId465" xr:uid="{00000000-0004-0000-0000-0000D0010000}"/>
    <hyperlink ref="D465" r:id="rId466" xr:uid="{00000000-0004-0000-0000-0000D1010000}"/>
    <hyperlink ref="D466" r:id="rId467" xr:uid="{00000000-0004-0000-0000-0000D2010000}"/>
    <hyperlink ref="D467" r:id="rId468" xr:uid="{00000000-0004-0000-0000-0000D3010000}"/>
    <hyperlink ref="D468" r:id="rId469" xr:uid="{00000000-0004-0000-0000-0000D4010000}"/>
    <hyperlink ref="D469" r:id="rId470" xr:uid="{00000000-0004-0000-0000-0000D5010000}"/>
    <hyperlink ref="D470" r:id="rId471" xr:uid="{00000000-0004-0000-0000-0000D6010000}"/>
    <hyperlink ref="D471" r:id="rId472" xr:uid="{00000000-0004-0000-0000-0000D7010000}"/>
    <hyperlink ref="D472" r:id="rId473" xr:uid="{00000000-0004-0000-0000-0000D8010000}"/>
    <hyperlink ref="D473" r:id="rId474" xr:uid="{00000000-0004-0000-0000-0000D9010000}"/>
    <hyperlink ref="D474" r:id="rId475" xr:uid="{00000000-0004-0000-0000-0000DA010000}"/>
    <hyperlink ref="D475" r:id="rId476" xr:uid="{00000000-0004-0000-0000-0000DB010000}"/>
    <hyperlink ref="D476" r:id="rId477" xr:uid="{00000000-0004-0000-0000-0000DC010000}"/>
    <hyperlink ref="D477" r:id="rId478" xr:uid="{00000000-0004-0000-0000-0000DD010000}"/>
    <hyperlink ref="D478" r:id="rId479" xr:uid="{00000000-0004-0000-0000-0000DE010000}"/>
    <hyperlink ref="D479" r:id="rId480" xr:uid="{00000000-0004-0000-0000-0000DF010000}"/>
    <hyperlink ref="D480" r:id="rId481" xr:uid="{00000000-0004-0000-0000-0000E0010000}"/>
    <hyperlink ref="D481" r:id="rId482" xr:uid="{00000000-0004-0000-0000-0000E1010000}"/>
    <hyperlink ref="D482" r:id="rId483" xr:uid="{00000000-0004-0000-0000-0000E2010000}"/>
    <hyperlink ref="D483" r:id="rId484" xr:uid="{00000000-0004-0000-0000-0000E3010000}"/>
    <hyperlink ref="D484" r:id="rId485" xr:uid="{00000000-0004-0000-0000-0000E4010000}"/>
    <hyperlink ref="D485" r:id="rId486" xr:uid="{00000000-0004-0000-0000-0000E5010000}"/>
    <hyperlink ref="D486" r:id="rId487" xr:uid="{00000000-0004-0000-0000-0000E6010000}"/>
    <hyperlink ref="D487" r:id="rId488" xr:uid="{00000000-0004-0000-0000-0000E7010000}"/>
    <hyperlink ref="D488" r:id="rId489" xr:uid="{00000000-0004-0000-0000-0000E8010000}"/>
    <hyperlink ref="D489" r:id="rId490" xr:uid="{00000000-0004-0000-0000-0000E9010000}"/>
    <hyperlink ref="D490" r:id="rId491" xr:uid="{00000000-0004-0000-0000-0000EA010000}"/>
    <hyperlink ref="D491" r:id="rId492" xr:uid="{00000000-0004-0000-0000-0000EB010000}"/>
    <hyperlink ref="D492" r:id="rId493" xr:uid="{00000000-0004-0000-0000-0000EC010000}"/>
    <hyperlink ref="D493" r:id="rId494" xr:uid="{00000000-0004-0000-0000-0000ED010000}"/>
    <hyperlink ref="D494" r:id="rId495" xr:uid="{00000000-0004-0000-0000-0000EE010000}"/>
    <hyperlink ref="D495" r:id="rId496" xr:uid="{00000000-0004-0000-0000-0000EF010000}"/>
    <hyperlink ref="D496" r:id="rId497" xr:uid="{00000000-0004-0000-0000-0000F0010000}"/>
    <hyperlink ref="D497" r:id="rId498" xr:uid="{00000000-0004-0000-0000-0000F1010000}"/>
    <hyperlink ref="D498" r:id="rId499" xr:uid="{00000000-0004-0000-0000-0000F2010000}"/>
    <hyperlink ref="D499" r:id="rId500" xr:uid="{00000000-0004-0000-0000-0000F3010000}"/>
    <hyperlink ref="D500" r:id="rId501" xr:uid="{00000000-0004-0000-0000-0000F4010000}"/>
    <hyperlink ref="D501" r:id="rId502" xr:uid="{00000000-0004-0000-0000-0000F5010000}"/>
    <hyperlink ref="D502" r:id="rId503" xr:uid="{00000000-0004-0000-0000-0000F6010000}"/>
    <hyperlink ref="D503" r:id="rId504" xr:uid="{00000000-0004-0000-0000-0000F7010000}"/>
    <hyperlink ref="D504" r:id="rId505" xr:uid="{00000000-0004-0000-0000-0000F8010000}"/>
    <hyperlink ref="D505" r:id="rId506" xr:uid="{00000000-0004-0000-0000-0000F9010000}"/>
    <hyperlink ref="D506" r:id="rId507" xr:uid="{00000000-0004-0000-0000-0000FA010000}"/>
    <hyperlink ref="D507" r:id="rId508" xr:uid="{00000000-0004-0000-0000-0000FB010000}"/>
    <hyperlink ref="D508" r:id="rId509" xr:uid="{00000000-0004-0000-0000-0000FC010000}"/>
    <hyperlink ref="D509" r:id="rId510" xr:uid="{00000000-0004-0000-0000-0000FD010000}"/>
    <hyperlink ref="D510" r:id="rId511" xr:uid="{00000000-0004-0000-0000-0000FE010000}"/>
    <hyperlink ref="D511" r:id="rId512" xr:uid="{00000000-0004-0000-0000-0000FF010000}"/>
    <hyperlink ref="D512" r:id="rId513" xr:uid="{00000000-0004-0000-0000-000000020000}"/>
    <hyperlink ref="D513" r:id="rId514" xr:uid="{00000000-0004-0000-0000-000001020000}"/>
    <hyperlink ref="D514" r:id="rId515" xr:uid="{00000000-0004-0000-0000-000002020000}"/>
    <hyperlink ref="D515" r:id="rId516" xr:uid="{00000000-0004-0000-0000-000003020000}"/>
    <hyperlink ref="D516" r:id="rId517" xr:uid="{00000000-0004-0000-0000-000004020000}"/>
    <hyperlink ref="D517" r:id="rId518" xr:uid="{00000000-0004-0000-0000-000005020000}"/>
    <hyperlink ref="D518" r:id="rId519" xr:uid="{00000000-0004-0000-0000-000006020000}"/>
    <hyperlink ref="D519" r:id="rId520" xr:uid="{00000000-0004-0000-0000-000007020000}"/>
    <hyperlink ref="D520" r:id="rId521" xr:uid="{00000000-0004-0000-0000-000008020000}"/>
    <hyperlink ref="D521" r:id="rId522" xr:uid="{00000000-0004-0000-0000-000009020000}"/>
    <hyperlink ref="D522" r:id="rId523" xr:uid="{00000000-0004-0000-0000-00000A020000}"/>
    <hyperlink ref="D523" r:id="rId524" xr:uid="{00000000-0004-0000-0000-00000B020000}"/>
    <hyperlink ref="D524" r:id="rId525" xr:uid="{00000000-0004-0000-0000-00000C020000}"/>
    <hyperlink ref="D525" r:id="rId526" xr:uid="{00000000-0004-0000-0000-00000D020000}"/>
    <hyperlink ref="D526" r:id="rId527" xr:uid="{00000000-0004-0000-0000-00000E020000}"/>
    <hyperlink ref="D527" r:id="rId528" xr:uid="{00000000-0004-0000-0000-00000F020000}"/>
    <hyperlink ref="D528" r:id="rId529" xr:uid="{00000000-0004-0000-0000-000010020000}"/>
    <hyperlink ref="D529" r:id="rId530" xr:uid="{00000000-0004-0000-0000-000011020000}"/>
    <hyperlink ref="D530" r:id="rId531" xr:uid="{00000000-0004-0000-0000-000012020000}"/>
    <hyperlink ref="D531" r:id="rId532" xr:uid="{00000000-0004-0000-0000-000013020000}"/>
    <hyperlink ref="D532" r:id="rId533" xr:uid="{00000000-0004-0000-0000-000014020000}"/>
    <hyperlink ref="D533" r:id="rId534" xr:uid="{00000000-0004-0000-0000-000015020000}"/>
    <hyperlink ref="D534" r:id="rId535" xr:uid="{00000000-0004-0000-0000-000016020000}"/>
    <hyperlink ref="D535" r:id="rId536" xr:uid="{00000000-0004-0000-0000-000017020000}"/>
    <hyperlink ref="D536" r:id="rId537" xr:uid="{00000000-0004-0000-0000-000018020000}"/>
    <hyperlink ref="D537" r:id="rId538" xr:uid="{00000000-0004-0000-0000-000019020000}"/>
    <hyperlink ref="D538" r:id="rId539" xr:uid="{00000000-0004-0000-0000-00001A020000}"/>
    <hyperlink ref="D539" r:id="rId540" xr:uid="{00000000-0004-0000-0000-00001B020000}"/>
    <hyperlink ref="D540" r:id="rId541" xr:uid="{00000000-0004-0000-0000-00001C020000}"/>
    <hyperlink ref="D541" r:id="rId542" xr:uid="{00000000-0004-0000-0000-00001D020000}"/>
    <hyperlink ref="D542" r:id="rId543" xr:uid="{00000000-0004-0000-0000-00001E020000}"/>
    <hyperlink ref="D543" r:id="rId544" xr:uid="{00000000-0004-0000-0000-00001F020000}"/>
    <hyperlink ref="D544" r:id="rId545" xr:uid="{00000000-0004-0000-0000-000020020000}"/>
    <hyperlink ref="D545" r:id="rId546" xr:uid="{00000000-0004-0000-0000-000021020000}"/>
    <hyperlink ref="D546" r:id="rId547" xr:uid="{00000000-0004-0000-0000-000022020000}"/>
    <hyperlink ref="D547" r:id="rId548" xr:uid="{00000000-0004-0000-0000-000023020000}"/>
    <hyperlink ref="D548" r:id="rId549" xr:uid="{00000000-0004-0000-0000-000024020000}"/>
    <hyperlink ref="D549" r:id="rId550" xr:uid="{00000000-0004-0000-0000-000025020000}"/>
    <hyperlink ref="D550" r:id="rId551" xr:uid="{00000000-0004-0000-0000-000026020000}"/>
    <hyperlink ref="D551" r:id="rId552" xr:uid="{00000000-0004-0000-0000-000027020000}"/>
    <hyperlink ref="D552" r:id="rId553" xr:uid="{00000000-0004-0000-0000-000028020000}"/>
    <hyperlink ref="D553" r:id="rId554" xr:uid="{00000000-0004-0000-0000-000029020000}"/>
    <hyperlink ref="D554" r:id="rId555" xr:uid="{00000000-0004-0000-0000-00002A020000}"/>
    <hyperlink ref="D555" r:id="rId556" xr:uid="{00000000-0004-0000-0000-00002B020000}"/>
    <hyperlink ref="D556" r:id="rId557" xr:uid="{00000000-0004-0000-0000-00002C020000}"/>
    <hyperlink ref="D557" r:id="rId558" xr:uid="{00000000-0004-0000-0000-00002D020000}"/>
    <hyperlink ref="D558" r:id="rId559" xr:uid="{00000000-0004-0000-0000-00002E020000}"/>
    <hyperlink ref="D559" r:id="rId560" xr:uid="{00000000-0004-0000-0000-00002F020000}"/>
    <hyperlink ref="D560" r:id="rId561" xr:uid="{00000000-0004-0000-0000-000030020000}"/>
    <hyperlink ref="D561" r:id="rId562" xr:uid="{00000000-0004-0000-0000-000031020000}"/>
    <hyperlink ref="D562" r:id="rId563" xr:uid="{00000000-0004-0000-0000-000032020000}"/>
    <hyperlink ref="D563" r:id="rId564" xr:uid="{00000000-0004-0000-0000-000033020000}"/>
    <hyperlink ref="D564" r:id="rId565" xr:uid="{00000000-0004-0000-0000-000034020000}"/>
    <hyperlink ref="D565" r:id="rId566" xr:uid="{00000000-0004-0000-0000-000035020000}"/>
    <hyperlink ref="D566" r:id="rId567" xr:uid="{00000000-0004-0000-0000-000036020000}"/>
    <hyperlink ref="D567" r:id="rId568" xr:uid="{00000000-0004-0000-0000-000037020000}"/>
    <hyperlink ref="D568" r:id="rId569" xr:uid="{00000000-0004-0000-0000-000038020000}"/>
    <hyperlink ref="D569" r:id="rId570" xr:uid="{00000000-0004-0000-0000-000039020000}"/>
    <hyperlink ref="D570" r:id="rId571" xr:uid="{00000000-0004-0000-0000-00003A020000}"/>
    <hyperlink ref="D571" r:id="rId572" xr:uid="{00000000-0004-0000-0000-00003B020000}"/>
    <hyperlink ref="D572" r:id="rId573" xr:uid="{00000000-0004-0000-0000-00003C020000}"/>
    <hyperlink ref="D573" r:id="rId574" xr:uid="{00000000-0004-0000-0000-00003D020000}"/>
    <hyperlink ref="D574" r:id="rId575" xr:uid="{00000000-0004-0000-0000-00003E020000}"/>
    <hyperlink ref="D575" r:id="rId576" xr:uid="{00000000-0004-0000-0000-00003F020000}"/>
    <hyperlink ref="D576" r:id="rId577" xr:uid="{00000000-0004-0000-0000-000040020000}"/>
    <hyperlink ref="D577" r:id="rId578" xr:uid="{00000000-0004-0000-0000-000041020000}"/>
    <hyperlink ref="D578" r:id="rId579" xr:uid="{00000000-0004-0000-0000-000042020000}"/>
    <hyperlink ref="D579" r:id="rId580" xr:uid="{00000000-0004-0000-0000-000043020000}"/>
    <hyperlink ref="D580" r:id="rId581" xr:uid="{00000000-0004-0000-0000-000044020000}"/>
    <hyperlink ref="D581" r:id="rId582" xr:uid="{00000000-0004-0000-0000-000045020000}"/>
    <hyperlink ref="D582" r:id="rId583" xr:uid="{00000000-0004-0000-0000-000046020000}"/>
    <hyperlink ref="D583" r:id="rId584" xr:uid="{00000000-0004-0000-0000-000047020000}"/>
    <hyperlink ref="D584" r:id="rId585" xr:uid="{00000000-0004-0000-0000-000048020000}"/>
    <hyperlink ref="D585" r:id="rId586" xr:uid="{00000000-0004-0000-0000-000049020000}"/>
    <hyperlink ref="D586" r:id="rId587" xr:uid="{00000000-0004-0000-0000-00004A020000}"/>
    <hyperlink ref="D587" r:id="rId588" xr:uid="{00000000-0004-0000-0000-00004B020000}"/>
    <hyperlink ref="D588" r:id="rId589" xr:uid="{00000000-0004-0000-0000-00004C020000}"/>
    <hyperlink ref="D589" r:id="rId590" xr:uid="{00000000-0004-0000-0000-00004D020000}"/>
    <hyperlink ref="D590" r:id="rId591" xr:uid="{00000000-0004-0000-0000-00004E020000}"/>
    <hyperlink ref="D591" r:id="rId592" xr:uid="{00000000-0004-0000-0000-00004F020000}"/>
    <hyperlink ref="D592" r:id="rId593" xr:uid="{00000000-0004-0000-0000-000050020000}"/>
    <hyperlink ref="D593" r:id="rId594" xr:uid="{00000000-0004-0000-0000-000051020000}"/>
    <hyperlink ref="D594" r:id="rId595" xr:uid="{00000000-0004-0000-0000-000052020000}"/>
    <hyperlink ref="D595" r:id="rId596" xr:uid="{00000000-0004-0000-0000-000053020000}"/>
    <hyperlink ref="D596" r:id="rId597" xr:uid="{00000000-0004-0000-0000-000054020000}"/>
    <hyperlink ref="D597" r:id="rId598" xr:uid="{00000000-0004-0000-0000-000055020000}"/>
    <hyperlink ref="D598" r:id="rId599" xr:uid="{00000000-0004-0000-0000-000056020000}"/>
    <hyperlink ref="D599" r:id="rId600" xr:uid="{00000000-0004-0000-0000-000057020000}"/>
    <hyperlink ref="D600" r:id="rId601" xr:uid="{00000000-0004-0000-0000-000058020000}"/>
    <hyperlink ref="D601" r:id="rId602" xr:uid="{00000000-0004-0000-0000-000059020000}"/>
    <hyperlink ref="D602" r:id="rId603" xr:uid="{00000000-0004-0000-0000-00005A020000}"/>
    <hyperlink ref="D603" r:id="rId604" xr:uid="{00000000-0004-0000-0000-00005B020000}"/>
    <hyperlink ref="D604" r:id="rId605" xr:uid="{00000000-0004-0000-0000-00005C020000}"/>
    <hyperlink ref="D605" r:id="rId606" xr:uid="{00000000-0004-0000-0000-00005D020000}"/>
    <hyperlink ref="D606" r:id="rId607" xr:uid="{00000000-0004-0000-0000-00005E020000}"/>
    <hyperlink ref="D607" r:id="rId608" xr:uid="{00000000-0004-0000-0000-00005F020000}"/>
    <hyperlink ref="D608" r:id="rId609" xr:uid="{00000000-0004-0000-0000-000060020000}"/>
    <hyperlink ref="D609" r:id="rId610" xr:uid="{00000000-0004-0000-0000-000061020000}"/>
    <hyperlink ref="D610" r:id="rId611" xr:uid="{00000000-0004-0000-0000-000062020000}"/>
    <hyperlink ref="D611" r:id="rId612" xr:uid="{00000000-0004-0000-0000-000063020000}"/>
    <hyperlink ref="D612" r:id="rId613" xr:uid="{00000000-0004-0000-0000-000064020000}"/>
    <hyperlink ref="D613" r:id="rId614" xr:uid="{00000000-0004-0000-0000-000065020000}"/>
    <hyperlink ref="D614" r:id="rId615" xr:uid="{00000000-0004-0000-0000-000066020000}"/>
    <hyperlink ref="D615" r:id="rId616" xr:uid="{00000000-0004-0000-0000-000067020000}"/>
    <hyperlink ref="D616" r:id="rId617" xr:uid="{00000000-0004-0000-0000-000068020000}"/>
    <hyperlink ref="D617" r:id="rId618" xr:uid="{00000000-0004-0000-0000-000069020000}"/>
    <hyperlink ref="D618" r:id="rId619" xr:uid="{00000000-0004-0000-0000-00006A020000}"/>
    <hyperlink ref="D619" r:id="rId620" xr:uid="{00000000-0004-0000-0000-00006B020000}"/>
    <hyperlink ref="D620" r:id="rId621" xr:uid="{00000000-0004-0000-0000-00006C020000}"/>
    <hyperlink ref="D621" r:id="rId622" xr:uid="{00000000-0004-0000-0000-00006D020000}"/>
    <hyperlink ref="D622" r:id="rId623" xr:uid="{00000000-0004-0000-0000-00006E020000}"/>
    <hyperlink ref="D623" r:id="rId624" xr:uid="{00000000-0004-0000-0000-00006F020000}"/>
    <hyperlink ref="D624" r:id="rId625" xr:uid="{00000000-0004-0000-0000-000070020000}"/>
    <hyperlink ref="D625" r:id="rId626" xr:uid="{00000000-0004-0000-0000-000071020000}"/>
    <hyperlink ref="D626" r:id="rId627" xr:uid="{00000000-0004-0000-0000-000072020000}"/>
    <hyperlink ref="D627" r:id="rId628" xr:uid="{00000000-0004-0000-0000-000073020000}"/>
    <hyperlink ref="D628" r:id="rId629" xr:uid="{00000000-0004-0000-0000-000074020000}"/>
    <hyperlink ref="D629" r:id="rId630" xr:uid="{00000000-0004-0000-0000-000075020000}"/>
    <hyperlink ref="D630" r:id="rId631" xr:uid="{00000000-0004-0000-0000-000076020000}"/>
    <hyperlink ref="D631" r:id="rId632" xr:uid="{00000000-0004-0000-0000-000077020000}"/>
    <hyperlink ref="D632" r:id="rId633" xr:uid="{00000000-0004-0000-0000-000078020000}"/>
    <hyperlink ref="D633" r:id="rId634" xr:uid="{00000000-0004-0000-0000-000079020000}"/>
    <hyperlink ref="D634" r:id="rId635" xr:uid="{00000000-0004-0000-0000-00007A020000}"/>
    <hyperlink ref="D635" r:id="rId636" xr:uid="{00000000-0004-0000-0000-00007B020000}"/>
    <hyperlink ref="D636" r:id="rId637" xr:uid="{00000000-0004-0000-0000-00007C020000}"/>
    <hyperlink ref="D637" r:id="rId638" xr:uid="{00000000-0004-0000-0000-00007D020000}"/>
    <hyperlink ref="D638" r:id="rId639" xr:uid="{00000000-0004-0000-0000-00007E020000}"/>
    <hyperlink ref="D639" r:id="rId640" xr:uid="{00000000-0004-0000-0000-00007F020000}"/>
    <hyperlink ref="D640" r:id="rId641" xr:uid="{00000000-0004-0000-0000-000080020000}"/>
    <hyperlink ref="D641" r:id="rId642" xr:uid="{00000000-0004-0000-0000-000081020000}"/>
    <hyperlink ref="D642" r:id="rId643" xr:uid="{00000000-0004-0000-0000-000082020000}"/>
    <hyperlink ref="D643" r:id="rId644" xr:uid="{00000000-0004-0000-0000-000083020000}"/>
    <hyperlink ref="D644" r:id="rId645" xr:uid="{00000000-0004-0000-0000-000084020000}"/>
    <hyperlink ref="D645" r:id="rId646" xr:uid="{00000000-0004-0000-0000-000085020000}"/>
    <hyperlink ref="D646" r:id="rId647" xr:uid="{00000000-0004-0000-0000-000086020000}"/>
    <hyperlink ref="D647" r:id="rId648" xr:uid="{00000000-0004-0000-0000-000087020000}"/>
    <hyperlink ref="D648" r:id="rId649" xr:uid="{00000000-0004-0000-0000-000088020000}"/>
    <hyperlink ref="D649" r:id="rId650" xr:uid="{00000000-0004-0000-0000-000089020000}"/>
    <hyperlink ref="D650" r:id="rId651" xr:uid="{00000000-0004-0000-0000-00008A020000}"/>
    <hyperlink ref="D651" r:id="rId652" xr:uid="{00000000-0004-0000-0000-00008B020000}"/>
    <hyperlink ref="D652" r:id="rId653" xr:uid="{00000000-0004-0000-0000-00008C020000}"/>
    <hyperlink ref="D653" r:id="rId654" xr:uid="{00000000-0004-0000-0000-00008D020000}"/>
    <hyperlink ref="D654" r:id="rId655" xr:uid="{00000000-0004-0000-0000-00008E020000}"/>
    <hyperlink ref="D655" r:id="rId656" xr:uid="{00000000-0004-0000-0000-00008F020000}"/>
    <hyperlink ref="D656" r:id="rId657" xr:uid="{00000000-0004-0000-0000-000090020000}"/>
    <hyperlink ref="D657" r:id="rId658" xr:uid="{00000000-0004-0000-0000-000091020000}"/>
    <hyperlink ref="D658" r:id="rId659" xr:uid="{00000000-0004-0000-0000-000092020000}"/>
    <hyperlink ref="D659" r:id="rId660" xr:uid="{00000000-0004-0000-0000-000093020000}"/>
    <hyperlink ref="D660" r:id="rId661" xr:uid="{00000000-0004-0000-0000-000094020000}"/>
    <hyperlink ref="D661" r:id="rId662" xr:uid="{00000000-0004-0000-0000-000095020000}"/>
    <hyperlink ref="D662" r:id="rId663" xr:uid="{00000000-0004-0000-0000-000096020000}"/>
    <hyperlink ref="D663" r:id="rId664" xr:uid="{00000000-0004-0000-0000-000097020000}"/>
    <hyperlink ref="D664" r:id="rId665" xr:uid="{00000000-0004-0000-0000-000098020000}"/>
    <hyperlink ref="D665" r:id="rId666" xr:uid="{00000000-0004-0000-0000-000099020000}"/>
    <hyperlink ref="D666" r:id="rId667" xr:uid="{00000000-0004-0000-0000-00009A020000}"/>
    <hyperlink ref="D667" r:id="rId668" xr:uid="{00000000-0004-0000-0000-00009B020000}"/>
    <hyperlink ref="D668" r:id="rId669" xr:uid="{00000000-0004-0000-0000-00009C020000}"/>
    <hyperlink ref="D669" r:id="rId670" xr:uid="{00000000-0004-0000-0000-00009D020000}"/>
    <hyperlink ref="D670" r:id="rId671" xr:uid="{00000000-0004-0000-0000-00009E020000}"/>
    <hyperlink ref="D671" r:id="rId672" xr:uid="{00000000-0004-0000-0000-00009F020000}"/>
    <hyperlink ref="D672" r:id="rId673" xr:uid="{00000000-0004-0000-0000-0000A0020000}"/>
    <hyperlink ref="D673" r:id="rId674" xr:uid="{00000000-0004-0000-0000-0000A1020000}"/>
    <hyperlink ref="D674" r:id="rId675" xr:uid="{00000000-0004-0000-0000-0000A2020000}"/>
    <hyperlink ref="D675" r:id="rId676" xr:uid="{00000000-0004-0000-0000-0000A3020000}"/>
    <hyperlink ref="D676" r:id="rId677" xr:uid="{00000000-0004-0000-0000-0000A4020000}"/>
    <hyperlink ref="D677" r:id="rId678" xr:uid="{00000000-0004-0000-0000-0000A5020000}"/>
    <hyperlink ref="D678" r:id="rId679" xr:uid="{00000000-0004-0000-0000-0000A6020000}"/>
    <hyperlink ref="D679" r:id="rId680" xr:uid="{00000000-0004-0000-0000-0000A7020000}"/>
    <hyperlink ref="D680" r:id="rId681" xr:uid="{00000000-0004-0000-0000-0000A8020000}"/>
    <hyperlink ref="D681" r:id="rId682" xr:uid="{00000000-0004-0000-0000-0000A9020000}"/>
    <hyperlink ref="D682" r:id="rId683" xr:uid="{00000000-0004-0000-0000-0000AA020000}"/>
    <hyperlink ref="D683" r:id="rId684" xr:uid="{00000000-0004-0000-0000-0000AB020000}"/>
    <hyperlink ref="D684" r:id="rId685" xr:uid="{00000000-0004-0000-0000-0000AC020000}"/>
    <hyperlink ref="D685" r:id="rId686" xr:uid="{00000000-0004-0000-0000-0000AD020000}"/>
    <hyperlink ref="D686" r:id="rId687" xr:uid="{00000000-0004-0000-0000-0000AE020000}"/>
    <hyperlink ref="D687" r:id="rId688" xr:uid="{00000000-0004-0000-0000-0000AF020000}"/>
    <hyperlink ref="D688" r:id="rId689" xr:uid="{00000000-0004-0000-0000-0000B0020000}"/>
    <hyperlink ref="D689" r:id="rId690" xr:uid="{00000000-0004-0000-0000-0000B1020000}"/>
    <hyperlink ref="D690" r:id="rId691" xr:uid="{00000000-0004-0000-0000-0000B2020000}"/>
    <hyperlink ref="D691" r:id="rId692" xr:uid="{00000000-0004-0000-0000-0000B3020000}"/>
    <hyperlink ref="D692" r:id="rId693" xr:uid="{00000000-0004-0000-0000-0000B4020000}"/>
    <hyperlink ref="D693" r:id="rId694" xr:uid="{00000000-0004-0000-0000-0000B5020000}"/>
    <hyperlink ref="D694" r:id="rId695" xr:uid="{00000000-0004-0000-0000-0000B6020000}"/>
    <hyperlink ref="D695" r:id="rId696" xr:uid="{00000000-0004-0000-0000-0000B7020000}"/>
    <hyperlink ref="D696" r:id="rId697" xr:uid="{00000000-0004-0000-0000-0000B8020000}"/>
    <hyperlink ref="D697" r:id="rId698" xr:uid="{00000000-0004-0000-0000-0000B9020000}"/>
    <hyperlink ref="D698" r:id="rId699" xr:uid="{00000000-0004-0000-0000-0000BA020000}"/>
    <hyperlink ref="D699" r:id="rId700" xr:uid="{00000000-0004-0000-0000-0000BB020000}"/>
    <hyperlink ref="D700" r:id="rId701" xr:uid="{00000000-0004-0000-0000-0000BC020000}"/>
    <hyperlink ref="D701" r:id="rId702" xr:uid="{00000000-0004-0000-0000-0000BD020000}"/>
    <hyperlink ref="D702" r:id="rId703" xr:uid="{00000000-0004-0000-0000-0000BE020000}"/>
    <hyperlink ref="D703" r:id="rId704" xr:uid="{00000000-0004-0000-0000-0000BF020000}"/>
    <hyperlink ref="D704" r:id="rId705" xr:uid="{00000000-0004-0000-0000-0000C0020000}"/>
    <hyperlink ref="D705" r:id="rId706" xr:uid="{00000000-0004-0000-0000-0000C1020000}"/>
    <hyperlink ref="D706" r:id="rId707" xr:uid="{00000000-0004-0000-0000-0000C2020000}"/>
    <hyperlink ref="D707" r:id="rId708" xr:uid="{00000000-0004-0000-0000-0000C3020000}"/>
    <hyperlink ref="D708" r:id="rId709" xr:uid="{00000000-0004-0000-0000-0000C4020000}"/>
    <hyperlink ref="D709" r:id="rId710" xr:uid="{00000000-0004-0000-0000-0000C5020000}"/>
    <hyperlink ref="D710" r:id="rId711" xr:uid="{00000000-0004-0000-0000-0000C6020000}"/>
    <hyperlink ref="D711" r:id="rId712" xr:uid="{00000000-0004-0000-0000-0000C7020000}"/>
    <hyperlink ref="D712" r:id="rId713" xr:uid="{00000000-0004-0000-0000-0000C8020000}"/>
    <hyperlink ref="D713" r:id="rId714" xr:uid="{00000000-0004-0000-0000-0000C9020000}"/>
    <hyperlink ref="D714" r:id="rId715" xr:uid="{00000000-0004-0000-0000-0000CA020000}"/>
    <hyperlink ref="D715" r:id="rId716" xr:uid="{00000000-0004-0000-0000-0000CB020000}"/>
    <hyperlink ref="D716" r:id="rId717" xr:uid="{00000000-0004-0000-0000-0000CC020000}"/>
    <hyperlink ref="D717" r:id="rId718" xr:uid="{00000000-0004-0000-0000-0000CD020000}"/>
    <hyperlink ref="D718" r:id="rId719" xr:uid="{00000000-0004-0000-0000-0000CE020000}"/>
    <hyperlink ref="D719" r:id="rId720" xr:uid="{00000000-0004-0000-0000-0000CF020000}"/>
    <hyperlink ref="D720" r:id="rId721" xr:uid="{00000000-0004-0000-0000-0000D0020000}"/>
    <hyperlink ref="D721" r:id="rId722" xr:uid="{00000000-0004-0000-0000-0000D1020000}"/>
    <hyperlink ref="D722" r:id="rId723" xr:uid="{00000000-0004-0000-0000-0000D2020000}"/>
    <hyperlink ref="D723" r:id="rId724" xr:uid="{00000000-0004-0000-0000-0000D3020000}"/>
    <hyperlink ref="D724" r:id="rId725" xr:uid="{00000000-0004-0000-0000-0000D4020000}"/>
    <hyperlink ref="D725" r:id="rId726" xr:uid="{00000000-0004-0000-0000-0000D5020000}"/>
    <hyperlink ref="D726" r:id="rId727" xr:uid="{00000000-0004-0000-0000-0000D6020000}"/>
    <hyperlink ref="D727" r:id="rId728" xr:uid="{00000000-0004-0000-0000-0000D7020000}"/>
    <hyperlink ref="D728" r:id="rId729" xr:uid="{00000000-0004-0000-0000-0000D8020000}"/>
    <hyperlink ref="D729" r:id="rId730" xr:uid="{00000000-0004-0000-0000-0000D9020000}"/>
    <hyperlink ref="D730" r:id="rId731" xr:uid="{00000000-0004-0000-0000-0000DA020000}"/>
    <hyperlink ref="D731" r:id="rId732" xr:uid="{00000000-0004-0000-0000-0000DB020000}"/>
    <hyperlink ref="D732" r:id="rId733" xr:uid="{00000000-0004-0000-0000-0000DC020000}"/>
    <hyperlink ref="D733" r:id="rId734" xr:uid="{00000000-0004-0000-0000-0000DD020000}"/>
    <hyperlink ref="D734" r:id="rId735" xr:uid="{00000000-0004-0000-0000-0000DE020000}"/>
    <hyperlink ref="D735" r:id="rId736" xr:uid="{00000000-0004-0000-0000-0000DF020000}"/>
    <hyperlink ref="D736" r:id="rId737" xr:uid="{00000000-0004-0000-0000-0000E0020000}"/>
    <hyperlink ref="D737" r:id="rId738" xr:uid="{00000000-0004-0000-0000-0000E1020000}"/>
    <hyperlink ref="D738" r:id="rId739" xr:uid="{00000000-0004-0000-0000-0000E2020000}"/>
    <hyperlink ref="D739" r:id="rId740" xr:uid="{00000000-0004-0000-0000-0000E3020000}"/>
    <hyperlink ref="D740" r:id="rId741" xr:uid="{00000000-0004-0000-0000-0000E4020000}"/>
    <hyperlink ref="D741" r:id="rId742" xr:uid="{00000000-0004-0000-0000-0000E5020000}"/>
    <hyperlink ref="D742" r:id="rId743" xr:uid="{00000000-0004-0000-0000-0000E6020000}"/>
    <hyperlink ref="D743" r:id="rId744" xr:uid="{00000000-0004-0000-0000-0000E7020000}"/>
    <hyperlink ref="D744" r:id="rId745" xr:uid="{00000000-0004-0000-0000-0000E8020000}"/>
    <hyperlink ref="D745" r:id="rId746" xr:uid="{00000000-0004-0000-0000-0000E9020000}"/>
    <hyperlink ref="D746" r:id="rId747" xr:uid="{00000000-0004-0000-0000-0000EA020000}"/>
    <hyperlink ref="D747" r:id="rId748" xr:uid="{00000000-0004-0000-0000-0000EB020000}"/>
    <hyperlink ref="D748" r:id="rId749" xr:uid="{00000000-0004-0000-0000-0000EC020000}"/>
    <hyperlink ref="D749" r:id="rId750" xr:uid="{00000000-0004-0000-0000-0000ED020000}"/>
    <hyperlink ref="D750" r:id="rId751" xr:uid="{00000000-0004-0000-0000-0000EE020000}"/>
    <hyperlink ref="D751" r:id="rId752" xr:uid="{00000000-0004-0000-0000-0000EF020000}"/>
    <hyperlink ref="D752" r:id="rId753" xr:uid="{00000000-0004-0000-0000-0000F0020000}"/>
    <hyperlink ref="D753" r:id="rId754" xr:uid="{00000000-0004-0000-0000-0000F1020000}"/>
    <hyperlink ref="D754" r:id="rId755" xr:uid="{00000000-0004-0000-0000-0000F2020000}"/>
    <hyperlink ref="D755" r:id="rId756" xr:uid="{00000000-0004-0000-0000-0000F3020000}"/>
    <hyperlink ref="D756" r:id="rId757" xr:uid="{00000000-0004-0000-0000-0000F4020000}"/>
    <hyperlink ref="D757" r:id="rId758" xr:uid="{00000000-0004-0000-0000-0000F5020000}"/>
    <hyperlink ref="D758" r:id="rId759" xr:uid="{00000000-0004-0000-0000-0000F6020000}"/>
    <hyperlink ref="D759" r:id="rId760" xr:uid="{00000000-0004-0000-0000-0000F7020000}"/>
    <hyperlink ref="D760" r:id="rId761" xr:uid="{00000000-0004-0000-0000-0000F8020000}"/>
    <hyperlink ref="D761" r:id="rId762" xr:uid="{00000000-0004-0000-0000-0000F9020000}"/>
    <hyperlink ref="D762" r:id="rId763" xr:uid="{00000000-0004-0000-0000-0000FA020000}"/>
    <hyperlink ref="D763" r:id="rId764" xr:uid="{00000000-0004-0000-0000-0000FB020000}"/>
    <hyperlink ref="D764" r:id="rId765" xr:uid="{00000000-0004-0000-0000-0000FC020000}"/>
    <hyperlink ref="D765" r:id="rId766" xr:uid="{00000000-0004-0000-0000-0000FD020000}"/>
    <hyperlink ref="D766" r:id="rId767" xr:uid="{00000000-0004-0000-0000-0000FE020000}"/>
    <hyperlink ref="D767" r:id="rId768" xr:uid="{00000000-0004-0000-0000-0000FF020000}"/>
    <hyperlink ref="D768" r:id="rId769" xr:uid="{00000000-0004-0000-0000-000000030000}"/>
    <hyperlink ref="D769" r:id="rId770" xr:uid="{00000000-0004-0000-0000-000001030000}"/>
    <hyperlink ref="D770" r:id="rId771" xr:uid="{00000000-0004-0000-0000-000002030000}"/>
    <hyperlink ref="D771" r:id="rId772" xr:uid="{00000000-0004-0000-0000-000003030000}"/>
    <hyperlink ref="D772" r:id="rId773" xr:uid="{00000000-0004-0000-0000-000004030000}"/>
    <hyperlink ref="D773" r:id="rId774" xr:uid="{00000000-0004-0000-0000-000005030000}"/>
    <hyperlink ref="D774" r:id="rId775" xr:uid="{00000000-0004-0000-0000-000006030000}"/>
    <hyperlink ref="D775" r:id="rId776" xr:uid="{00000000-0004-0000-0000-000007030000}"/>
    <hyperlink ref="D776" r:id="rId777" xr:uid="{00000000-0004-0000-0000-000008030000}"/>
    <hyperlink ref="D777" r:id="rId778" xr:uid="{00000000-0004-0000-0000-000009030000}"/>
    <hyperlink ref="D778" r:id="rId779" xr:uid="{00000000-0004-0000-0000-00000A030000}"/>
    <hyperlink ref="D779" r:id="rId780" xr:uid="{00000000-0004-0000-0000-00000B030000}"/>
    <hyperlink ref="D780" r:id="rId781" xr:uid="{00000000-0004-0000-0000-00000C030000}"/>
    <hyperlink ref="D781" r:id="rId782" xr:uid="{00000000-0004-0000-0000-00000D030000}"/>
    <hyperlink ref="D782" r:id="rId783" xr:uid="{00000000-0004-0000-0000-00000E030000}"/>
    <hyperlink ref="D783" r:id="rId784" xr:uid="{00000000-0004-0000-0000-00000F030000}"/>
    <hyperlink ref="D784" r:id="rId785" xr:uid="{00000000-0004-0000-0000-000010030000}"/>
    <hyperlink ref="D785" r:id="rId786" xr:uid="{00000000-0004-0000-0000-000011030000}"/>
    <hyperlink ref="D786" r:id="rId787" xr:uid="{00000000-0004-0000-0000-000012030000}"/>
    <hyperlink ref="D787" r:id="rId788" xr:uid="{00000000-0004-0000-0000-000013030000}"/>
    <hyperlink ref="D788" r:id="rId789" xr:uid="{00000000-0004-0000-0000-000014030000}"/>
    <hyperlink ref="D789" r:id="rId790" xr:uid="{00000000-0004-0000-0000-000015030000}"/>
    <hyperlink ref="D790" r:id="rId791" xr:uid="{00000000-0004-0000-0000-000016030000}"/>
    <hyperlink ref="D791" r:id="rId792" xr:uid="{00000000-0004-0000-0000-000017030000}"/>
    <hyperlink ref="D792" r:id="rId793" xr:uid="{00000000-0004-0000-0000-000018030000}"/>
    <hyperlink ref="D793" r:id="rId794" xr:uid="{00000000-0004-0000-0000-000019030000}"/>
    <hyperlink ref="D794" r:id="rId795" xr:uid="{00000000-0004-0000-0000-00001A030000}"/>
    <hyperlink ref="D795" r:id="rId796" xr:uid="{00000000-0004-0000-0000-00001B030000}"/>
    <hyperlink ref="D796" r:id="rId797" xr:uid="{00000000-0004-0000-0000-00001C030000}"/>
    <hyperlink ref="D797" r:id="rId798" xr:uid="{00000000-0004-0000-0000-00001D030000}"/>
    <hyperlink ref="D798" r:id="rId799" xr:uid="{00000000-0004-0000-0000-00001E030000}"/>
    <hyperlink ref="D799" r:id="rId800" xr:uid="{00000000-0004-0000-0000-00001F030000}"/>
    <hyperlink ref="D800" r:id="rId801" xr:uid="{00000000-0004-0000-0000-000020030000}"/>
    <hyperlink ref="D801" r:id="rId802" xr:uid="{00000000-0004-0000-0000-000021030000}"/>
    <hyperlink ref="D802" r:id="rId803" xr:uid="{00000000-0004-0000-0000-000022030000}"/>
    <hyperlink ref="D803" r:id="rId804" xr:uid="{00000000-0004-0000-0000-000023030000}"/>
    <hyperlink ref="D804" r:id="rId805" xr:uid="{00000000-0004-0000-0000-000024030000}"/>
    <hyperlink ref="D805" r:id="rId806" xr:uid="{00000000-0004-0000-0000-000025030000}"/>
    <hyperlink ref="D806" r:id="rId807" xr:uid="{00000000-0004-0000-0000-000026030000}"/>
    <hyperlink ref="D807" r:id="rId808" xr:uid="{00000000-0004-0000-0000-000027030000}"/>
    <hyperlink ref="D808" r:id="rId809" xr:uid="{00000000-0004-0000-0000-000028030000}"/>
    <hyperlink ref="D809" r:id="rId810" xr:uid="{00000000-0004-0000-0000-000029030000}"/>
    <hyperlink ref="D810" r:id="rId811" xr:uid="{00000000-0004-0000-0000-00002A030000}"/>
    <hyperlink ref="D811" r:id="rId812" xr:uid="{00000000-0004-0000-0000-00002B030000}"/>
    <hyperlink ref="D812" r:id="rId813" xr:uid="{00000000-0004-0000-0000-00002C030000}"/>
    <hyperlink ref="D813" r:id="rId814" xr:uid="{00000000-0004-0000-0000-00002D030000}"/>
    <hyperlink ref="D814" r:id="rId815" xr:uid="{00000000-0004-0000-0000-00002E030000}"/>
    <hyperlink ref="D815" r:id="rId816" xr:uid="{00000000-0004-0000-0000-00002F030000}"/>
    <hyperlink ref="D816" r:id="rId817" xr:uid="{00000000-0004-0000-0000-000030030000}"/>
    <hyperlink ref="D817" r:id="rId818" xr:uid="{00000000-0004-0000-0000-000031030000}"/>
    <hyperlink ref="D818" r:id="rId819" xr:uid="{00000000-0004-0000-0000-000032030000}"/>
    <hyperlink ref="D819" r:id="rId820" xr:uid="{00000000-0004-0000-0000-000033030000}"/>
    <hyperlink ref="D820" r:id="rId821" xr:uid="{00000000-0004-0000-0000-000034030000}"/>
    <hyperlink ref="D821" r:id="rId822" xr:uid="{00000000-0004-0000-0000-000035030000}"/>
    <hyperlink ref="D822" r:id="rId823" xr:uid="{00000000-0004-0000-0000-000036030000}"/>
    <hyperlink ref="D823" r:id="rId824" xr:uid="{00000000-0004-0000-0000-000037030000}"/>
    <hyperlink ref="D824" r:id="rId825" xr:uid="{00000000-0004-0000-0000-000038030000}"/>
    <hyperlink ref="D825" r:id="rId826" xr:uid="{00000000-0004-0000-0000-000039030000}"/>
    <hyperlink ref="D826" r:id="rId827" xr:uid="{00000000-0004-0000-0000-00003A030000}"/>
    <hyperlink ref="D827" r:id="rId828" xr:uid="{00000000-0004-0000-0000-00003B030000}"/>
    <hyperlink ref="D828" r:id="rId829" xr:uid="{00000000-0004-0000-0000-00003C030000}"/>
    <hyperlink ref="D829" r:id="rId830" xr:uid="{00000000-0004-0000-0000-00003D030000}"/>
    <hyperlink ref="D830" r:id="rId831" xr:uid="{00000000-0004-0000-0000-00003E030000}"/>
    <hyperlink ref="D831" r:id="rId832" xr:uid="{00000000-0004-0000-0000-00003F030000}"/>
    <hyperlink ref="D832" r:id="rId833" xr:uid="{00000000-0004-0000-0000-000040030000}"/>
    <hyperlink ref="D833" r:id="rId834" xr:uid="{00000000-0004-0000-0000-000041030000}"/>
    <hyperlink ref="D834" r:id="rId835" xr:uid="{00000000-0004-0000-0000-000042030000}"/>
    <hyperlink ref="D835" r:id="rId836" xr:uid="{00000000-0004-0000-0000-000043030000}"/>
    <hyperlink ref="D836" r:id="rId837" xr:uid="{00000000-0004-0000-0000-000044030000}"/>
    <hyperlink ref="D837" r:id="rId838" xr:uid="{00000000-0004-0000-0000-000045030000}"/>
    <hyperlink ref="D838" r:id="rId839" xr:uid="{00000000-0004-0000-0000-000046030000}"/>
    <hyperlink ref="D839" r:id="rId840" xr:uid="{00000000-0004-0000-0000-000047030000}"/>
    <hyperlink ref="D840" r:id="rId841" xr:uid="{00000000-0004-0000-0000-000048030000}"/>
    <hyperlink ref="D841" r:id="rId842" xr:uid="{00000000-0004-0000-0000-000049030000}"/>
    <hyperlink ref="D842" r:id="rId843" xr:uid="{00000000-0004-0000-0000-00004A030000}"/>
    <hyperlink ref="D843" r:id="rId844" xr:uid="{00000000-0004-0000-0000-00004B030000}"/>
    <hyperlink ref="D844" r:id="rId845" xr:uid="{00000000-0004-0000-0000-00004C030000}"/>
    <hyperlink ref="D845" r:id="rId846" xr:uid="{00000000-0004-0000-0000-00004D030000}"/>
    <hyperlink ref="D846" r:id="rId847" xr:uid="{00000000-0004-0000-0000-00004E030000}"/>
    <hyperlink ref="D847" r:id="rId848" xr:uid="{00000000-0004-0000-0000-00004F030000}"/>
    <hyperlink ref="D848" r:id="rId849" xr:uid="{00000000-0004-0000-0000-000050030000}"/>
    <hyperlink ref="D849" r:id="rId850" xr:uid="{00000000-0004-0000-0000-000051030000}"/>
    <hyperlink ref="D850" r:id="rId851" xr:uid="{00000000-0004-0000-0000-000052030000}"/>
    <hyperlink ref="D851" r:id="rId852" xr:uid="{00000000-0004-0000-0000-000053030000}"/>
    <hyperlink ref="D852" r:id="rId853" xr:uid="{00000000-0004-0000-0000-000054030000}"/>
    <hyperlink ref="D853" r:id="rId854" xr:uid="{00000000-0004-0000-0000-000055030000}"/>
    <hyperlink ref="D854" r:id="rId855" xr:uid="{00000000-0004-0000-0000-000056030000}"/>
    <hyperlink ref="D855" r:id="rId856" xr:uid="{00000000-0004-0000-0000-000057030000}"/>
    <hyperlink ref="D856" r:id="rId857" xr:uid="{00000000-0004-0000-0000-000058030000}"/>
    <hyperlink ref="D857" r:id="rId858" xr:uid="{00000000-0004-0000-0000-000059030000}"/>
    <hyperlink ref="D858" r:id="rId859" xr:uid="{00000000-0004-0000-0000-00005A030000}"/>
    <hyperlink ref="D859" r:id="rId860" xr:uid="{00000000-0004-0000-0000-00005B030000}"/>
    <hyperlink ref="D860" r:id="rId861" xr:uid="{00000000-0004-0000-0000-00005C030000}"/>
    <hyperlink ref="D861" r:id="rId862" xr:uid="{00000000-0004-0000-0000-00005D030000}"/>
    <hyperlink ref="D862" r:id="rId863" xr:uid="{00000000-0004-0000-0000-00005E030000}"/>
    <hyperlink ref="D863" r:id="rId864" xr:uid="{00000000-0004-0000-0000-00005F030000}"/>
    <hyperlink ref="D864" r:id="rId865" xr:uid="{00000000-0004-0000-0000-000060030000}"/>
    <hyperlink ref="D865" r:id="rId866" xr:uid="{00000000-0004-0000-0000-000061030000}"/>
    <hyperlink ref="D866" r:id="rId867" xr:uid="{00000000-0004-0000-0000-000062030000}"/>
    <hyperlink ref="D867" r:id="rId868" xr:uid="{00000000-0004-0000-0000-000063030000}"/>
    <hyperlink ref="D868" r:id="rId869" xr:uid="{00000000-0004-0000-0000-000064030000}"/>
    <hyperlink ref="D869" r:id="rId870" xr:uid="{00000000-0004-0000-0000-000065030000}"/>
    <hyperlink ref="D870" r:id="rId871" xr:uid="{00000000-0004-0000-0000-000066030000}"/>
    <hyperlink ref="D871" r:id="rId872" xr:uid="{00000000-0004-0000-0000-000067030000}"/>
    <hyperlink ref="D872" r:id="rId873" xr:uid="{00000000-0004-0000-0000-000068030000}"/>
    <hyperlink ref="D873" r:id="rId874" xr:uid="{00000000-0004-0000-0000-000069030000}"/>
    <hyperlink ref="D874" r:id="rId875" xr:uid="{00000000-0004-0000-0000-00006A030000}"/>
    <hyperlink ref="D875" r:id="rId876" xr:uid="{00000000-0004-0000-0000-00006B030000}"/>
    <hyperlink ref="D876" r:id="rId877" xr:uid="{00000000-0004-0000-0000-00006C030000}"/>
    <hyperlink ref="D877" r:id="rId878" xr:uid="{00000000-0004-0000-0000-00006D030000}"/>
    <hyperlink ref="D878" r:id="rId879" xr:uid="{00000000-0004-0000-0000-00006E030000}"/>
    <hyperlink ref="D879" r:id="rId880" xr:uid="{00000000-0004-0000-0000-00006F030000}"/>
    <hyperlink ref="D880" r:id="rId881" xr:uid="{00000000-0004-0000-0000-000070030000}"/>
    <hyperlink ref="D881" r:id="rId882" xr:uid="{00000000-0004-0000-0000-000071030000}"/>
    <hyperlink ref="D882" r:id="rId883" xr:uid="{00000000-0004-0000-0000-000072030000}"/>
    <hyperlink ref="D883" r:id="rId884" xr:uid="{00000000-0004-0000-0000-000073030000}"/>
    <hyperlink ref="D884" r:id="rId885" xr:uid="{00000000-0004-0000-0000-000074030000}"/>
    <hyperlink ref="D885" r:id="rId886" xr:uid="{00000000-0004-0000-0000-000075030000}"/>
    <hyperlink ref="D886" r:id="rId887" xr:uid="{00000000-0004-0000-0000-000076030000}"/>
    <hyperlink ref="D887" r:id="rId888" xr:uid="{00000000-0004-0000-0000-000077030000}"/>
    <hyperlink ref="D888" r:id="rId889" xr:uid="{00000000-0004-0000-0000-000078030000}"/>
    <hyperlink ref="D889" r:id="rId890" xr:uid="{00000000-0004-0000-0000-000079030000}"/>
    <hyperlink ref="D890" r:id="rId891" xr:uid="{00000000-0004-0000-0000-00007A030000}"/>
    <hyperlink ref="D891" r:id="rId892" xr:uid="{00000000-0004-0000-0000-00007B030000}"/>
    <hyperlink ref="D892" r:id="rId893" xr:uid="{00000000-0004-0000-0000-00007C030000}"/>
    <hyperlink ref="D893" r:id="rId894" xr:uid="{00000000-0004-0000-0000-00007D030000}"/>
    <hyperlink ref="D894" r:id="rId895" xr:uid="{00000000-0004-0000-0000-00007E030000}"/>
    <hyperlink ref="D895" r:id="rId896" xr:uid="{00000000-0004-0000-0000-00007F030000}"/>
    <hyperlink ref="D896" r:id="rId897" xr:uid="{00000000-0004-0000-0000-000080030000}"/>
    <hyperlink ref="D897" r:id="rId898" xr:uid="{00000000-0004-0000-0000-000081030000}"/>
    <hyperlink ref="D898" r:id="rId899" xr:uid="{00000000-0004-0000-0000-000082030000}"/>
    <hyperlink ref="D899" r:id="rId900" xr:uid="{00000000-0004-0000-0000-000083030000}"/>
    <hyperlink ref="D900" r:id="rId901" xr:uid="{00000000-0004-0000-0000-000084030000}"/>
    <hyperlink ref="D901" r:id="rId902" xr:uid="{00000000-0004-0000-0000-000085030000}"/>
    <hyperlink ref="D902" r:id="rId903" xr:uid="{00000000-0004-0000-0000-000086030000}"/>
    <hyperlink ref="D903" r:id="rId904" xr:uid="{00000000-0004-0000-0000-000087030000}"/>
    <hyperlink ref="D904" r:id="rId905" xr:uid="{00000000-0004-0000-0000-000088030000}"/>
    <hyperlink ref="D905" r:id="rId906" xr:uid="{00000000-0004-0000-0000-000089030000}"/>
    <hyperlink ref="D906" r:id="rId907" xr:uid="{00000000-0004-0000-0000-00008A030000}"/>
    <hyperlink ref="D907" r:id="rId908" xr:uid="{00000000-0004-0000-0000-00008B030000}"/>
    <hyperlink ref="D908" r:id="rId909" xr:uid="{00000000-0004-0000-0000-00008C030000}"/>
    <hyperlink ref="D909" r:id="rId910" xr:uid="{00000000-0004-0000-0000-00008D030000}"/>
    <hyperlink ref="D910" r:id="rId911" xr:uid="{00000000-0004-0000-0000-00008E030000}"/>
    <hyperlink ref="D911" r:id="rId912" xr:uid="{00000000-0004-0000-0000-00008F030000}"/>
    <hyperlink ref="D912" r:id="rId913" xr:uid="{00000000-0004-0000-0000-000090030000}"/>
    <hyperlink ref="D913" r:id="rId914" xr:uid="{00000000-0004-0000-0000-000091030000}"/>
    <hyperlink ref="D914" r:id="rId915" xr:uid="{00000000-0004-0000-0000-000092030000}"/>
    <hyperlink ref="D915" r:id="rId916" xr:uid="{00000000-0004-0000-0000-000093030000}"/>
    <hyperlink ref="D916" r:id="rId917" xr:uid="{00000000-0004-0000-0000-000094030000}"/>
    <hyperlink ref="D917" r:id="rId918" xr:uid="{00000000-0004-0000-0000-000095030000}"/>
    <hyperlink ref="D918" r:id="rId919" xr:uid="{00000000-0004-0000-0000-000096030000}"/>
    <hyperlink ref="D919" r:id="rId920" xr:uid="{00000000-0004-0000-0000-000097030000}"/>
    <hyperlink ref="D920" r:id="rId921" xr:uid="{00000000-0004-0000-0000-000098030000}"/>
    <hyperlink ref="D921" r:id="rId922" xr:uid="{00000000-0004-0000-0000-000099030000}"/>
    <hyperlink ref="D922" r:id="rId923" xr:uid="{00000000-0004-0000-0000-00009A030000}"/>
    <hyperlink ref="D923" r:id="rId924" xr:uid="{00000000-0004-0000-0000-00009B030000}"/>
    <hyperlink ref="D924" r:id="rId925" xr:uid="{00000000-0004-0000-0000-00009C030000}"/>
    <hyperlink ref="D925" r:id="rId926" xr:uid="{00000000-0004-0000-0000-00009D030000}"/>
    <hyperlink ref="D926" r:id="rId927" xr:uid="{00000000-0004-0000-0000-00009E030000}"/>
    <hyperlink ref="D927" r:id="rId928" xr:uid="{00000000-0004-0000-0000-00009F030000}"/>
    <hyperlink ref="D928" r:id="rId929" xr:uid="{00000000-0004-0000-0000-0000A0030000}"/>
    <hyperlink ref="D929" r:id="rId930" xr:uid="{00000000-0004-0000-0000-0000A1030000}"/>
    <hyperlink ref="D930" r:id="rId931" xr:uid="{00000000-0004-0000-0000-0000A2030000}"/>
    <hyperlink ref="D931" r:id="rId932" xr:uid="{00000000-0004-0000-0000-0000A3030000}"/>
    <hyperlink ref="D932" r:id="rId933" xr:uid="{00000000-0004-0000-0000-0000A4030000}"/>
    <hyperlink ref="D933" r:id="rId934" xr:uid="{00000000-0004-0000-0000-0000A5030000}"/>
    <hyperlink ref="D934" r:id="rId935" xr:uid="{00000000-0004-0000-0000-0000A6030000}"/>
    <hyperlink ref="D935" r:id="rId936" xr:uid="{00000000-0004-0000-0000-0000A7030000}"/>
    <hyperlink ref="D936" r:id="rId937" xr:uid="{00000000-0004-0000-0000-0000A8030000}"/>
    <hyperlink ref="D937" r:id="rId938" xr:uid="{00000000-0004-0000-0000-0000A9030000}"/>
    <hyperlink ref="D938" r:id="rId939" xr:uid="{00000000-0004-0000-0000-0000AA030000}"/>
    <hyperlink ref="D939" r:id="rId940" xr:uid="{00000000-0004-0000-0000-0000AB030000}"/>
    <hyperlink ref="D940" r:id="rId941" xr:uid="{00000000-0004-0000-0000-0000AC030000}"/>
    <hyperlink ref="D941" r:id="rId942" xr:uid="{00000000-0004-0000-0000-0000AD030000}"/>
    <hyperlink ref="D942" r:id="rId943" xr:uid="{00000000-0004-0000-0000-0000AE030000}"/>
    <hyperlink ref="D943" r:id="rId944" xr:uid="{00000000-0004-0000-0000-0000AF030000}"/>
    <hyperlink ref="D944" r:id="rId945" xr:uid="{00000000-0004-0000-0000-0000B0030000}"/>
    <hyperlink ref="D945" r:id="rId946" xr:uid="{00000000-0004-0000-0000-0000B1030000}"/>
    <hyperlink ref="D946" r:id="rId947" xr:uid="{00000000-0004-0000-0000-0000B2030000}"/>
    <hyperlink ref="D947" r:id="rId948" xr:uid="{00000000-0004-0000-0000-0000B3030000}"/>
    <hyperlink ref="D948" r:id="rId949" xr:uid="{00000000-0004-0000-0000-0000B4030000}"/>
    <hyperlink ref="D949" r:id="rId950" xr:uid="{00000000-0004-0000-0000-0000B5030000}"/>
    <hyperlink ref="D950" r:id="rId951" xr:uid="{00000000-0004-0000-0000-0000B6030000}"/>
    <hyperlink ref="D951" r:id="rId952" xr:uid="{00000000-0004-0000-0000-0000B7030000}"/>
    <hyperlink ref="D952" r:id="rId953" xr:uid="{00000000-0004-0000-0000-0000B8030000}"/>
    <hyperlink ref="D953" r:id="rId954" xr:uid="{00000000-0004-0000-0000-0000B9030000}"/>
    <hyperlink ref="D954" r:id="rId955" xr:uid="{00000000-0004-0000-0000-0000BA030000}"/>
    <hyperlink ref="D955" r:id="rId956" xr:uid="{00000000-0004-0000-0000-0000BB030000}"/>
    <hyperlink ref="D956" r:id="rId957" xr:uid="{00000000-0004-0000-0000-0000BC030000}"/>
    <hyperlink ref="D957" r:id="rId958" xr:uid="{00000000-0004-0000-0000-0000BD030000}"/>
    <hyperlink ref="D958" r:id="rId959" xr:uid="{00000000-0004-0000-0000-0000BE030000}"/>
    <hyperlink ref="D959" r:id="rId960" xr:uid="{00000000-0004-0000-0000-0000BF030000}"/>
    <hyperlink ref="D960" r:id="rId961" xr:uid="{00000000-0004-0000-0000-0000C0030000}"/>
    <hyperlink ref="D961" r:id="rId962" xr:uid="{00000000-0004-0000-0000-0000C1030000}"/>
    <hyperlink ref="D962" r:id="rId963" xr:uid="{00000000-0004-0000-0000-0000C2030000}"/>
    <hyperlink ref="D963" r:id="rId964" xr:uid="{00000000-0004-0000-0000-0000C3030000}"/>
    <hyperlink ref="D964" r:id="rId965" xr:uid="{00000000-0004-0000-0000-0000C4030000}"/>
    <hyperlink ref="D965" r:id="rId966" xr:uid="{00000000-0004-0000-0000-0000C5030000}"/>
    <hyperlink ref="D966" r:id="rId967" xr:uid="{00000000-0004-0000-0000-0000C6030000}"/>
    <hyperlink ref="D967" r:id="rId968" xr:uid="{00000000-0004-0000-0000-0000C7030000}"/>
    <hyperlink ref="D968" r:id="rId969" xr:uid="{00000000-0004-0000-0000-0000C8030000}"/>
    <hyperlink ref="D969" r:id="rId970" xr:uid="{00000000-0004-0000-0000-0000C9030000}"/>
    <hyperlink ref="D970" r:id="rId971" xr:uid="{00000000-0004-0000-0000-0000CA030000}"/>
    <hyperlink ref="D971" r:id="rId972" xr:uid="{00000000-0004-0000-0000-0000CB030000}"/>
    <hyperlink ref="D972" r:id="rId973" xr:uid="{00000000-0004-0000-0000-0000CC030000}"/>
    <hyperlink ref="D973" r:id="rId974" xr:uid="{00000000-0004-0000-0000-0000CD030000}"/>
    <hyperlink ref="D974" r:id="rId975" xr:uid="{00000000-0004-0000-0000-0000CE030000}"/>
    <hyperlink ref="D975" r:id="rId976" xr:uid="{00000000-0004-0000-0000-0000CF030000}"/>
    <hyperlink ref="D976" r:id="rId977" xr:uid="{00000000-0004-0000-0000-0000D0030000}"/>
    <hyperlink ref="D977" r:id="rId978" xr:uid="{00000000-0004-0000-0000-0000D1030000}"/>
    <hyperlink ref="D978" r:id="rId979" xr:uid="{00000000-0004-0000-0000-0000D2030000}"/>
    <hyperlink ref="D979" r:id="rId980" xr:uid="{00000000-0004-0000-0000-0000D3030000}"/>
    <hyperlink ref="D980" r:id="rId981" xr:uid="{00000000-0004-0000-0000-0000D4030000}"/>
    <hyperlink ref="D981" r:id="rId982" xr:uid="{00000000-0004-0000-0000-0000D5030000}"/>
    <hyperlink ref="D982" r:id="rId983" xr:uid="{00000000-0004-0000-0000-0000D6030000}"/>
    <hyperlink ref="D983" r:id="rId984" xr:uid="{00000000-0004-0000-0000-0000D7030000}"/>
    <hyperlink ref="D984" r:id="rId985" xr:uid="{00000000-0004-0000-0000-0000D8030000}"/>
    <hyperlink ref="D985" r:id="rId986" xr:uid="{00000000-0004-0000-0000-0000D9030000}"/>
    <hyperlink ref="D986" r:id="rId987" xr:uid="{00000000-0004-0000-0000-0000DA030000}"/>
    <hyperlink ref="D987" r:id="rId988" xr:uid="{00000000-0004-0000-0000-0000DB030000}"/>
    <hyperlink ref="D988" r:id="rId989" xr:uid="{00000000-0004-0000-0000-0000DC030000}"/>
    <hyperlink ref="D989" r:id="rId990" xr:uid="{00000000-0004-0000-0000-0000DD030000}"/>
    <hyperlink ref="D990" r:id="rId991" xr:uid="{00000000-0004-0000-0000-0000DE030000}"/>
    <hyperlink ref="D991" r:id="rId992" xr:uid="{00000000-0004-0000-0000-0000DF030000}"/>
    <hyperlink ref="D992" r:id="rId993" xr:uid="{00000000-0004-0000-0000-0000E0030000}"/>
    <hyperlink ref="D993" r:id="rId994" xr:uid="{00000000-0004-0000-0000-0000E1030000}"/>
    <hyperlink ref="D994" r:id="rId995" xr:uid="{00000000-0004-0000-0000-0000E2030000}"/>
    <hyperlink ref="D995" r:id="rId996" xr:uid="{00000000-0004-0000-0000-0000E3030000}"/>
    <hyperlink ref="D996" r:id="rId997" xr:uid="{00000000-0004-0000-0000-0000E4030000}"/>
    <hyperlink ref="D997" r:id="rId998" xr:uid="{00000000-0004-0000-0000-0000E5030000}"/>
    <hyperlink ref="D998" r:id="rId999" xr:uid="{00000000-0004-0000-0000-0000E6030000}"/>
    <hyperlink ref="D999" r:id="rId1000" xr:uid="{00000000-0004-0000-0000-0000E7030000}"/>
    <hyperlink ref="D1000" r:id="rId1001" xr:uid="{00000000-0004-0000-0000-0000E8030000}"/>
    <hyperlink ref="D1001" r:id="rId1002" xr:uid="{00000000-0004-0000-0000-0000E9030000}"/>
    <hyperlink ref="D1002" r:id="rId1003" xr:uid="{00000000-0004-0000-0000-0000EA030000}"/>
    <hyperlink ref="D1003" r:id="rId1004" xr:uid="{00000000-0004-0000-0000-0000EB030000}"/>
    <hyperlink ref="D1004" r:id="rId1005" xr:uid="{00000000-0004-0000-0000-0000EC030000}"/>
    <hyperlink ref="D1005" r:id="rId1006" xr:uid="{00000000-0004-0000-0000-0000ED030000}"/>
    <hyperlink ref="D1006" r:id="rId1007" xr:uid="{00000000-0004-0000-0000-0000EE030000}"/>
    <hyperlink ref="D1007" r:id="rId1008" xr:uid="{00000000-0004-0000-0000-0000EF030000}"/>
    <hyperlink ref="D1008" r:id="rId1009" xr:uid="{00000000-0004-0000-0000-0000F0030000}"/>
    <hyperlink ref="D1009" r:id="rId1010" xr:uid="{00000000-0004-0000-0000-0000F1030000}"/>
    <hyperlink ref="D1010" r:id="rId1011" xr:uid="{00000000-0004-0000-0000-0000F2030000}"/>
    <hyperlink ref="D1011" r:id="rId1012" xr:uid="{00000000-0004-0000-0000-0000F3030000}"/>
    <hyperlink ref="D1012" r:id="rId1013" xr:uid="{00000000-0004-0000-0000-0000F4030000}"/>
    <hyperlink ref="D1013" r:id="rId1014" xr:uid="{00000000-0004-0000-0000-0000F5030000}"/>
    <hyperlink ref="D1014" r:id="rId1015" xr:uid="{00000000-0004-0000-0000-0000F6030000}"/>
    <hyperlink ref="D1015" r:id="rId1016" xr:uid="{00000000-0004-0000-0000-0000F7030000}"/>
    <hyperlink ref="D1016" r:id="rId1017" xr:uid="{00000000-0004-0000-0000-0000F8030000}"/>
    <hyperlink ref="D1017" r:id="rId1018" xr:uid="{00000000-0004-0000-0000-0000F9030000}"/>
    <hyperlink ref="D1018" r:id="rId1019" xr:uid="{00000000-0004-0000-0000-0000FA030000}"/>
    <hyperlink ref="D1019" r:id="rId1020" xr:uid="{00000000-0004-0000-0000-0000FB030000}"/>
    <hyperlink ref="D1020" r:id="rId1021" xr:uid="{00000000-0004-0000-0000-0000FC030000}"/>
    <hyperlink ref="D1021" r:id="rId1022" xr:uid="{00000000-0004-0000-0000-0000FD030000}"/>
    <hyperlink ref="D1022" r:id="rId1023" xr:uid="{00000000-0004-0000-0000-0000FE030000}"/>
    <hyperlink ref="D1023" r:id="rId1024" xr:uid="{00000000-0004-0000-0000-0000FF030000}"/>
    <hyperlink ref="D1024" r:id="rId1025" xr:uid="{00000000-0004-0000-0000-000000040000}"/>
    <hyperlink ref="D1025" r:id="rId1026" xr:uid="{00000000-0004-0000-0000-000001040000}"/>
    <hyperlink ref="D1026" r:id="rId1027" xr:uid="{00000000-0004-0000-0000-000002040000}"/>
    <hyperlink ref="D1027" r:id="rId1028" xr:uid="{00000000-0004-0000-0000-000003040000}"/>
    <hyperlink ref="D1028" r:id="rId1029" xr:uid="{00000000-0004-0000-0000-000004040000}"/>
    <hyperlink ref="D1029" r:id="rId1030" xr:uid="{00000000-0004-0000-0000-000005040000}"/>
    <hyperlink ref="D1030" r:id="rId1031" xr:uid="{00000000-0004-0000-0000-000006040000}"/>
    <hyperlink ref="D1031" r:id="rId1032" xr:uid="{00000000-0004-0000-0000-000007040000}"/>
    <hyperlink ref="D1032" r:id="rId1033" xr:uid="{00000000-0004-0000-0000-000008040000}"/>
    <hyperlink ref="D1033" r:id="rId1034" xr:uid="{00000000-0004-0000-0000-000009040000}"/>
    <hyperlink ref="D1034" r:id="rId1035" xr:uid="{00000000-0004-0000-0000-00000A040000}"/>
    <hyperlink ref="D1035" r:id="rId1036" xr:uid="{00000000-0004-0000-0000-00000B040000}"/>
    <hyperlink ref="D1036" r:id="rId1037" xr:uid="{00000000-0004-0000-0000-00000C040000}"/>
    <hyperlink ref="D1037" r:id="rId1038" xr:uid="{00000000-0004-0000-0000-00000D040000}"/>
    <hyperlink ref="D1038" r:id="rId1039" xr:uid="{00000000-0004-0000-0000-00000E040000}"/>
    <hyperlink ref="D1039" r:id="rId1040" xr:uid="{00000000-0004-0000-0000-00000F040000}"/>
    <hyperlink ref="D1040" r:id="rId1041" xr:uid="{00000000-0004-0000-0000-000010040000}"/>
    <hyperlink ref="D1041" r:id="rId1042" xr:uid="{00000000-0004-0000-0000-000011040000}"/>
    <hyperlink ref="D1042" r:id="rId1043" xr:uid="{00000000-0004-0000-0000-000012040000}"/>
    <hyperlink ref="D1043" r:id="rId1044" xr:uid="{00000000-0004-0000-0000-000013040000}"/>
    <hyperlink ref="D1044" r:id="rId1045" xr:uid="{00000000-0004-0000-0000-000014040000}"/>
    <hyperlink ref="D1045" r:id="rId1046" xr:uid="{00000000-0004-0000-0000-000015040000}"/>
    <hyperlink ref="D1046" r:id="rId1047" xr:uid="{00000000-0004-0000-0000-000016040000}"/>
    <hyperlink ref="D1047" r:id="rId1048" xr:uid="{00000000-0004-0000-0000-000017040000}"/>
    <hyperlink ref="D1048" r:id="rId1049" xr:uid="{00000000-0004-0000-0000-000018040000}"/>
    <hyperlink ref="D1049" r:id="rId1050" xr:uid="{00000000-0004-0000-0000-000019040000}"/>
    <hyperlink ref="D1050" r:id="rId1051" xr:uid="{00000000-0004-0000-0000-00001A040000}"/>
    <hyperlink ref="D1051" r:id="rId1052" xr:uid="{00000000-0004-0000-0000-00001B040000}"/>
    <hyperlink ref="D1052" r:id="rId1053" xr:uid="{00000000-0004-0000-0000-00001C040000}"/>
    <hyperlink ref="D1053" r:id="rId1054" xr:uid="{00000000-0004-0000-0000-00001D040000}"/>
    <hyperlink ref="D1054" r:id="rId1055" xr:uid="{00000000-0004-0000-0000-00001E040000}"/>
    <hyperlink ref="D1055" r:id="rId1056" xr:uid="{00000000-0004-0000-0000-00001F040000}"/>
    <hyperlink ref="D1056" r:id="rId1057" xr:uid="{00000000-0004-0000-0000-000020040000}"/>
    <hyperlink ref="D1057" r:id="rId1058" xr:uid="{00000000-0004-0000-0000-000021040000}"/>
    <hyperlink ref="D1058" r:id="rId1059" xr:uid="{00000000-0004-0000-0000-000022040000}"/>
    <hyperlink ref="D1059" r:id="rId1060" xr:uid="{00000000-0004-0000-0000-000023040000}"/>
    <hyperlink ref="D1060" r:id="rId1061" xr:uid="{00000000-0004-0000-0000-000024040000}"/>
    <hyperlink ref="D1061" r:id="rId1062" xr:uid="{00000000-0004-0000-0000-000025040000}"/>
    <hyperlink ref="D1062" r:id="rId1063" xr:uid="{00000000-0004-0000-0000-000026040000}"/>
    <hyperlink ref="D1063" r:id="rId1064" xr:uid="{00000000-0004-0000-0000-000027040000}"/>
    <hyperlink ref="D1064" r:id="rId1065" xr:uid="{00000000-0004-0000-0000-000028040000}"/>
    <hyperlink ref="D1065" r:id="rId1066" xr:uid="{00000000-0004-0000-0000-000029040000}"/>
    <hyperlink ref="D1066" r:id="rId1067" xr:uid="{00000000-0004-0000-0000-00002A040000}"/>
    <hyperlink ref="D1067" r:id="rId1068" xr:uid="{00000000-0004-0000-0000-00002B040000}"/>
    <hyperlink ref="D1068" r:id="rId1069" xr:uid="{00000000-0004-0000-0000-00002C040000}"/>
    <hyperlink ref="D1069" r:id="rId1070" xr:uid="{00000000-0004-0000-0000-00002D040000}"/>
    <hyperlink ref="D1070" r:id="rId1071" xr:uid="{00000000-0004-0000-0000-00002E040000}"/>
    <hyperlink ref="D1071" r:id="rId1072" xr:uid="{00000000-0004-0000-0000-00002F040000}"/>
    <hyperlink ref="D1072" r:id="rId1073" xr:uid="{00000000-0004-0000-0000-000030040000}"/>
    <hyperlink ref="D1073" r:id="rId1074" xr:uid="{00000000-0004-0000-0000-000031040000}"/>
    <hyperlink ref="D1074" r:id="rId1075" xr:uid="{00000000-0004-0000-0000-000032040000}"/>
    <hyperlink ref="D1075" r:id="rId1076" xr:uid="{00000000-0004-0000-0000-000033040000}"/>
    <hyperlink ref="D1076" r:id="rId1077" xr:uid="{00000000-0004-0000-0000-000034040000}"/>
    <hyperlink ref="D1077" r:id="rId1078" xr:uid="{00000000-0004-0000-0000-000035040000}"/>
    <hyperlink ref="D1078" r:id="rId1079" xr:uid="{00000000-0004-0000-0000-000036040000}"/>
    <hyperlink ref="D1079" r:id="rId1080" xr:uid="{00000000-0004-0000-0000-000037040000}"/>
    <hyperlink ref="D1080" r:id="rId1081" xr:uid="{00000000-0004-0000-0000-000038040000}"/>
    <hyperlink ref="D1081" r:id="rId1082" xr:uid="{00000000-0004-0000-0000-000039040000}"/>
    <hyperlink ref="D1082" r:id="rId1083" xr:uid="{00000000-0004-0000-0000-00003A040000}"/>
    <hyperlink ref="D1083" r:id="rId1084" xr:uid="{00000000-0004-0000-0000-00003B040000}"/>
    <hyperlink ref="D1084" r:id="rId1085" xr:uid="{00000000-0004-0000-0000-00003C040000}"/>
    <hyperlink ref="D1085" r:id="rId1086" xr:uid="{00000000-0004-0000-0000-00003D040000}"/>
    <hyperlink ref="D1086" r:id="rId1087" xr:uid="{00000000-0004-0000-0000-00003E040000}"/>
    <hyperlink ref="D1087" r:id="rId1088" xr:uid="{00000000-0004-0000-0000-00003F040000}"/>
    <hyperlink ref="D1088" r:id="rId1089" xr:uid="{00000000-0004-0000-0000-000040040000}"/>
    <hyperlink ref="D1089" r:id="rId1090" xr:uid="{00000000-0004-0000-0000-000041040000}"/>
    <hyperlink ref="D1090" r:id="rId1091" xr:uid="{00000000-0004-0000-0000-000042040000}"/>
    <hyperlink ref="D1091" r:id="rId1092" xr:uid="{00000000-0004-0000-0000-000043040000}"/>
    <hyperlink ref="D1092" r:id="rId1093" xr:uid="{00000000-0004-0000-0000-000044040000}"/>
    <hyperlink ref="D1093" r:id="rId1094" xr:uid="{00000000-0004-0000-0000-000045040000}"/>
    <hyperlink ref="D1094" r:id="rId1095" xr:uid="{00000000-0004-0000-0000-000046040000}"/>
    <hyperlink ref="D1095" r:id="rId1096" xr:uid="{00000000-0004-0000-0000-000047040000}"/>
    <hyperlink ref="D1096" r:id="rId1097" xr:uid="{00000000-0004-0000-0000-000048040000}"/>
    <hyperlink ref="D1097" r:id="rId1098" xr:uid="{00000000-0004-0000-0000-000049040000}"/>
    <hyperlink ref="D1098" r:id="rId1099" xr:uid="{00000000-0004-0000-0000-00004A040000}"/>
    <hyperlink ref="D1099" r:id="rId1100" xr:uid="{00000000-0004-0000-0000-00004B040000}"/>
    <hyperlink ref="D1100" r:id="rId1101" xr:uid="{00000000-0004-0000-0000-00004C040000}"/>
    <hyperlink ref="D1101" r:id="rId1102" xr:uid="{00000000-0004-0000-0000-00004D040000}"/>
    <hyperlink ref="D1102" r:id="rId1103" xr:uid="{00000000-0004-0000-0000-00004E040000}"/>
    <hyperlink ref="D1103" r:id="rId1104" xr:uid="{00000000-0004-0000-0000-00004F040000}"/>
    <hyperlink ref="D1104" r:id="rId1105" xr:uid="{00000000-0004-0000-0000-000050040000}"/>
    <hyperlink ref="D1105" r:id="rId1106" xr:uid="{00000000-0004-0000-0000-000051040000}"/>
    <hyperlink ref="D1106" r:id="rId1107" xr:uid="{00000000-0004-0000-0000-000052040000}"/>
    <hyperlink ref="D1107" r:id="rId1108" xr:uid="{00000000-0004-0000-0000-000053040000}"/>
    <hyperlink ref="D1108" r:id="rId1109" xr:uid="{00000000-0004-0000-0000-000054040000}"/>
    <hyperlink ref="D1109" r:id="rId1110" xr:uid="{00000000-0004-0000-0000-000055040000}"/>
    <hyperlink ref="D1110" r:id="rId1111" xr:uid="{00000000-0004-0000-0000-000056040000}"/>
    <hyperlink ref="D1111" r:id="rId1112" xr:uid="{00000000-0004-0000-0000-000057040000}"/>
    <hyperlink ref="D1112" r:id="rId1113" xr:uid="{00000000-0004-0000-0000-000058040000}"/>
    <hyperlink ref="D1113" r:id="rId1114" xr:uid="{00000000-0004-0000-0000-000059040000}"/>
    <hyperlink ref="D1114" r:id="rId1115" xr:uid="{00000000-0004-0000-0000-00005A040000}"/>
    <hyperlink ref="D1115" r:id="rId1116" xr:uid="{00000000-0004-0000-0000-00005B040000}"/>
    <hyperlink ref="D1116" r:id="rId1117" xr:uid="{00000000-0004-0000-0000-00005C040000}"/>
    <hyperlink ref="D1117" r:id="rId1118" xr:uid="{00000000-0004-0000-0000-00005D040000}"/>
    <hyperlink ref="D1118" r:id="rId1119" xr:uid="{00000000-0004-0000-0000-00005E040000}"/>
    <hyperlink ref="D1119" r:id="rId1120" xr:uid="{00000000-0004-0000-0000-00005F040000}"/>
    <hyperlink ref="D1120" r:id="rId1121" xr:uid="{00000000-0004-0000-0000-000060040000}"/>
    <hyperlink ref="D1121" r:id="rId1122" xr:uid="{00000000-0004-0000-0000-000061040000}"/>
    <hyperlink ref="D1122" r:id="rId1123" xr:uid="{00000000-0004-0000-0000-000062040000}"/>
    <hyperlink ref="D1123" r:id="rId1124" xr:uid="{00000000-0004-0000-0000-000063040000}"/>
    <hyperlink ref="D1124" r:id="rId1125" xr:uid="{00000000-0004-0000-0000-000064040000}"/>
    <hyperlink ref="D1125" r:id="rId1126" xr:uid="{00000000-0004-0000-0000-000065040000}"/>
    <hyperlink ref="D1126" r:id="rId1127" xr:uid="{00000000-0004-0000-0000-000066040000}"/>
    <hyperlink ref="D1127" r:id="rId1128" xr:uid="{00000000-0004-0000-0000-000067040000}"/>
    <hyperlink ref="D1128" r:id="rId1129" xr:uid="{00000000-0004-0000-0000-000068040000}"/>
    <hyperlink ref="D1129" r:id="rId1130" xr:uid="{00000000-0004-0000-0000-000069040000}"/>
    <hyperlink ref="D1130" r:id="rId1131" xr:uid="{00000000-0004-0000-0000-00006A040000}"/>
    <hyperlink ref="D1131" r:id="rId1132" xr:uid="{00000000-0004-0000-0000-00006B040000}"/>
    <hyperlink ref="D1132" r:id="rId1133" xr:uid="{00000000-0004-0000-0000-00006C040000}"/>
    <hyperlink ref="D1133" r:id="rId1134" xr:uid="{00000000-0004-0000-0000-00006D040000}"/>
    <hyperlink ref="D1134" r:id="rId1135" xr:uid="{00000000-0004-0000-0000-00006E040000}"/>
    <hyperlink ref="D1135" r:id="rId1136" xr:uid="{00000000-0004-0000-0000-00006F040000}"/>
    <hyperlink ref="D1136" r:id="rId1137" xr:uid="{00000000-0004-0000-0000-000070040000}"/>
    <hyperlink ref="D1137" r:id="rId1138" xr:uid="{00000000-0004-0000-0000-000071040000}"/>
    <hyperlink ref="D1138" r:id="rId1139" xr:uid="{00000000-0004-0000-0000-000072040000}"/>
    <hyperlink ref="D1139" r:id="rId1140" xr:uid="{00000000-0004-0000-0000-000073040000}"/>
    <hyperlink ref="D1140" r:id="rId1141" xr:uid="{00000000-0004-0000-0000-000074040000}"/>
    <hyperlink ref="D1141" r:id="rId1142" xr:uid="{00000000-0004-0000-0000-000075040000}"/>
    <hyperlink ref="D1142" r:id="rId1143" xr:uid="{00000000-0004-0000-0000-000076040000}"/>
    <hyperlink ref="D1143" r:id="rId1144" xr:uid="{00000000-0004-0000-0000-000077040000}"/>
    <hyperlink ref="D1144" r:id="rId1145" xr:uid="{00000000-0004-0000-0000-000078040000}"/>
    <hyperlink ref="D1145" r:id="rId1146" xr:uid="{00000000-0004-0000-0000-000079040000}"/>
    <hyperlink ref="D1146" r:id="rId1147" xr:uid="{00000000-0004-0000-0000-00007A040000}"/>
    <hyperlink ref="D1147" r:id="rId1148" xr:uid="{00000000-0004-0000-0000-00007B040000}"/>
    <hyperlink ref="D1148" r:id="rId1149" xr:uid="{00000000-0004-0000-0000-00007C040000}"/>
    <hyperlink ref="D1149" r:id="rId1150" xr:uid="{00000000-0004-0000-0000-00007D040000}"/>
    <hyperlink ref="D1150" r:id="rId1151" xr:uid="{00000000-0004-0000-0000-00007E040000}"/>
    <hyperlink ref="D1151" r:id="rId1152" xr:uid="{00000000-0004-0000-0000-00007F040000}"/>
    <hyperlink ref="D1152" r:id="rId1153" xr:uid="{00000000-0004-0000-0000-000080040000}"/>
    <hyperlink ref="D1153" r:id="rId1154" xr:uid="{00000000-0004-0000-0000-000081040000}"/>
    <hyperlink ref="D1154" r:id="rId1155" xr:uid="{00000000-0004-0000-0000-000082040000}"/>
    <hyperlink ref="D1155" r:id="rId1156" xr:uid="{00000000-0004-0000-0000-000083040000}"/>
    <hyperlink ref="D1156" r:id="rId1157" xr:uid="{00000000-0004-0000-0000-000084040000}"/>
    <hyperlink ref="D1157" r:id="rId1158" xr:uid="{00000000-0004-0000-0000-000085040000}"/>
    <hyperlink ref="D1158" r:id="rId1159" xr:uid="{00000000-0004-0000-0000-000086040000}"/>
    <hyperlink ref="D1159" r:id="rId1160" xr:uid="{00000000-0004-0000-0000-000087040000}"/>
    <hyperlink ref="D1160" r:id="rId1161" xr:uid="{00000000-0004-0000-0000-000088040000}"/>
    <hyperlink ref="D1161" r:id="rId1162" xr:uid="{00000000-0004-0000-0000-000089040000}"/>
    <hyperlink ref="D1162" r:id="rId1163" xr:uid="{00000000-0004-0000-0000-00008A040000}"/>
    <hyperlink ref="D1163" r:id="rId1164" xr:uid="{00000000-0004-0000-0000-00008B040000}"/>
    <hyperlink ref="D1164" r:id="rId1165" xr:uid="{00000000-0004-0000-0000-00008C040000}"/>
    <hyperlink ref="D1165" r:id="rId1166" xr:uid="{00000000-0004-0000-0000-00008D040000}"/>
    <hyperlink ref="D1166" r:id="rId1167" xr:uid="{00000000-0004-0000-0000-00008E040000}"/>
    <hyperlink ref="D1167" r:id="rId1168" xr:uid="{00000000-0004-0000-0000-00008F040000}"/>
    <hyperlink ref="D1168" r:id="rId1169" xr:uid="{00000000-0004-0000-0000-000090040000}"/>
    <hyperlink ref="D1169" r:id="rId1170" xr:uid="{00000000-0004-0000-0000-000091040000}"/>
    <hyperlink ref="D1170" r:id="rId1171" xr:uid="{00000000-0004-0000-0000-000092040000}"/>
    <hyperlink ref="D1171" r:id="rId1172" xr:uid="{00000000-0004-0000-0000-000093040000}"/>
    <hyperlink ref="D1172" r:id="rId1173" xr:uid="{00000000-0004-0000-0000-000094040000}"/>
    <hyperlink ref="D1173" r:id="rId1174" xr:uid="{00000000-0004-0000-0000-000095040000}"/>
    <hyperlink ref="D1174" r:id="rId1175" xr:uid="{00000000-0004-0000-0000-000096040000}"/>
    <hyperlink ref="D1175" r:id="rId1176" xr:uid="{00000000-0004-0000-0000-000097040000}"/>
    <hyperlink ref="D1176" r:id="rId1177" xr:uid="{00000000-0004-0000-0000-000098040000}"/>
    <hyperlink ref="D1177" r:id="rId1178" xr:uid="{00000000-0004-0000-0000-000099040000}"/>
    <hyperlink ref="D1178" r:id="rId1179" xr:uid="{00000000-0004-0000-0000-00009A040000}"/>
    <hyperlink ref="D1179" r:id="rId1180" xr:uid="{00000000-0004-0000-0000-00009B040000}"/>
    <hyperlink ref="D1180" r:id="rId1181" xr:uid="{00000000-0004-0000-0000-00009C040000}"/>
    <hyperlink ref="D1181" r:id="rId1182" xr:uid="{00000000-0004-0000-0000-00009D040000}"/>
    <hyperlink ref="D1182" r:id="rId1183" xr:uid="{00000000-0004-0000-0000-00009E040000}"/>
    <hyperlink ref="D1183" r:id="rId1184" xr:uid="{00000000-0004-0000-0000-00009F040000}"/>
    <hyperlink ref="D1184" r:id="rId1185" xr:uid="{00000000-0004-0000-0000-0000A0040000}"/>
    <hyperlink ref="D1185" r:id="rId1186" xr:uid="{00000000-0004-0000-0000-0000A1040000}"/>
    <hyperlink ref="D1186" r:id="rId1187" xr:uid="{00000000-0004-0000-0000-0000A2040000}"/>
    <hyperlink ref="D1187" r:id="rId1188" xr:uid="{00000000-0004-0000-0000-0000A3040000}"/>
    <hyperlink ref="D1188" r:id="rId1189" xr:uid="{00000000-0004-0000-0000-0000A4040000}"/>
    <hyperlink ref="D1189" r:id="rId1190" xr:uid="{00000000-0004-0000-0000-0000A5040000}"/>
    <hyperlink ref="D1190" r:id="rId1191" xr:uid="{00000000-0004-0000-0000-0000A6040000}"/>
    <hyperlink ref="D1191" r:id="rId1192" xr:uid="{00000000-0004-0000-0000-0000A7040000}"/>
    <hyperlink ref="D1192" r:id="rId1193" xr:uid="{00000000-0004-0000-0000-0000A8040000}"/>
    <hyperlink ref="D1193" r:id="rId1194" xr:uid="{00000000-0004-0000-0000-0000A9040000}"/>
    <hyperlink ref="D1194" r:id="rId1195" xr:uid="{00000000-0004-0000-0000-0000AA040000}"/>
    <hyperlink ref="D1195" r:id="rId1196" xr:uid="{00000000-0004-0000-0000-0000AB040000}"/>
    <hyperlink ref="D1196" r:id="rId1197" xr:uid="{00000000-0004-0000-0000-0000AC040000}"/>
    <hyperlink ref="D1197" r:id="rId1198" xr:uid="{00000000-0004-0000-0000-0000AD040000}"/>
    <hyperlink ref="D1198" r:id="rId1199" xr:uid="{00000000-0004-0000-0000-0000AE040000}"/>
    <hyperlink ref="D1199" r:id="rId1200" xr:uid="{00000000-0004-0000-0000-0000AF040000}"/>
    <hyperlink ref="D1200" r:id="rId1201" xr:uid="{00000000-0004-0000-0000-0000B0040000}"/>
    <hyperlink ref="D1201" r:id="rId1202" xr:uid="{00000000-0004-0000-0000-0000B1040000}"/>
    <hyperlink ref="D1202" r:id="rId1203" xr:uid="{00000000-0004-0000-0000-0000B2040000}"/>
    <hyperlink ref="D1203" r:id="rId1204" xr:uid="{00000000-0004-0000-0000-0000B3040000}"/>
    <hyperlink ref="D1204" r:id="rId1205" xr:uid="{00000000-0004-0000-0000-0000B4040000}"/>
    <hyperlink ref="D1205" r:id="rId1206" xr:uid="{00000000-0004-0000-0000-0000B5040000}"/>
    <hyperlink ref="D1206" r:id="rId1207" xr:uid="{00000000-0004-0000-0000-0000B6040000}"/>
    <hyperlink ref="D1207" r:id="rId1208" xr:uid="{00000000-0004-0000-0000-0000B7040000}"/>
    <hyperlink ref="D1208" r:id="rId1209" xr:uid="{00000000-0004-0000-0000-0000B8040000}"/>
    <hyperlink ref="D1209" r:id="rId1210" xr:uid="{00000000-0004-0000-0000-0000B9040000}"/>
    <hyperlink ref="D1210" r:id="rId1211" xr:uid="{00000000-0004-0000-0000-0000BA040000}"/>
    <hyperlink ref="D1211" r:id="rId1212" xr:uid="{00000000-0004-0000-0000-0000BB040000}"/>
    <hyperlink ref="D1212" r:id="rId1213" xr:uid="{00000000-0004-0000-0000-0000BC040000}"/>
    <hyperlink ref="D1213" r:id="rId1214" xr:uid="{00000000-0004-0000-0000-0000BD040000}"/>
    <hyperlink ref="D1214" r:id="rId1215" xr:uid="{00000000-0004-0000-0000-0000BE040000}"/>
    <hyperlink ref="D1215" r:id="rId1216" xr:uid="{00000000-0004-0000-0000-0000BF040000}"/>
    <hyperlink ref="D1216" r:id="rId1217" xr:uid="{00000000-0004-0000-0000-0000C0040000}"/>
    <hyperlink ref="D1217" r:id="rId1218" xr:uid="{00000000-0004-0000-0000-0000C1040000}"/>
    <hyperlink ref="D1218" r:id="rId1219" xr:uid="{00000000-0004-0000-0000-0000C2040000}"/>
    <hyperlink ref="D1219" r:id="rId1220" xr:uid="{00000000-0004-0000-0000-0000C3040000}"/>
    <hyperlink ref="D1220" r:id="rId1221" xr:uid="{00000000-0004-0000-0000-0000C4040000}"/>
    <hyperlink ref="D1221" r:id="rId1222" xr:uid="{00000000-0004-0000-0000-0000C5040000}"/>
    <hyperlink ref="D1222" r:id="rId1223" xr:uid="{00000000-0004-0000-0000-0000C6040000}"/>
    <hyperlink ref="D1223" r:id="rId1224" xr:uid="{00000000-0004-0000-0000-0000C7040000}"/>
    <hyperlink ref="D1224" r:id="rId1225" xr:uid="{00000000-0004-0000-0000-0000C8040000}"/>
    <hyperlink ref="D1225" r:id="rId1226" xr:uid="{00000000-0004-0000-0000-0000C9040000}"/>
    <hyperlink ref="D1226" r:id="rId1227" xr:uid="{00000000-0004-0000-0000-0000CA040000}"/>
    <hyperlink ref="D1227" r:id="rId1228" xr:uid="{00000000-0004-0000-0000-0000CB040000}"/>
    <hyperlink ref="D1228" r:id="rId1229" xr:uid="{00000000-0004-0000-0000-0000CC040000}"/>
    <hyperlink ref="D1229" r:id="rId1230" xr:uid="{00000000-0004-0000-0000-0000CD040000}"/>
    <hyperlink ref="D1230" r:id="rId1231" xr:uid="{00000000-0004-0000-0000-0000CE040000}"/>
    <hyperlink ref="D1231" r:id="rId1232" xr:uid="{00000000-0004-0000-0000-0000CF040000}"/>
    <hyperlink ref="D1232" r:id="rId1233" xr:uid="{00000000-0004-0000-0000-0000D0040000}"/>
    <hyperlink ref="D1233" r:id="rId1234" xr:uid="{00000000-0004-0000-0000-0000D1040000}"/>
    <hyperlink ref="D1234" r:id="rId1235" xr:uid="{00000000-0004-0000-0000-0000D2040000}"/>
    <hyperlink ref="D1235" r:id="rId1236" xr:uid="{00000000-0004-0000-0000-0000D3040000}"/>
    <hyperlink ref="D1236" r:id="rId1237" xr:uid="{00000000-0004-0000-0000-0000D4040000}"/>
    <hyperlink ref="D1237" r:id="rId1238" xr:uid="{00000000-0004-0000-0000-0000D5040000}"/>
    <hyperlink ref="D1238" r:id="rId1239" xr:uid="{00000000-0004-0000-0000-0000D6040000}"/>
    <hyperlink ref="D1239" r:id="rId1240" xr:uid="{00000000-0004-0000-0000-0000D7040000}"/>
    <hyperlink ref="D1240" r:id="rId1241" xr:uid="{00000000-0004-0000-0000-0000D8040000}"/>
    <hyperlink ref="D1241" r:id="rId1242" xr:uid="{00000000-0004-0000-0000-0000D9040000}"/>
    <hyperlink ref="D1242" r:id="rId1243" xr:uid="{00000000-0004-0000-0000-0000DA040000}"/>
    <hyperlink ref="D1243" r:id="rId1244" xr:uid="{00000000-0004-0000-0000-0000DB040000}"/>
    <hyperlink ref="D1244" r:id="rId1245" xr:uid="{00000000-0004-0000-0000-0000DC040000}"/>
    <hyperlink ref="D1245" r:id="rId1246" xr:uid="{00000000-0004-0000-0000-0000DD040000}"/>
    <hyperlink ref="D1246" r:id="rId1247" xr:uid="{00000000-0004-0000-0000-0000DE040000}"/>
    <hyperlink ref="D1247" r:id="rId1248" xr:uid="{00000000-0004-0000-0000-0000DF040000}"/>
    <hyperlink ref="D1248" r:id="rId1249" xr:uid="{00000000-0004-0000-0000-0000E0040000}"/>
    <hyperlink ref="D1249" r:id="rId1250" xr:uid="{00000000-0004-0000-0000-0000E1040000}"/>
    <hyperlink ref="D1250" r:id="rId1251" xr:uid="{00000000-0004-0000-0000-0000E2040000}"/>
    <hyperlink ref="D1251" r:id="rId1252" xr:uid="{00000000-0004-0000-0000-0000E3040000}"/>
    <hyperlink ref="D1252" r:id="rId1253" xr:uid="{00000000-0004-0000-0000-0000E4040000}"/>
    <hyperlink ref="D1253" r:id="rId1254" xr:uid="{00000000-0004-0000-0000-0000E5040000}"/>
    <hyperlink ref="D1254" r:id="rId1255" xr:uid="{00000000-0004-0000-0000-0000E6040000}"/>
    <hyperlink ref="D1255" r:id="rId1256" xr:uid="{00000000-0004-0000-0000-0000E7040000}"/>
    <hyperlink ref="D1256" r:id="rId1257" xr:uid="{00000000-0004-0000-0000-0000E8040000}"/>
    <hyperlink ref="D1257" r:id="rId1258" xr:uid="{00000000-0004-0000-0000-0000E9040000}"/>
    <hyperlink ref="D1258" r:id="rId1259" xr:uid="{00000000-0004-0000-0000-0000EA040000}"/>
    <hyperlink ref="D1259" r:id="rId1260" xr:uid="{00000000-0004-0000-0000-0000EB040000}"/>
    <hyperlink ref="D1260" r:id="rId1261" xr:uid="{00000000-0004-0000-0000-0000EC040000}"/>
    <hyperlink ref="D1261" r:id="rId1262" xr:uid="{00000000-0004-0000-0000-0000ED040000}"/>
    <hyperlink ref="D1262" r:id="rId1263" xr:uid="{00000000-0004-0000-0000-0000EE040000}"/>
    <hyperlink ref="D1263" r:id="rId1264" xr:uid="{00000000-0004-0000-0000-0000EF040000}"/>
    <hyperlink ref="D1264" r:id="rId1265" xr:uid="{00000000-0004-0000-0000-0000F0040000}"/>
    <hyperlink ref="D1265" r:id="rId1266" xr:uid="{00000000-0004-0000-0000-0000F1040000}"/>
    <hyperlink ref="D1266" r:id="rId1267" xr:uid="{00000000-0004-0000-0000-0000F2040000}"/>
    <hyperlink ref="D1267" r:id="rId1268" xr:uid="{00000000-0004-0000-0000-0000F3040000}"/>
    <hyperlink ref="D1268" r:id="rId1269" xr:uid="{00000000-0004-0000-0000-0000F4040000}"/>
    <hyperlink ref="D1269" r:id="rId1270" xr:uid="{00000000-0004-0000-0000-0000F5040000}"/>
    <hyperlink ref="D1270" r:id="rId1271" xr:uid="{00000000-0004-0000-0000-0000F6040000}"/>
    <hyperlink ref="D1271" r:id="rId1272" xr:uid="{00000000-0004-0000-0000-0000F7040000}"/>
    <hyperlink ref="D1272" r:id="rId1273" xr:uid="{00000000-0004-0000-0000-0000F8040000}"/>
    <hyperlink ref="D1273" r:id="rId1274" xr:uid="{00000000-0004-0000-0000-0000F9040000}"/>
    <hyperlink ref="D1274" r:id="rId1275" xr:uid="{00000000-0004-0000-0000-0000FA040000}"/>
    <hyperlink ref="D1275" r:id="rId1276" xr:uid="{00000000-0004-0000-0000-0000FB040000}"/>
    <hyperlink ref="D1276" r:id="rId1277" xr:uid="{00000000-0004-0000-0000-0000FC040000}"/>
    <hyperlink ref="D1277" r:id="rId1278" xr:uid="{00000000-0004-0000-0000-0000FD040000}"/>
    <hyperlink ref="D1278" r:id="rId1279" xr:uid="{00000000-0004-0000-0000-0000FE040000}"/>
    <hyperlink ref="D1279" r:id="rId1280" xr:uid="{00000000-0004-0000-0000-0000FF040000}"/>
    <hyperlink ref="D1280" r:id="rId1281" xr:uid="{00000000-0004-0000-0000-000000050000}"/>
    <hyperlink ref="D1281" r:id="rId1282" xr:uid="{00000000-0004-0000-0000-000001050000}"/>
    <hyperlink ref="D1282" r:id="rId1283" xr:uid="{00000000-0004-0000-0000-000002050000}"/>
    <hyperlink ref="D1283" r:id="rId1284" xr:uid="{00000000-0004-0000-0000-000003050000}"/>
    <hyperlink ref="D1284" r:id="rId1285" xr:uid="{00000000-0004-0000-0000-000004050000}"/>
    <hyperlink ref="D1285" r:id="rId1286" xr:uid="{00000000-0004-0000-0000-000005050000}"/>
    <hyperlink ref="D1286" r:id="rId1287" xr:uid="{00000000-0004-0000-0000-000006050000}"/>
    <hyperlink ref="D1287" r:id="rId1288" xr:uid="{00000000-0004-0000-0000-000007050000}"/>
    <hyperlink ref="D1288" r:id="rId1289" xr:uid="{00000000-0004-0000-0000-000008050000}"/>
    <hyperlink ref="D1289" r:id="rId1290" xr:uid="{00000000-0004-0000-0000-000009050000}"/>
    <hyperlink ref="D1290" r:id="rId1291" xr:uid="{00000000-0004-0000-0000-00000A050000}"/>
    <hyperlink ref="D1291" r:id="rId1292" xr:uid="{00000000-0004-0000-0000-00000B050000}"/>
    <hyperlink ref="D1292" r:id="rId1293" xr:uid="{00000000-0004-0000-0000-00000C050000}"/>
    <hyperlink ref="D1293" r:id="rId1294" xr:uid="{00000000-0004-0000-0000-00000D050000}"/>
    <hyperlink ref="D1294" r:id="rId1295" xr:uid="{00000000-0004-0000-0000-00000E050000}"/>
    <hyperlink ref="D1295" r:id="rId1296" xr:uid="{00000000-0004-0000-0000-00000F050000}"/>
    <hyperlink ref="D1296" r:id="rId1297" xr:uid="{00000000-0004-0000-0000-000010050000}"/>
    <hyperlink ref="D1297" r:id="rId1298" xr:uid="{00000000-0004-0000-0000-000011050000}"/>
    <hyperlink ref="D1298" r:id="rId1299" xr:uid="{00000000-0004-0000-0000-000012050000}"/>
    <hyperlink ref="D1299" r:id="rId1300" xr:uid="{00000000-0004-0000-0000-000013050000}"/>
    <hyperlink ref="D1300" r:id="rId1301" xr:uid="{00000000-0004-0000-0000-000014050000}"/>
    <hyperlink ref="D1301" r:id="rId1302" xr:uid="{00000000-0004-0000-0000-000015050000}"/>
    <hyperlink ref="D1302" r:id="rId1303" xr:uid="{00000000-0004-0000-0000-000016050000}"/>
    <hyperlink ref="D1303" r:id="rId1304" xr:uid="{00000000-0004-0000-0000-000017050000}"/>
    <hyperlink ref="D1304" r:id="rId1305" xr:uid="{00000000-0004-0000-0000-000018050000}"/>
    <hyperlink ref="D1305" r:id="rId1306" xr:uid="{00000000-0004-0000-0000-000019050000}"/>
    <hyperlink ref="D1306" r:id="rId1307" xr:uid="{00000000-0004-0000-0000-00001A050000}"/>
    <hyperlink ref="D1307" r:id="rId1308" xr:uid="{00000000-0004-0000-0000-00001B050000}"/>
    <hyperlink ref="D1308" r:id="rId1309" xr:uid="{00000000-0004-0000-0000-00001C050000}"/>
    <hyperlink ref="D1309" r:id="rId1310" xr:uid="{00000000-0004-0000-0000-00001D050000}"/>
    <hyperlink ref="D1310" r:id="rId1311" xr:uid="{00000000-0004-0000-0000-00001E050000}"/>
    <hyperlink ref="D1311" r:id="rId1312" xr:uid="{00000000-0004-0000-0000-00001F050000}"/>
    <hyperlink ref="D1312" r:id="rId1313" xr:uid="{00000000-0004-0000-0000-000020050000}"/>
    <hyperlink ref="D1313" r:id="rId1314" xr:uid="{00000000-0004-0000-0000-000021050000}"/>
    <hyperlink ref="D1314" r:id="rId1315" xr:uid="{00000000-0004-0000-0000-000022050000}"/>
    <hyperlink ref="D1315" r:id="rId1316" xr:uid="{00000000-0004-0000-0000-000023050000}"/>
    <hyperlink ref="D1316" r:id="rId1317" xr:uid="{00000000-0004-0000-0000-000024050000}"/>
    <hyperlink ref="D1317" r:id="rId1318" xr:uid="{00000000-0004-0000-0000-000025050000}"/>
    <hyperlink ref="D1318" r:id="rId1319" xr:uid="{00000000-0004-0000-0000-000026050000}"/>
    <hyperlink ref="D1319" r:id="rId1320" xr:uid="{00000000-0004-0000-0000-000027050000}"/>
    <hyperlink ref="D1320" r:id="rId1321" xr:uid="{00000000-0004-0000-0000-000028050000}"/>
    <hyperlink ref="D1321" r:id="rId1322" xr:uid="{00000000-0004-0000-0000-000029050000}"/>
    <hyperlink ref="D1322" r:id="rId1323" xr:uid="{00000000-0004-0000-0000-00002A050000}"/>
    <hyperlink ref="D1323" r:id="rId1324" xr:uid="{00000000-0004-0000-0000-00002B050000}"/>
    <hyperlink ref="D1324" r:id="rId1325" xr:uid="{00000000-0004-0000-0000-00002C050000}"/>
    <hyperlink ref="D1325" r:id="rId1326" xr:uid="{00000000-0004-0000-0000-00002D050000}"/>
    <hyperlink ref="D1326" r:id="rId1327" xr:uid="{00000000-0004-0000-0000-00002E050000}"/>
    <hyperlink ref="D1327" r:id="rId1328" xr:uid="{00000000-0004-0000-0000-00002F050000}"/>
    <hyperlink ref="D1328" r:id="rId1329" xr:uid="{00000000-0004-0000-0000-000030050000}"/>
    <hyperlink ref="D1329" r:id="rId1330" xr:uid="{00000000-0004-0000-0000-000031050000}"/>
    <hyperlink ref="D1330" r:id="rId1331" xr:uid="{00000000-0004-0000-0000-000032050000}"/>
    <hyperlink ref="D1331" r:id="rId1332" xr:uid="{00000000-0004-0000-0000-000033050000}"/>
    <hyperlink ref="D1332" r:id="rId1333" xr:uid="{00000000-0004-0000-0000-000034050000}"/>
    <hyperlink ref="D1333" r:id="rId1334" xr:uid="{00000000-0004-0000-0000-000035050000}"/>
    <hyperlink ref="D1334" r:id="rId1335" xr:uid="{00000000-0004-0000-0000-000036050000}"/>
    <hyperlink ref="D1335" r:id="rId1336" xr:uid="{00000000-0004-0000-0000-000037050000}"/>
    <hyperlink ref="D1336" r:id="rId1337" xr:uid="{00000000-0004-0000-0000-000038050000}"/>
    <hyperlink ref="D1337" r:id="rId1338" xr:uid="{00000000-0004-0000-0000-000039050000}"/>
    <hyperlink ref="D1338" r:id="rId1339" xr:uid="{00000000-0004-0000-0000-00003A050000}"/>
    <hyperlink ref="D1339" r:id="rId1340" xr:uid="{00000000-0004-0000-0000-00003B050000}"/>
    <hyperlink ref="D1340" r:id="rId1341" xr:uid="{00000000-0004-0000-0000-00003C050000}"/>
    <hyperlink ref="D1341" r:id="rId1342" xr:uid="{00000000-0004-0000-0000-00003D050000}"/>
    <hyperlink ref="D1342" r:id="rId1343" xr:uid="{00000000-0004-0000-0000-00003E050000}"/>
    <hyperlink ref="D1343" r:id="rId1344" xr:uid="{00000000-0004-0000-0000-00003F050000}"/>
    <hyperlink ref="D1344" r:id="rId1345" xr:uid="{00000000-0004-0000-0000-000040050000}"/>
    <hyperlink ref="D1345" r:id="rId1346" xr:uid="{00000000-0004-0000-0000-000041050000}"/>
    <hyperlink ref="D1346" r:id="rId1347" xr:uid="{00000000-0004-0000-0000-000042050000}"/>
    <hyperlink ref="D1347" r:id="rId1348" xr:uid="{00000000-0004-0000-0000-000043050000}"/>
    <hyperlink ref="D1348" r:id="rId1349" xr:uid="{00000000-0004-0000-0000-000044050000}"/>
    <hyperlink ref="D1349" r:id="rId1350" xr:uid="{00000000-0004-0000-0000-000045050000}"/>
    <hyperlink ref="D1350" r:id="rId1351" xr:uid="{00000000-0004-0000-0000-000046050000}"/>
    <hyperlink ref="D1351" r:id="rId1352" xr:uid="{00000000-0004-0000-0000-000047050000}"/>
    <hyperlink ref="D1352" r:id="rId1353" xr:uid="{00000000-0004-0000-0000-000048050000}"/>
    <hyperlink ref="D1353" r:id="rId1354" xr:uid="{00000000-0004-0000-0000-000049050000}"/>
    <hyperlink ref="D1354" r:id="rId1355" xr:uid="{00000000-0004-0000-0000-00004A050000}"/>
    <hyperlink ref="D1355" r:id="rId1356" xr:uid="{00000000-0004-0000-0000-00004B050000}"/>
    <hyperlink ref="D1356" r:id="rId1357" xr:uid="{00000000-0004-0000-0000-00004C050000}"/>
    <hyperlink ref="D1357" r:id="rId1358" xr:uid="{00000000-0004-0000-0000-00004D050000}"/>
    <hyperlink ref="D1358" r:id="rId1359" xr:uid="{00000000-0004-0000-0000-00004E050000}"/>
    <hyperlink ref="D1359" r:id="rId1360" xr:uid="{00000000-0004-0000-0000-00004F050000}"/>
    <hyperlink ref="D1360" r:id="rId1361" xr:uid="{00000000-0004-0000-0000-000050050000}"/>
    <hyperlink ref="D1361" r:id="rId1362" xr:uid="{00000000-0004-0000-0000-000051050000}"/>
    <hyperlink ref="D1362" r:id="rId1363" xr:uid="{00000000-0004-0000-0000-000052050000}"/>
    <hyperlink ref="D1363" r:id="rId1364" xr:uid="{00000000-0004-0000-0000-000053050000}"/>
    <hyperlink ref="D1364" r:id="rId1365" xr:uid="{00000000-0004-0000-0000-000054050000}"/>
    <hyperlink ref="D1365" r:id="rId1366" xr:uid="{00000000-0004-0000-0000-000055050000}"/>
    <hyperlink ref="D1366" r:id="rId1367" xr:uid="{00000000-0004-0000-0000-000056050000}"/>
    <hyperlink ref="D1367" r:id="rId1368" xr:uid="{00000000-0004-0000-0000-000057050000}"/>
    <hyperlink ref="D1368" r:id="rId1369" xr:uid="{00000000-0004-0000-0000-000058050000}"/>
    <hyperlink ref="D1369" r:id="rId1370" xr:uid="{00000000-0004-0000-0000-000059050000}"/>
    <hyperlink ref="D1370" r:id="rId1371" xr:uid="{00000000-0004-0000-0000-00005A050000}"/>
    <hyperlink ref="D1371" r:id="rId1372" xr:uid="{00000000-0004-0000-0000-00005B050000}"/>
    <hyperlink ref="D1372" r:id="rId1373" xr:uid="{00000000-0004-0000-0000-00005C050000}"/>
    <hyperlink ref="D1373" r:id="rId1374" xr:uid="{00000000-0004-0000-0000-00005D050000}"/>
    <hyperlink ref="D1374" r:id="rId1375" xr:uid="{00000000-0004-0000-0000-00005E050000}"/>
    <hyperlink ref="D1375" r:id="rId1376" xr:uid="{00000000-0004-0000-0000-00005F050000}"/>
    <hyperlink ref="D1376" r:id="rId1377" xr:uid="{00000000-0004-0000-0000-000060050000}"/>
    <hyperlink ref="D1377" r:id="rId1378" xr:uid="{00000000-0004-0000-0000-000061050000}"/>
    <hyperlink ref="D1378" r:id="rId1379" xr:uid="{00000000-0004-0000-0000-000062050000}"/>
    <hyperlink ref="D1379" r:id="rId1380" xr:uid="{00000000-0004-0000-0000-000063050000}"/>
    <hyperlink ref="D1380" r:id="rId1381" xr:uid="{00000000-0004-0000-0000-000064050000}"/>
    <hyperlink ref="D1381" r:id="rId1382" xr:uid="{00000000-0004-0000-0000-000065050000}"/>
    <hyperlink ref="D1382" r:id="rId1383" xr:uid="{00000000-0004-0000-0000-000066050000}"/>
    <hyperlink ref="D1383" r:id="rId1384" xr:uid="{00000000-0004-0000-0000-000067050000}"/>
    <hyperlink ref="D1384" r:id="rId1385" xr:uid="{00000000-0004-0000-0000-000068050000}"/>
    <hyperlink ref="D1385" r:id="rId1386" xr:uid="{00000000-0004-0000-0000-000069050000}"/>
    <hyperlink ref="D1386" r:id="rId1387" xr:uid="{00000000-0004-0000-0000-00006A050000}"/>
    <hyperlink ref="D1387" r:id="rId1388" xr:uid="{00000000-0004-0000-0000-00006B050000}"/>
    <hyperlink ref="D1388" r:id="rId1389" xr:uid="{00000000-0004-0000-0000-00006C050000}"/>
    <hyperlink ref="D1389" r:id="rId1390" xr:uid="{00000000-0004-0000-0000-00006D050000}"/>
    <hyperlink ref="D1390" r:id="rId1391" xr:uid="{00000000-0004-0000-0000-00006E050000}"/>
    <hyperlink ref="D1391" r:id="rId1392" xr:uid="{00000000-0004-0000-0000-00006F050000}"/>
    <hyperlink ref="D1392" r:id="rId1393" xr:uid="{00000000-0004-0000-0000-000070050000}"/>
    <hyperlink ref="D1393" r:id="rId1394" xr:uid="{00000000-0004-0000-0000-000071050000}"/>
    <hyperlink ref="D1394" r:id="rId1395" xr:uid="{00000000-0004-0000-0000-000072050000}"/>
    <hyperlink ref="D1395" r:id="rId1396" xr:uid="{00000000-0004-0000-0000-000073050000}"/>
    <hyperlink ref="D1396" r:id="rId1397" xr:uid="{00000000-0004-0000-0000-000074050000}"/>
    <hyperlink ref="D1397" r:id="rId1398" xr:uid="{00000000-0004-0000-0000-000075050000}"/>
    <hyperlink ref="D1398" r:id="rId1399" xr:uid="{00000000-0004-0000-0000-000076050000}"/>
    <hyperlink ref="D1399" r:id="rId1400" xr:uid="{00000000-0004-0000-0000-000077050000}"/>
    <hyperlink ref="D1400" r:id="rId1401" xr:uid="{00000000-0004-0000-0000-000078050000}"/>
    <hyperlink ref="D1401" r:id="rId1402" xr:uid="{00000000-0004-0000-0000-000079050000}"/>
    <hyperlink ref="D1402" r:id="rId1403" xr:uid="{00000000-0004-0000-0000-00007A050000}"/>
    <hyperlink ref="D1403" r:id="rId1404" xr:uid="{00000000-0004-0000-0000-00007B050000}"/>
    <hyperlink ref="D1404" r:id="rId1405" xr:uid="{00000000-0004-0000-0000-00007C050000}"/>
    <hyperlink ref="D1405" r:id="rId1406" xr:uid="{00000000-0004-0000-0000-00007D050000}"/>
    <hyperlink ref="D1406" r:id="rId1407" xr:uid="{00000000-0004-0000-0000-00007E050000}"/>
    <hyperlink ref="D1407" r:id="rId1408" xr:uid="{00000000-0004-0000-0000-00007F050000}"/>
    <hyperlink ref="D1408" r:id="rId1409" xr:uid="{00000000-0004-0000-0000-000080050000}"/>
    <hyperlink ref="D1409" r:id="rId1410" xr:uid="{00000000-0004-0000-0000-000081050000}"/>
    <hyperlink ref="D1410" r:id="rId1411" xr:uid="{00000000-0004-0000-0000-000082050000}"/>
    <hyperlink ref="D1411" r:id="rId1412" xr:uid="{00000000-0004-0000-0000-000083050000}"/>
    <hyperlink ref="D1412" r:id="rId1413" xr:uid="{00000000-0004-0000-0000-000084050000}"/>
    <hyperlink ref="D1413" r:id="rId1414" xr:uid="{00000000-0004-0000-0000-000085050000}"/>
    <hyperlink ref="D1414" r:id="rId1415" xr:uid="{00000000-0004-0000-0000-000086050000}"/>
    <hyperlink ref="D1415" r:id="rId1416" xr:uid="{00000000-0004-0000-0000-000087050000}"/>
    <hyperlink ref="D1416" r:id="rId1417" xr:uid="{00000000-0004-0000-0000-000088050000}"/>
    <hyperlink ref="D1417" r:id="rId1418" xr:uid="{00000000-0004-0000-0000-000089050000}"/>
    <hyperlink ref="D1418" r:id="rId1419" xr:uid="{00000000-0004-0000-0000-00008A050000}"/>
    <hyperlink ref="D1419" r:id="rId1420" xr:uid="{00000000-0004-0000-0000-00008B050000}"/>
    <hyperlink ref="D1420" r:id="rId1421" xr:uid="{00000000-0004-0000-0000-00008C050000}"/>
    <hyperlink ref="D1421" r:id="rId1422" xr:uid="{00000000-0004-0000-0000-00008D050000}"/>
    <hyperlink ref="D1422" r:id="rId1423" xr:uid="{00000000-0004-0000-0000-00008E050000}"/>
    <hyperlink ref="D1423" r:id="rId1424" xr:uid="{00000000-0004-0000-0000-00008F050000}"/>
    <hyperlink ref="D1424" r:id="rId1425" xr:uid="{00000000-0004-0000-0000-000090050000}"/>
    <hyperlink ref="D1425" r:id="rId1426" xr:uid="{00000000-0004-0000-0000-000091050000}"/>
    <hyperlink ref="D1426" r:id="rId1427" xr:uid="{00000000-0004-0000-0000-000092050000}"/>
    <hyperlink ref="D1427" r:id="rId1428" xr:uid="{00000000-0004-0000-0000-000093050000}"/>
    <hyperlink ref="D1428" r:id="rId1429" xr:uid="{00000000-0004-0000-0000-000094050000}"/>
    <hyperlink ref="D1429" r:id="rId1430" xr:uid="{00000000-0004-0000-0000-000095050000}"/>
    <hyperlink ref="D1430" r:id="rId1431" xr:uid="{00000000-0004-0000-0000-000096050000}"/>
    <hyperlink ref="D1431" r:id="rId1432" xr:uid="{00000000-0004-0000-0000-000097050000}"/>
    <hyperlink ref="D1432" r:id="rId1433" xr:uid="{00000000-0004-0000-0000-000098050000}"/>
    <hyperlink ref="D1433" r:id="rId1434" xr:uid="{00000000-0004-0000-0000-000099050000}"/>
    <hyperlink ref="D1434" r:id="rId1435" xr:uid="{00000000-0004-0000-0000-00009A050000}"/>
    <hyperlink ref="D1435" r:id="rId1436" xr:uid="{00000000-0004-0000-0000-00009B050000}"/>
    <hyperlink ref="D1436" r:id="rId1437" xr:uid="{00000000-0004-0000-0000-00009C050000}"/>
    <hyperlink ref="D1437" r:id="rId1438" xr:uid="{00000000-0004-0000-0000-00009D050000}"/>
    <hyperlink ref="D1438" r:id="rId1439" xr:uid="{00000000-0004-0000-0000-00009E050000}"/>
    <hyperlink ref="D1439" r:id="rId1440" xr:uid="{00000000-0004-0000-0000-00009F050000}"/>
    <hyperlink ref="D1440" r:id="rId1441" xr:uid="{00000000-0004-0000-0000-0000A0050000}"/>
    <hyperlink ref="D1441" r:id="rId1442" xr:uid="{00000000-0004-0000-0000-0000A1050000}"/>
    <hyperlink ref="D1442" r:id="rId1443" xr:uid="{00000000-0004-0000-0000-0000A2050000}"/>
    <hyperlink ref="D1443" r:id="rId1444" xr:uid="{00000000-0004-0000-0000-0000A3050000}"/>
    <hyperlink ref="D1444" r:id="rId1445" xr:uid="{00000000-0004-0000-0000-0000A4050000}"/>
    <hyperlink ref="D1445" r:id="rId1446" xr:uid="{00000000-0004-0000-0000-0000A5050000}"/>
    <hyperlink ref="D1446" r:id="rId1447" xr:uid="{00000000-0004-0000-0000-0000A6050000}"/>
    <hyperlink ref="D1447" r:id="rId1448" xr:uid="{00000000-0004-0000-0000-0000A7050000}"/>
    <hyperlink ref="D1448" r:id="rId1449" xr:uid="{00000000-0004-0000-0000-0000A8050000}"/>
    <hyperlink ref="D1449" r:id="rId1450" xr:uid="{00000000-0004-0000-0000-0000A9050000}"/>
    <hyperlink ref="D1450" r:id="rId1451" xr:uid="{00000000-0004-0000-0000-0000AA050000}"/>
    <hyperlink ref="D1451" r:id="rId1452" xr:uid="{00000000-0004-0000-0000-0000AB050000}"/>
    <hyperlink ref="D1452" r:id="rId1453" xr:uid="{00000000-0004-0000-0000-0000AC050000}"/>
    <hyperlink ref="D1453" r:id="rId1454" xr:uid="{00000000-0004-0000-0000-0000AD050000}"/>
    <hyperlink ref="D1454" r:id="rId1455" xr:uid="{00000000-0004-0000-0000-0000AE050000}"/>
    <hyperlink ref="D1455" r:id="rId1456" xr:uid="{00000000-0004-0000-0000-0000AF050000}"/>
    <hyperlink ref="D1456" r:id="rId1457" xr:uid="{00000000-0004-0000-0000-0000B0050000}"/>
    <hyperlink ref="D1457" r:id="rId1458" xr:uid="{00000000-0004-0000-0000-0000B1050000}"/>
    <hyperlink ref="D1458" r:id="rId1459" xr:uid="{00000000-0004-0000-0000-0000B2050000}"/>
    <hyperlink ref="D1459" r:id="rId1460" xr:uid="{00000000-0004-0000-0000-0000B3050000}"/>
    <hyperlink ref="D1460" r:id="rId1461" xr:uid="{00000000-0004-0000-0000-0000B4050000}"/>
    <hyperlink ref="D1461" r:id="rId1462" xr:uid="{00000000-0004-0000-0000-0000B5050000}"/>
    <hyperlink ref="D1462" r:id="rId1463" xr:uid="{00000000-0004-0000-0000-0000B6050000}"/>
    <hyperlink ref="D1463" r:id="rId1464" xr:uid="{00000000-0004-0000-0000-0000B7050000}"/>
    <hyperlink ref="D1464" r:id="rId1465" xr:uid="{00000000-0004-0000-0000-0000B8050000}"/>
    <hyperlink ref="D1465" r:id="rId1466" xr:uid="{00000000-0004-0000-0000-0000B9050000}"/>
    <hyperlink ref="D1466" r:id="rId1467" xr:uid="{00000000-0004-0000-0000-0000BA050000}"/>
    <hyperlink ref="D1467" r:id="rId1468" xr:uid="{00000000-0004-0000-0000-0000BB050000}"/>
    <hyperlink ref="D1468" r:id="rId1469" xr:uid="{00000000-0004-0000-0000-0000BC050000}"/>
    <hyperlink ref="D1469" r:id="rId1470" xr:uid="{00000000-0004-0000-0000-0000BD050000}"/>
    <hyperlink ref="D1470" r:id="rId1471" xr:uid="{00000000-0004-0000-0000-0000BE050000}"/>
    <hyperlink ref="D1471" r:id="rId1472" xr:uid="{00000000-0004-0000-0000-0000BF050000}"/>
    <hyperlink ref="D1472" r:id="rId1473" xr:uid="{00000000-0004-0000-0000-0000C0050000}"/>
    <hyperlink ref="D1473" r:id="rId1474" xr:uid="{00000000-0004-0000-0000-0000C1050000}"/>
    <hyperlink ref="D1474" r:id="rId1475" xr:uid="{00000000-0004-0000-0000-0000C2050000}"/>
    <hyperlink ref="D1475" r:id="rId1476" xr:uid="{00000000-0004-0000-0000-0000C3050000}"/>
    <hyperlink ref="D1476" r:id="rId1477" xr:uid="{00000000-0004-0000-0000-0000C4050000}"/>
    <hyperlink ref="D1477" r:id="rId1478" xr:uid="{00000000-0004-0000-0000-0000C5050000}"/>
    <hyperlink ref="D1478" r:id="rId1479" xr:uid="{00000000-0004-0000-0000-0000C6050000}"/>
    <hyperlink ref="D1479" r:id="rId1480" xr:uid="{00000000-0004-0000-0000-0000C7050000}"/>
    <hyperlink ref="D1480" r:id="rId1481" xr:uid="{00000000-0004-0000-0000-0000C8050000}"/>
    <hyperlink ref="D1481" r:id="rId1482" xr:uid="{00000000-0004-0000-0000-0000C9050000}"/>
    <hyperlink ref="D1482" r:id="rId1483" xr:uid="{00000000-0004-0000-0000-0000CA050000}"/>
    <hyperlink ref="D1483" r:id="rId1484" xr:uid="{00000000-0004-0000-0000-0000CB050000}"/>
    <hyperlink ref="D1484" r:id="rId1485" xr:uid="{00000000-0004-0000-0000-0000CC050000}"/>
    <hyperlink ref="D1485" r:id="rId1486" xr:uid="{00000000-0004-0000-0000-0000CD050000}"/>
    <hyperlink ref="D1486" r:id="rId1487" xr:uid="{00000000-0004-0000-0000-0000CE050000}"/>
    <hyperlink ref="D1487" r:id="rId1488" xr:uid="{00000000-0004-0000-0000-0000CF050000}"/>
    <hyperlink ref="D1488" r:id="rId1489" xr:uid="{00000000-0004-0000-0000-0000D0050000}"/>
    <hyperlink ref="D1489" r:id="rId1490" xr:uid="{00000000-0004-0000-0000-0000D1050000}"/>
    <hyperlink ref="D1490" r:id="rId1491" xr:uid="{00000000-0004-0000-0000-0000D2050000}"/>
    <hyperlink ref="D1491" r:id="rId1492" xr:uid="{00000000-0004-0000-0000-0000D3050000}"/>
    <hyperlink ref="D1492" r:id="rId1493" xr:uid="{00000000-0004-0000-0000-0000D4050000}"/>
    <hyperlink ref="D1493" r:id="rId1494" xr:uid="{00000000-0004-0000-0000-0000D5050000}"/>
    <hyperlink ref="D1494" r:id="rId1495" xr:uid="{00000000-0004-0000-0000-0000D6050000}"/>
    <hyperlink ref="D1495" r:id="rId1496" xr:uid="{00000000-0004-0000-0000-0000D7050000}"/>
    <hyperlink ref="D1496" r:id="rId1497" xr:uid="{00000000-0004-0000-0000-0000D8050000}"/>
    <hyperlink ref="D1497" r:id="rId1498" xr:uid="{00000000-0004-0000-0000-0000D9050000}"/>
    <hyperlink ref="D1498" r:id="rId1499" xr:uid="{00000000-0004-0000-0000-0000DA050000}"/>
    <hyperlink ref="D1499" r:id="rId1500" xr:uid="{00000000-0004-0000-0000-0000DB050000}"/>
    <hyperlink ref="D1500" r:id="rId1501" xr:uid="{00000000-0004-0000-0000-0000DC050000}"/>
    <hyperlink ref="D1501" r:id="rId1502" xr:uid="{00000000-0004-0000-0000-0000DD050000}"/>
    <hyperlink ref="D1502" r:id="rId1503" xr:uid="{00000000-0004-0000-0000-0000DE050000}"/>
    <hyperlink ref="D1503" r:id="rId1504" xr:uid="{00000000-0004-0000-0000-0000DF050000}"/>
    <hyperlink ref="D1504" r:id="rId1505" xr:uid="{00000000-0004-0000-0000-0000E0050000}"/>
    <hyperlink ref="D1505" r:id="rId1506" xr:uid="{00000000-0004-0000-0000-0000E1050000}"/>
    <hyperlink ref="D1506" r:id="rId1507" xr:uid="{00000000-0004-0000-0000-0000E2050000}"/>
    <hyperlink ref="D1507" r:id="rId1508" xr:uid="{00000000-0004-0000-0000-0000E3050000}"/>
    <hyperlink ref="D1508" r:id="rId1509" xr:uid="{00000000-0004-0000-0000-0000E4050000}"/>
    <hyperlink ref="D1509" r:id="rId1510" xr:uid="{00000000-0004-0000-0000-0000E5050000}"/>
    <hyperlink ref="D1510" r:id="rId1511" xr:uid="{00000000-0004-0000-0000-0000E6050000}"/>
    <hyperlink ref="D1511" r:id="rId1512" xr:uid="{00000000-0004-0000-0000-0000E7050000}"/>
    <hyperlink ref="D1512" r:id="rId1513" xr:uid="{00000000-0004-0000-0000-0000E8050000}"/>
    <hyperlink ref="D1513" r:id="rId1514" xr:uid="{00000000-0004-0000-0000-0000E9050000}"/>
    <hyperlink ref="D1514" r:id="rId1515" xr:uid="{00000000-0004-0000-0000-0000EA050000}"/>
    <hyperlink ref="D1515" r:id="rId1516" xr:uid="{00000000-0004-0000-0000-0000EB050000}"/>
    <hyperlink ref="D1516" r:id="rId1517" xr:uid="{00000000-0004-0000-0000-0000EC050000}"/>
    <hyperlink ref="D1517" r:id="rId1518" xr:uid="{00000000-0004-0000-0000-0000ED050000}"/>
    <hyperlink ref="D1518" r:id="rId1519" xr:uid="{00000000-0004-0000-0000-0000EE050000}"/>
    <hyperlink ref="D1519" r:id="rId1520" xr:uid="{00000000-0004-0000-0000-0000EF050000}"/>
    <hyperlink ref="D1520" r:id="rId1521" xr:uid="{00000000-0004-0000-0000-0000F0050000}"/>
    <hyperlink ref="D1521" r:id="rId1522" xr:uid="{00000000-0004-0000-0000-0000F1050000}"/>
    <hyperlink ref="D1522" r:id="rId1523" xr:uid="{00000000-0004-0000-0000-0000F2050000}"/>
    <hyperlink ref="D1523" r:id="rId1524" xr:uid="{00000000-0004-0000-0000-0000F3050000}"/>
    <hyperlink ref="D1524" r:id="rId1525" xr:uid="{00000000-0004-0000-0000-0000F4050000}"/>
    <hyperlink ref="D1525" r:id="rId1526" xr:uid="{00000000-0004-0000-0000-0000F5050000}"/>
    <hyperlink ref="D1526" r:id="rId1527" xr:uid="{00000000-0004-0000-0000-0000F6050000}"/>
    <hyperlink ref="D1527" r:id="rId1528" xr:uid="{00000000-0004-0000-0000-0000F7050000}"/>
    <hyperlink ref="D1528" r:id="rId1529" xr:uid="{00000000-0004-0000-0000-0000F8050000}"/>
    <hyperlink ref="D1529" r:id="rId1530" xr:uid="{00000000-0004-0000-0000-0000F9050000}"/>
    <hyperlink ref="D1530" r:id="rId1531" xr:uid="{00000000-0004-0000-0000-0000FA050000}"/>
    <hyperlink ref="D1531" r:id="rId1532" xr:uid="{00000000-0004-0000-0000-0000FB050000}"/>
    <hyperlink ref="D1532" r:id="rId1533" xr:uid="{00000000-0004-0000-0000-0000FC050000}"/>
    <hyperlink ref="D1533" r:id="rId1534" xr:uid="{00000000-0004-0000-0000-0000FD050000}"/>
    <hyperlink ref="D1534" r:id="rId1535" xr:uid="{00000000-0004-0000-0000-0000FE050000}"/>
    <hyperlink ref="D1535" r:id="rId1536" xr:uid="{00000000-0004-0000-0000-0000FF050000}"/>
    <hyperlink ref="D1536" r:id="rId1537" xr:uid="{00000000-0004-0000-0000-000000060000}"/>
    <hyperlink ref="D1537" r:id="rId1538" xr:uid="{00000000-0004-0000-0000-000001060000}"/>
    <hyperlink ref="D1538" r:id="rId1539" xr:uid="{00000000-0004-0000-0000-000002060000}"/>
    <hyperlink ref="D1539" r:id="rId1540" xr:uid="{00000000-0004-0000-0000-000003060000}"/>
    <hyperlink ref="D1540" r:id="rId1541" xr:uid="{00000000-0004-0000-0000-000004060000}"/>
    <hyperlink ref="D1541" r:id="rId1542" xr:uid="{00000000-0004-0000-0000-000005060000}"/>
    <hyperlink ref="D1542" r:id="rId1543" xr:uid="{00000000-0004-0000-0000-000006060000}"/>
    <hyperlink ref="D1543" r:id="rId1544" xr:uid="{00000000-0004-0000-0000-000007060000}"/>
    <hyperlink ref="D1544" r:id="rId1545" xr:uid="{00000000-0004-0000-0000-000008060000}"/>
    <hyperlink ref="D1545" r:id="rId1546" xr:uid="{00000000-0004-0000-0000-000009060000}"/>
    <hyperlink ref="D1546" r:id="rId1547" xr:uid="{00000000-0004-0000-0000-00000A060000}"/>
    <hyperlink ref="D1547" r:id="rId1548" xr:uid="{00000000-0004-0000-0000-00000B060000}"/>
    <hyperlink ref="D1548" r:id="rId1549" xr:uid="{00000000-0004-0000-0000-00000C060000}"/>
    <hyperlink ref="D1549" r:id="rId1550" xr:uid="{00000000-0004-0000-0000-00000D060000}"/>
    <hyperlink ref="D1550" r:id="rId1551" xr:uid="{00000000-0004-0000-0000-00000E060000}"/>
    <hyperlink ref="D1551" r:id="rId1552" xr:uid="{00000000-0004-0000-0000-00000F060000}"/>
    <hyperlink ref="D1552" r:id="rId1553" xr:uid="{00000000-0004-0000-0000-000010060000}"/>
    <hyperlink ref="D1553" r:id="rId1554" xr:uid="{00000000-0004-0000-0000-000011060000}"/>
    <hyperlink ref="D1554" r:id="rId1555" xr:uid="{00000000-0004-0000-0000-000012060000}"/>
    <hyperlink ref="D1555" r:id="rId1556" xr:uid="{00000000-0004-0000-0000-000013060000}"/>
    <hyperlink ref="D1556" r:id="rId1557" xr:uid="{00000000-0004-0000-0000-000014060000}"/>
    <hyperlink ref="D1557" r:id="rId1558" xr:uid="{00000000-0004-0000-0000-000015060000}"/>
    <hyperlink ref="D1558" r:id="rId1559" xr:uid="{00000000-0004-0000-0000-000016060000}"/>
    <hyperlink ref="D1559" r:id="rId1560" xr:uid="{00000000-0004-0000-0000-000017060000}"/>
    <hyperlink ref="D1560" r:id="rId1561" xr:uid="{00000000-0004-0000-0000-000018060000}"/>
    <hyperlink ref="D1561" r:id="rId1562" xr:uid="{00000000-0004-0000-0000-000019060000}"/>
    <hyperlink ref="D1562" r:id="rId1563" xr:uid="{00000000-0004-0000-0000-00001A060000}"/>
    <hyperlink ref="D1563" r:id="rId1564" xr:uid="{00000000-0004-0000-0000-00001B060000}"/>
    <hyperlink ref="D1564" r:id="rId1565" xr:uid="{00000000-0004-0000-0000-00001C060000}"/>
    <hyperlink ref="D1565" r:id="rId1566" xr:uid="{00000000-0004-0000-0000-00001D060000}"/>
    <hyperlink ref="D1566" r:id="rId1567" xr:uid="{00000000-0004-0000-0000-00001E060000}"/>
    <hyperlink ref="D1567" r:id="rId1568" xr:uid="{00000000-0004-0000-0000-00001F060000}"/>
    <hyperlink ref="D1568" r:id="rId1569" xr:uid="{00000000-0004-0000-0000-000020060000}"/>
    <hyperlink ref="D1569" r:id="rId1570" xr:uid="{00000000-0004-0000-0000-000021060000}"/>
    <hyperlink ref="D1570" r:id="rId1571" xr:uid="{00000000-0004-0000-0000-000022060000}"/>
    <hyperlink ref="D1571" r:id="rId1572" xr:uid="{00000000-0004-0000-0000-000023060000}"/>
    <hyperlink ref="D1572" r:id="rId1573" xr:uid="{00000000-0004-0000-0000-000024060000}"/>
    <hyperlink ref="D1573" r:id="rId1574" xr:uid="{00000000-0004-0000-0000-000025060000}"/>
    <hyperlink ref="D1574" r:id="rId1575" xr:uid="{00000000-0004-0000-0000-000026060000}"/>
    <hyperlink ref="D1575" r:id="rId1576" xr:uid="{00000000-0004-0000-0000-000027060000}"/>
    <hyperlink ref="D1576" r:id="rId1577" xr:uid="{00000000-0004-0000-0000-000028060000}"/>
    <hyperlink ref="D1577" r:id="rId1578" xr:uid="{00000000-0004-0000-0000-000029060000}"/>
    <hyperlink ref="D1578" r:id="rId1579" xr:uid="{00000000-0004-0000-0000-00002A060000}"/>
    <hyperlink ref="D1579" r:id="rId1580" xr:uid="{00000000-0004-0000-0000-00002B060000}"/>
    <hyperlink ref="D1580" r:id="rId1581" xr:uid="{00000000-0004-0000-0000-00002C060000}"/>
    <hyperlink ref="D1581" r:id="rId1582" xr:uid="{00000000-0004-0000-0000-00002D060000}"/>
    <hyperlink ref="D1582" r:id="rId1583" xr:uid="{00000000-0004-0000-0000-00002E060000}"/>
    <hyperlink ref="D1583" r:id="rId1584" xr:uid="{00000000-0004-0000-0000-00002F060000}"/>
    <hyperlink ref="D1584" r:id="rId1585" xr:uid="{00000000-0004-0000-0000-000030060000}"/>
    <hyperlink ref="D1585" r:id="rId1586" xr:uid="{00000000-0004-0000-0000-000031060000}"/>
    <hyperlink ref="D1586" r:id="rId1587" xr:uid="{00000000-0004-0000-0000-000032060000}"/>
    <hyperlink ref="D1587" r:id="rId1588" xr:uid="{00000000-0004-0000-0000-000033060000}"/>
    <hyperlink ref="D1588" r:id="rId1589" xr:uid="{00000000-0004-0000-0000-000034060000}"/>
    <hyperlink ref="D1589" r:id="rId1590" xr:uid="{00000000-0004-0000-0000-000035060000}"/>
    <hyperlink ref="D1590" r:id="rId1591" xr:uid="{00000000-0004-0000-0000-000036060000}"/>
    <hyperlink ref="D1591" r:id="rId1592" xr:uid="{00000000-0004-0000-0000-000037060000}"/>
    <hyperlink ref="D1592" r:id="rId1593" xr:uid="{00000000-0004-0000-0000-000038060000}"/>
    <hyperlink ref="D1593" r:id="rId1594" xr:uid="{00000000-0004-0000-0000-000039060000}"/>
    <hyperlink ref="D1594" r:id="rId1595" xr:uid="{00000000-0004-0000-0000-00003A060000}"/>
    <hyperlink ref="D1595" r:id="rId1596" xr:uid="{00000000-0004-0000-0000-00003B060000}"/>
    <hyperlink ref="D1596" r:id="rId1597" xr:uid="{00000000-0004-0000-0000-00003C060000}"/>
    <hyperlink ref="D1597" r:id="rId1598" xr:uid="{00000000-0004-0000-0000-00003D060000}"/>
    <hyperlink ref="D1598" r:id="rId1599" xr:uid="{00000000-0004-0000-0000-00003E060000}"/>
    <hyperlink ref="D1599" r:id="rId1600" xr:uid="{00000000-0004-0000-0000-00003F060000}"/>
    <hyperlink ref="D1600" r:id="rId1601" xr:uid="{00000000-0004-0000-0000-000040060000}"/>
    <hyperlink ref="D1601" r:id="rId1602" xr:uid="{00000000-0004-0000-0000-000041060000}"/>
    <hyperlink ref="D1602" r:id="rId1603" xr:uid="{00000000-0004-0000-0000-000042060000}"/>
    <hyperlink ref="D1603" r:id="rId1604" xr:uid="{00000000-0004-0000-0000-000043060000}"/>
    <hyperlink ref="D1604" r:id="rId1605" xr:uid="{00000000-0004-0000-0000-000044060000}"/>
    <hyperlink ref="D1605" r:id="rId1606" xr:uid="{00000000-0004-0000-0000-000045060000}"/>
    <hyperlink ref="D1606" r:id="rId1607" xr:uid="{00000000-0004-0000-0000-000046060000}"/>
    <hyperlink ref="D1607" r:id="rId1608" xr:uid="{00000000-0004-0000-0000-000047060000}"/>
    <hyperlink ref="D1608" r:id="rId1609" xr:uid="{00000000-0004-0000-0000-000048060000}"/>
    <hyperlink ref="D1609" r:id="rId1610" xr:uid="{00000000-0004-0000-0000-000049060000}"/>
    <hyperlink ref="D1610" r:id="rId1611" xr:uid="{00000000-0004-0000-0000-00004A060000}"/>
    <hyperlink ref="D1611" r:id="rId1612" xr:uid="{00000000-0004-0000-0000-00004B060000}"/>
    <hyperlink ref="D1612" r:id="rId1613" xr:uid="{00000000-0004-0000-0000-00004C060000}"/>
    <hyperlink ref="D1613" r:id="rId1614" xr:uid="{00000000-0004-0000-0000-00004D060000}"/>
    <hyperlink ref="D1614" r:id="rId1615" xr:uid="{00000000-0004-0000-0000-00004E060000}"/>
    <hyperlink ref="D1615" r:id="rId1616" xr:uid="{00000000-0004-0000-0000-00004F060000}"/>
    <hyperlink ref="D1616" r:id="rId1617" xr:uid="{00000000-0004-0000-0000-000050060000}"/>
    <hyperlink ref="D1617" r:id="rId1618" xr:uid="{00000000-0004-0000-0000-000051060000}"/>
    <hyperlink ref="D1618" r:id="rId1619" xr:uid="{00000000-0004-0000-0000-000052060000}"/>
    <hyperlink ref="D1619" r:id="rId1620" xr:uid="{00000000-0004-0000-0000-000053060000}"/>
    <hyperlink ref="D1620" r:id="rId1621" xr:uid="{00000000-0004-0000-0000-000054060000}"/>
    <hyperlink ref="D1621" r:id="rId1622" xr:uid="{00000000-0004-0000-0000-000055060000}"/>
    <hyperlink ref="D1622" r:id="rId1623" xr:uid="{00000000-0004-0000-0000-000056060000}"/>
    <hyperlink ref="D1623" r:id="rId1624" xr:uid="{00000000-0004-0000-0000-000057060000}"/>
    <hyperlink ref="D1624" r:id="rId1625" xr:uid="{00000000-0004-0000-0000-000058060000}"/>
    <hyperlink ref="D1625" r:id="rId1626" xr:uid="{00000000-0004-0000-0000-000059060000}"/>
    <hyperlink ref="D1626" r:id="rId1627" xr:uid="{00000000-0004-0000-0000-00005A060000}"/>
    <hyperlink ref="D1627" r:id="rId1628" xr:uid="{00000000-0004-0000-0000-00005B060000}"/>
    <hyperlink ref="D1628" r:id="rId1629" xr:uid="{00000000-0004-0000-0000-00005C060000}"/>
    <hyperlink ref="D1629" r:id="rId1630" xr:uid="{00000000-0004-0000-0000-00005D060000}"/>
    <hyperlink ref="D1630" r:id="rId1631" xr:uid="{00000000-0004-0000-0000-00005E060000}"/>
    <hyperlink ref="D1631" r:id="rId1632" xr:uid="{00000000-0004-0000-0000-00005F060000}"/>
    <hyperlink ref="D1632" r:id="rId1633" xr:uid="{00000000-0004-0000-0000-000060060000}"/>
    <hyperlink ref="D1633" r:id="rId1634" xr:uid="{00000000-0004-0000-0000-000061060000}"/>
    <hyperlink ref="D1634" r:id="rId1635" xr:uid="{00000000-0004-0000-0000-000062060000}"/>
    <hyperlink ref="D1635" r:id="rId1636" xr:uid="{00000000-0004-0000-0000-000063060000}"/>
    <hyperlink ref="D1636" r:id="rId1637" xr:uid="{00000000-0004-0000-0000-000064060000}"/>
    <hyperlink ref="D1637" r:id="rId1638" xr:uid="{00000000-0004-0000-0000-000065060000}"/>
    <hyperlink ref="D1638" r:id="rId1639" xr:uid="{00000000-0004-0000-0000-000066060000}"/>
    <hyperlink ref="D1639" r:id="rId1640" xr:uid="{00000000-0004-0000-0000-000067060000}"/>
    <hyperlink ref="D1640" r:id="rId1641" xr:uid="{00000000-0004-0000-0000-000068060000}"/>
    <hyperlink ref="D1641" r:id="rId1642" xr:uid="{00000000-0004-0000-0000-000069060000}"/>
    <hyperlink ref="D1642" r:id="rId1643" xr:uid="{00000000-0004-0000-0000-00006A060000}"/>
    <hyperlink ref="D1643" r:id="rId1644" xr:uid="{00000000-0004-0000-0000-00006B060000}"/>
    <hyperlink ref="D1644" r:id="rId1645" xr:uid="{00000000-0004-0000-0000-00006C060000}"/>
    <hyperlink ref="D1645" r:id="rId1646" xr:uid="{00000000-0004-0000-0000-00006D060000}"/>
    <hyperlink ref="D1646" r:id="rId1647" xr:uid="{00000000-0004-0000-0000-00006E060000}"/>
    <hyperlink ref="D1647" r:id="rId1648" xr:uid="{00000000-0004-0000-0000-00006F060000}"/>
    <hyperlink ref="D1648" r:id="rId1649" xr:uid="{00000000-0004-0000-0000-000070060000}"/>
    <hyperlink ref="D1649" r:id="rId1650" xr:uid="{00000000-0004-0000-0000-000071060000}"/>
    <hyperlink ref="D1650" r:id="rId1651" xr:uid="{00000000-0004-0000-0000-000072060000}"/>
    <hyperlink ref="D1651" r:id="rId1652" xr:uid="{00000000-0004-0000-0000-000073060000}"/>
    <hyperlink ref="D1652" r:id="rId1653" xr:uid="{00000000-0004-0000-0000-000074060000}"/>
    <hyperlink ref="D1653" r:id="rId1654" xr:uid="{00000000-0004-0000-0000-000075060000}"/>
    <hyperlink ref="D1654" r:id="rId1655" xr:uid="{00000000-0004-0000-0000-000076060000}"/>
    <hyperlink ref="D1655" r:id="rId1656" xr:uid="{00000000-0004-0000-0000-000077060000}"/>
    <hyperlink ref="D1656" r:id="rId1657" xr:uid="{00000000-0004-0000-0000-000078060000}"/>
    <hyperlink ref="D1657" r:id="rId1658" xr:uid="{00000000-0004-0000-0000-000079060000}"/>
    <hyperlink ref="D1658" r:id="rId1659" xr:uid="{00000000-0004-0000-0000-00007A060000}"/>
    <hyperlink ref="D1659" r:id="rId1660" xr:uid="{00000000-0004-0000-0000-00007B060000}"/>
    <hyperlink ref="D1660" r:id="rId1661" xr:uid="{00000000-0004-0000-0000-00007C060000}"/>
    <hyperlink ref="D1661" r:id="rId1662" xr:uid="{00000000-0004-0000-0000-00007D060000}"/>
    <hyperlink ref="D1662" r:id="rId1663" xr:uid="{00000000-0004-0000-0000-00007E060000}"/>
    <hyperlink ref="D1663" r:id="rId1664" xr:uid="{00000000-0004-0000-0000-00007F060000}"/>
    <hyperlink ref="D1664" r:id="rId1665" xr:uid="{00000000-0004-0000-0000-000080060000}"/>
    <hyperlink ref="D1665" r:id="rId1666" xr:uid="{00000000-0004-0000-0000-000081060000}"/>
    <hyperlink ref="D1666" r:id="rId1667" xr:uid="{00000000-0004-0000-0000-000082060000}"/>
    <hyperlink ref="D1667" r:id="rId1668" xr:uid="{00000000-0004-0000-0000-000083060000}"/>
    <hyperlink ref="D1668" r:id="rId1669" xr:uid="{00000000-0004-0000-0000-000084060000}"/>
    <hyperlink ref="D1669" r:id="rId1670" xr:uid="{00000000-0004-0000-0000-000085060000}"/>
    <hyperlink ref="D1670" r:id="rId1671" xr:uid="{00000000-0004-0000-0000-000086060000}"/>
    <hyperlink ref="D1671" r:id="rId1672" xr:uid="{00000000-0004-0000-0000-000087060000}"/>
    <hyperlink ref="D1672" r:id="rId1673" xr:uid="{00000000-0004-0000-0000-000088060000}"/>
    <hyperlink ref="D1673" r:id="rId1674" xr:uid="{00000000-0004-0000-0000-000089060000}"/>
    <hyperlink ref="D1674" r:id="rId1675" xr:uid="{00000000-0004-0000-0000-00008A060000}"/>
    <hyperlink ref="D1675" r:id="rId1676" xr:uid="{00000000-0004-0000-0000-00008B060000}"/>
    <hyperlink ref="D1676" r:id="rId1677" xr:uid="{00000000-0004-0000-0000-00008C060000}"/>
    <hyperlink ref="D1677" r:id="rId1678" xr:uid="{00000000-0004-0000-0000-00008D060000}"/>
    <hyperlink ref="D1678" r:id="rId1679" xr:uid="{00000000-0004-0000-0000-00008E060000}"/>
    <hyperlink ref="D1679" r:id="rId1680" xr:uid="{00000000-0004-0000-0000-00008F060000}"/>
    <hyperlink ref="D1680" r:id="rId1681" xr:uid="{00000000-0004-0000-0000-000090060000}"/>
    <hyperlink ref="D1681" r:id="rId1682" xr:uid="{00000000-0004-0000-0000-000091060000}"/>
    <hyperlink ref="D1682" r:id="rId1683" xr:uid="{00000000-0004-0000-0000-000092060000}"/>
    <hyperlink ref="D1683" r:id="rId1684" xr:uid="{00000000-0004-0000-0000-000093060000}"/>
    <hyperlink ref="D1684" r:id="rId1685" xr:uid="{00000000-0004-0000-0000-000094060000}"/>
    <hyperlink ref="D1685" r:id="rId1686" xr:uid="{00000000-0004-0000-0000-000095060000}"/>
    <hyperlink ref="D1686" r:id="rId1687" xr:uid="{00000000-0004-0000-0000-000096060000}"/>
    <hyperlink ref="D1687" r:id="rId1688" xr:uid="{00000000-0004-0000-0000-000097060000}"/>
    <hyperlink ref="D1688" r:id="rId1689" xr:uid="{00000000-0004-0000-0000-000098060000}"/>
    <hyperlink ref="D1689" r:id="rId1690" xr:uid="{00000000-0004-0000-0000-000099060000}"/>
    <hyperlink ref="D1690" r:id="rId1691" xr:uid="{00000000-0004-0000-0000-00009A060000}"/>
    <hyperlink ref="D1691" r:id="rId1692" xr:uid="{00000000-0004-0000-0000-00009B060000}"/>
    <hyperlink ref="D1692" r:id="rId1693" xr:uid="{00000000-0004-0000-0000-00009C060000}"/>
    <hyperlink ref="D1693" r:id="rId1694" xr:uid="{00000000-0004-0000-0000-00009D060000}"/>
    <hyperlink ref="D1694" r:id="rId1695" xr:uid="{00000000-0004-0000-0000-00009E060000}"/>
    <hyperlink ref="D1695" r:id="rId1696" xr:uid="{00000000-0004-0000-0000-00009F060000}"/>
    <hyperlink ref="D1696" r:id="rId1697" xr:uid="{00000000-0004-0000-0000-0000A0060000}"/>
    <hyperlink ref="D1697" r:id="rId1698" xr:uid="{00000000-0004-0000-0000-0000A1060000}"/>
    <hyperlink ref="D1698" r:id="rId1699" xr:uid="{00000000-0004-0000-0000-0000A2060000}"/>
    <hyperlink ref="D1699" r:id="rId1700" xr:uid="{00000000-0004-0000-0000-0000A3060000}"/>
    <hyperlink ref="D1700" r:id="rId1701" xr:uid="{00000000-0004-0000-0000-0000A4060000}"/>
    <hyperlink ref="D1701" r:id="rId1702" xr:uid="{00000000-0004-0000-0000-0000A5060000}"/>
    <hyperlink ref="D1702" r:id="rId1703" xr:uid="{00000000-0004-0000-0000-0000A6060000}"/>
    <hyperlink ref="D1703" r:id="rId1704" xr:uid="{00000000-0004-0000-0000-0000A7060000}"/>
    <hyperlink ref="D1704" r:id="rId1705" xr:uid="{00000000-0004-0000-0000-0000A8060000}"/>
    <hyperlink ref="D1705" r:id="rId1706" xr:uid="{00000000-0004-0000-0000-0000A9060000}"/>
    <hyperlink ref="D1706" r:id="rId1707" xr:uid="{00000000-0004-0000-0000-0000AA060000}"/>
    <hyperlink ref="D1707" r:id="rId1708" xr:uid="{00000000-0004-0000-0000-0000AB060000}"/>
    <hyperlink ref="D1708" r:id="rId1709" xr:uid="{00000000-0004-0000-0000-0000AC060000}"/>
    <hyperlink ref="D1709" r:id="rId1710" xr:uid="{00000000-0004-0000-0000-0000AD060000}"/>
    <hyperlink ref="D1710" r:id="rId1711" xr:uid="{00000000-0004-0000-0000-0000AE060000}"/>
    <hyperlink ref="D1711" r:id="rId1712" xr:uid="{00000000-0004-0000-0000-0000AF060000}"/>
    <hyperlink ref="D1712" r:id="rId1713" xr:uid="{00000000-0004-0000-0000-0000B0060000}"/>
    <hyperlink ref="D1713" r:id="rId1714" xr:uid="{00000000-0004-0000-0000-0000B1060000}"/>
    <hyperlink ref="D1714" r:id="rId1715" xr:uid="{00000000-0004-0000-0000-0000B2060000}"/>
    <hyperlink ref="D1715" r:id="rId1716" xr:uid="{00000000-0004-0000-0000-0000B3060000}"/>
    <hyperlink ref="D1716" r:id="rId1717" xr:uid="{00000000-0004-0000-0000-0000B4060000}"/>
    <hyperlink ref="D1717" r:id="rId1718" xr:uid="{00000000-0004-0000-0000-0000B5060000}"/>
    <hyperlink ref="D1718" r:id="rId1719" xr:uid="{00000000-0004-0000-0000-0000B6060000}"/>
    <hyperlink ref="D1719" r:id="rId1720" xr:uid="{00000000-0004-0000-0000-0000B7060000}"/>
    <hyperlink ref="D1720" r:id="rId1721" xr:uid="{00000000-0004-0000-0000-0000B8060000}"/>
    <hyperlink ref="D1721" r:id="rId1722" xr:uid="{00000000-0004-0000-0000-0000B9060000}"/>
    <hyperlink ref="D1722" r:id="rId1723" xr:uid="{00000000-0004-0000-0000-0000BA060000}"/>
    <hyperlink ref="D1723" r:id="rId1724" xr:uid="{00000000-0004-0000-0000-0000BB060000}"/>
    <hyperlink ref="D1724" r:id="rId1725" xr:uid="{00000000-0004-0000-0000-0000BC060000}"/>
    <hyperlink ref="D1725" r:id="rId1726" xr:uid="{00000000-0004-0000-0000-0000BD060000}"/>
    <hyperlink ref="D1726" r:id="rId1727" xr:uid="{00000000-0004-0000-0000-0000BE060000}"/>
    <hyperlink ref="D1727" r:id="rId1728" xr:uid="{00000000-0004-0000-0000-0000BF060000}"/>
    <hyperlink ref="D1728" r:id="rId1729" xr:uid="{00000000-0004-0000-0000-0000C0060000}"/>
    <hyperlink ref="D1729" r:id="rId1730" xr:uid="{00000000-0004-0000-0000-0000C1060000}"/>
    <hyperlink ref="D1730" r:id="rId1731" xr:uid="{00000000-0004-0000-0000-0000C2060000}"/>
    <hyperlink ref="D1731" r:id="rId1732" xr:uid="{00000000-0004-0000-0000-0000C3060000}"/>
    <hyperlink ref="D1732" r:id="rId1733" xr:uid="{00000000-0004-0000-0000-0000C4060000}"/>
    <hyperlink ref="D1733" r:id="rId1734" xr:uid="{00000000-0004-0000-0000-0000C5060000}"/>
    <hyperlink ref="D1734" r:id="rId1735" xr:uid="{00000000-0004-0000-0000-0000C6060000}"/>
    <hyperlink ref="D1735" r:id="rId1736" xr:uid="{00000000-0004-0000-0000-0000C7060000}"/>
    <hyperlink ref="D1736" r:id="rId1737" xr:uid="{00000000-0004-0000-0000-0000C8060000}"/>
    <hyperlink ref="D1737" r:id="rId1738" xr:uid="{00000000-0004-0000-0000-0000C9060000}"/>
    <hyperlink ref="D1738" r:id="rId1739" xr:uid="{00000000-0004-0000-0000-0000CA060000}"/>
    <hyperlink ref="D1739" r:id="rId1740" xr:uid="{00000000-0004-0000-0000-0000CB060000}"/>
    <hyperlink ref="D1740" r:id="rId1741" xr:uid="{00000000-0004-0000-0000-0000CC060000}"/>
    <hyperlink ref="D1741" r:id="rId1742" xr:uid="{00000000-0004-0000-0000-0000CD060000}"/>
    <hyperlink ref="D1742" r:id="rId1743" xr:uid="{00000000-0004-0000-0000-0000CE060000}"/>
    <hyperlink ref="D1743" r:id="rId1744" xr:uid="{00000000-0004-0000-0000-0000CF060000}"/>
    <hyperlink ref="D1744" r:id="rId1745" xr:uid="{00000000-0004-0000-0000-0000D0060000}"/>
    <hyperlink ref="D1745" r:id="rId1746" xr:uid="{00000000-0004-0000-0000-0000D1060000}"/>
    <hyperlink ref="D1746" r:id="rId1747" xr:uid="{00000000-0004-0000-0000-0000D2060000}"/>
    <hyperlink ref="D1747" r:id="rId1748" xr:uid="{00000000-0004-0000-0000-0000D3060000}"/>
    <hyperlink ref="D1748" r:id="rId1749" xr:uid="{00000000-0004-0000-0000-0000D4060000}"/>
    <hyperlink ref="D1749" r:id="rId1750" xr:uid="{00000000-0004-0000-0000-0000D5060000}"/>
    <hyperlink ref="D1750" r:id="rId1751" xr:uid="{00000000-0004-0000-0000-0000D6060000}"/>
    <hyperlink ref="D1751" r:id="rId1752" xr:uid="{00000000-0004-0000-0000-0000D7060000}"/>
    <hyperlink ref="D1752" r:id="rId1753" xr:uid="{00000000-0004-0000-0000-0000D8060000}"/>
    <hyperlink ref="D1753" r:id="rId1754" xr:uid="{00000000-0004-0000-0000-0000D9060000}"/>
    <hyperlink ref="D1754" r:id="rId1755" xr:uid="{00000000-0004-0000-0000-0000DA060000}"/>
    <hyperlink ref="D1755" r:id="rId1756" xr:uid="{00000000-0004-0000-0000-0000DB060000}"/>
    <hyperlink ref="D1756" r:id="rId1757" xr:uid="{00000000-0004-0000-0000-0000DC060000}"/>
    <hyperlink ref="D1757" r:id="rId1758" xr:uid="{00000000-0004-0000-0000-0000DD060000}"/>
    <hyperlink ref="D1758" r:id="rId1759" xr:uid="{00000000-0004-0000-0000-0000DE060000}"/>
    <hyperlink ref="D1759" r:id="rId1760" xr:uid="{00000000-0004-0000-0000-0000DF060000}"/>
    <hyperlink ref="D1760" r:id="rId1761" xr:uid="{00000000-0004-0000-0000-0000E0060000}"/>
    <hyperlink ref="D1761" r:id="rId1762" xr:uid="{00000000-0004-0000-0000-0000E1060000}"/>
    <hyperlink ref="D1762" r:id="rId1763" xr:uid="{00000000-0004-0000-0000-0000E2060000}"/>
    <hyperlink ref="D1763" r:id="rId1764" xr:uid="{00000000-0004-0000-0000-0000E3060000}"/>
    <hyperlink ref="D1764" r:id="rId1765" xr:uid="{00000000-0004-0000-0000-0000E4060000}"/>
    <hyperlink ref="D1765" r:id="rId1766" xr:uid="{00000000-0004-0000-0000-0000E5060000}"/>
    <hyperlink ref="D1766" r:id="rId1767" xr:uid="{00000000-0004-0000-0000-0000E6060000}"/>
    <hyperlink ref="D1767" r:id="rId1768" xr:uid="{00000000-0004-0000-0000-0000E7060000}"/>
    <hyperlink ref="D1768" r:id="rId1769" xr:uid="{00000000-0004-0000-0000-0000E8060000}"/>
    <hyperlink ref="D1769" r:id="rId1770" xr:uid="{00000000-0004-0000-0000-0000E9060000}"/>
    <hyperlink ref="D1770" r:id="rId1771" xr:uid="{00000000-0004-0000-0000-0000EA060000}"/>
    <hyperlink ref="D1771" r:id="rId1772" xr:uid="{00000000-0004-0000-0000-0000EB060000}"/>
    <hyperlink ref="D1772" r:id="rId1773" xr:uid="{00000000-0004-0000-0000-0000EC060000}"/>
    <hyperlink ref="D1773" r:id="rId1774" xr:uid="{00000000-0004-0000-0000-0000ED060000}"/>
    <hyperlink ref="D1774" r:id="rId1775" xr:uid="{00000000-0004-0000-0000-0000EE060000}"/>
    <hyperlink ref="D1775" r:id="rId1776" xr:uid="{00000000-0004-0000-0000-0000EF060000}"/>
    <hyperlink ref="D1776" r:id="rId1777" xr:uid="{00000000-0004-0000-0000-0000F0060000}"/>
    <hyperlink ref="D1777" r:id="rId1778" xr:uid="{00000000-0004-0000-0000-0000F1060000}"/>
    <hyperlink ref="D1778" r:id="rId1779" xr:uid="{00000000-0004-0000-0000-0000F2060000}"/>
    <hyperlink ref="D1779" r:id="rId1780" xr:uid="{00000000-0004-0000-0000-0000F3060000}"/>
    <hyperlink ref="D1780" r:id="rId1781" xr:uid="{00000000-0004-0000-0000-0000F4060000}"/>
    <hyperlink ref="D1781" r:id="rId1782" xr:uid="{00000000-0004-0000-0000-0000F5060000}"/>
    <hyperlink ref="D1782" r:id="rId1783" xr:uid="{00000000-0004-0000-0000-0000F6060000}"/>
    <hyperlink ref="D1783" r:id="rId1784" xr:uid="{00000000-0004-0000-0000-0000F7060000}"/>
    <hyperlink ref="D1784" r:id="rId1785" xr:uid="{00000000-0004-0000-0000-0000F8060000}"/>
    <hyperlink ref="D1785" r:id="rId1786" xr:uid="{00000000-0004-0000-0000-0000F9060000}"/>
    <hyperlink ref="D1786" r:id="rId1787" xr:uid="{00000000-0004-0000-0000-0000FA060000}"/>
    <hyperlink ref="D1787" r:id="rId1788" xr:uid="{00000000-0004-0000-0000-0000FB060000}"/>
    <hyperlink ref="D1788" r:id="rId1789" xr:uid="{00000000-0004-0000-0000-0000FC060000}"/>
    <hyperlink ref="D1789" r:id="rId1790" xr:uid="{00000000-0004-0000-0000-0000FD060000}"/>
    <hyperlink ref="D1790" r:id="rId1791" xr:uid="{00000000-0004-0000-0000-0000FE060000}"/>
    <hyperlink ref="D1791" r:id="rId1792" xr:uid="{00000000-0004-0000-0000-0000FF060000}"/>
    <hyperlink ref="D1792" r:id="rId1793" xr:uid="{00000000-0004-0000-0000-000000070000}"/>
    <hyperlink ref="D1793" r:id="rId1794" xr:uid="{00000000-0004-0000-0000-000001070000}"/>
    <hyperlink ref="D1794" r:id="rId1795" xr:uid="{00000000-0004-0000-0000-000002070000}"/>
    <hyperlink ref="D1795" r:id="rId1796" xr:uid="{00000000-0004-0000-0000-000003070000}"/>
    <hyperlink ref="D1796" r:id="rId1797" xr:uid="{00000000-0004-0000-0000-000004070000}"/>
    <hyperlink ref="D1797" r:id="rId1798" xr:uid="{00000000-0004-0000-0000-000005070000}"/>
    <hyperlink ref="D1798" r:id="rId1799" xr:uid="{00000000-0004-0000-0000-000006070000}"/>
    <hyperlink ref="D1799" r:id="rId1800" xr:uid="{00000000-0004-0000-0000-000007070000}"/>
    <hyperlink ref="D1800" r:id="rId1801" xr:uid="{00000000-0004-0000-0000-000008070000}"/>
    <hyperlink ref="D1801" r:id="rId1802" xr:uid="{00000000-0004-0000-0000-000009070000}"/>
    <hyperlink ref="D1802" r:id="rId1803" xr:uid="{00000000-0004-0000-0000-00000A070000}"/>
    <hyperlink ref="D1803" r:id="rId1804" xr:uid="{00000000-0004-0000-0000-00000B070000}"/>
    <hyperlink ref="D1804" r:id="rId1805" xr:uid="{00000000-0004-0000-0000-00000C070000}"/>
    <hyperlink ref="D1805" r:id="rId1806" xr:uid="{00000000-0004-0000-0000-00000D070000}"/>
    <hyperlink ref="D1806" r:id="rId1807" xr:uid="{00000000-0004-0000-0000-00000E070000}"/>
    <hyperlink ref="D1807" r:id="rId1808" xr:uid="{00000000-0004-0000-0000-00000F070000}"/>
    <hyperlink ref="D1808" r:id="rId1809" xr:uid="{00000000-0004-0000-0000-000010070000}"/>
    <hyperlink ref="D1809" r:id="rId1810" xr:uid="{00000000-0004-0000-0000-000011070000}"/>
    <hyperlink ref="D1810" r:id="rId1811" xr:uid="{00000000-0004-0000-0000-000012070000}"/>
    <hyperlink ref="D1811" r:id="rId1812" xr:uid="{00000000-0004-0000-0000-000013070000}"/>
    <hyperlink ref="D1812" r:id="rId1813" xr:uid="{00000000-0004-0000-0000-000014070000}"/>
    <hyperlink ref="D1813" r:id="rId1814" xr:uid="{00000000-0004-0000-0000-000015070000}"/>
    <hyperlink ref="D1814" r:id="rId1815" xr:uid="{00000000-0004-0000-0000-000016070000}"/>
    <hyperlink ref="D1815" r:id="rId1816" xr:uid="{00000000-0004-0000-0000-000017070000}"/>
    <hyperlink ref="D1816" r:id="rId1817" xr:uid="{00000000-0004-0000-0000-000018070000}"/>
    <hyperlink ref="D1817" r:id="rId1818" xr:uid="{00000000-0004-0000-0000-000019070000}"/>
    <hyperlink ref="D1818" r:id="rId1819" xr:uid="{00000000-0004-0000-0000-00001A070000}"/>
    <hyperlink ref="D1819" r:id="rId1820" xr:uid="{00000000-0004-0000-0000-00001B070000}"/>
    <hyperlink ref="D1820" r:id="rId1821" xr:uid="{00000000-0004-0000-0000-00001C070000}"/>
    <hyperlink ref="D1821" r:id="rId1822" xr:uid="{00000000-0004-0000-0000-00001D070000}"/>
    <hyperlink ref="D1822" r:id="rId1823" xr:uid="{00000000-0004-0000-0000-00001E070000}"/>
    <hyperlink ref="D1823" r:id="rId1824" xr:uid="{00000000-0004-0000-0000-00001F070000}"/>
    <hyperlink ref="D1824" r:id="rId1825" xr:uid="{00000000-0004-0000-0000-000020070000}"/>
    <hyperlink ref="D1825" r:id="rId1826" xr:uid="{00000000-0004-0000-0000-000021070000}"/>
    <hyperlink ref="D1826" r:id="rId1827" xr:uid="{00000000-0004-0000-0000-000022070000}"/>
    <hyperlink ref="D1827" r:id="rId1828" xr:uid="{00000000-0004-0000-0000-000023070000}"/>
    <hyperlink ref="D1828" r:id="rId1829" xr:uid="{00000000-0004-0000-0000-000024070000}"/>
    <hyperlink ref="D1829" r:id="rId1830" xr:uid="{00000000-0004-0000-0000-000025070000}"/>
    <hyperlink ref="D1830" r:id="rId1831" xr:uid="{00000000-0004-0000-0000-000026070000}"/>
    <hyperlink ref="D1831" r:id="rId1832" xr:uid="{00000000-0004-0000-0000-000027070000}"/>
    <hyperlink ref="D1832" r:id="rId1833" xr:uid="{00000000-0004-0000-0000-000028070000}"/>
    <hyperlink ref="D1833" r:id="rId1834" xr:uid="{00000000-0004-0000-0000-000029070000}"/>
    <hyperlink ref="D1834" r:id="rId1835" xr:uid="{00000000-0004-0000-0000-00002A070000}"/>
    <hyperlink ref="D1835" r:id="rId1836" xr:uid="{00000000-0004-0000-0000-00002B070000}"/>
    <hyperlink ref="D1836" r:id="rId1837" xr:uid="{00000000-0004-0000-0000-00002C070000}"/>
    <hyperlink ref="D1837" r:id="rId1838" xr:uid="{00000000-0004-0000-0000-00002D070000}"/>
    <hyperlink ref="D1838" r:id="rId1839" xr:uid="{00000000-0004-0000-0000-00002E070000}"/>
    <hyperlink ref="D1839" r:id="rId1840" xr:uid="{00000000-0004-0000-0000-00002F070000}"/>
    <hyperlink ref="D1840" r:id="rId1841" xr:uid="{00000000-0004-0000-0000-000030070000}"/>
    <hyperlink ref="D1841" r:id="rId1842" xr:uid="{00000000-0004-0000-0000-000031070000}"/>
    <hyperlink ref="D1842" r:id="rId1843" xr:uid="{00000000-0004-0000-0000-000032070000}"/>
    <hyperlink ref="D1843" r:id="rId1844" xr:uid="{00000000-0004-0000-0000-000033070000}"/>
    <hyperlink ref="D1844" r:id="rId1845" xr:uid="{00000000-0004-0000-0000-000034070000}"/>
    <hyperlink ref="D1845" r:id="rId1846" xr:uid="{00000000-0004-0000-0000-000035070000}"/>
    <hyperlink ref="D1846" r:id="rId1847" xr:uid="{00000000-0004-0000-0000-000036070000}"/>
    <hyperlink ref="D1847" r:id="rId1848" xr:uid="{00000000-0004-0000-0000-000037070000}"/>
    <hyperlink ref="D1848" r:id="rId1849" xr:uid="{00000000-0004-0000-0000-000038070000}"/>
    <hyperlink ref="D1849" r:id="rId1850" xr:uid="{00000000-0004-0000-0000-000039070000}"/>
    <hyperlink ref="D1850" r:id="rId1851" xr:uid="{00000000-0004-0000-0000-00003A070000}"/>
    <hyperlink ref="D1851" r:id="rId1852" xr:uid="{00000000-0004-0000-0000-00003B070000}"/>
    <hyperlink ref="D1852" r:id="rId1853" xr:uid="{00000000-0004-0000-0000-00003C070000}"/>
    <hyperlink ref="D1853" r:id="rId1854" xr:uid="{00000000-0004-0000-0000-00003D070000}"/>
    <hyperlink ref="D1854" r:id="rId1855" xr:uid="{00000000-0004-0000-0000-00003E070000}"/>
    <hyperlink ref="D1855" r:id="rId1856" xr:uid="{00000000-0004-0000-0000-00003F070000}"/>
    <hyperlink ref="D1856" r:id="rId1857" xr:uid="{00000000-0004-0000-0000-000040070000}"/>
    <hyperlink ref="D1857" r:id="rId1858" xr:uid="{00000000-0004-0000-0000-000041070000}"/>
    <hyperlink ref="D1858" r:id="rId1859" xr:uid="{00000000-0004-0000-0000-000042070000}"/>
    <hyperlink ref="D1859" r:id="rId1860" xr:uid="{00000000-0004-0000-0000-000043070000}"/>
    <hyperlink ref="D1860" r:id="rId1861" xr:uid="{00000000-0004-0000-0000-000044070000}"/>
    <hyperlink ref="D1861" r:id="rId1862" xr:uid="{00000000-0004-0000-0000-000045070000}"/>
    <hyperlink ref="D1862" r:id="rId1863" xr:uid="{00000000-0004-0000-0000-000046070000}"/>
    <hyperlink ref="D1863" r:id="rId1864" xr:uid="{00000000-0004-0000-0000-000047070000}"/>
    <hyperlink ref="D1864" r:id="rId1865" xr:uid="{00000000-0004-0000-0000-000048070000}"/>
    <hyperlink ref="D1865" r:id="rId1866" xr:uid="{00000000-0004-0000-0000-000049070000}"/>
    <hyperlink ref="D1866" r:id="rId1867" xr:uid="{00000000-0004-0000-0000-00004A070000}"/>
    <hyperlink ref="D1867" r:id="rId1868" xr:uid="{00000000-0004-0000-0000-00004B070000}"/>
    <hyperlink ref="D1868" r:id="rId1869" xr:uid="{00000000-0004-0000-0000-00004C070000}"/>
    <hyperlink ref="D1869" r:id="rId1870" xr:uid="{00000000-0004-0000-0000-00004D070000}"/>
    <hyperlink ref="D1870" r:id="rId1871" xr:uid="{00000000-0004-0000-0000-00004E070000}"/>
    <hyperlink ref="D1871" r:id="rId1872" xr:uid="{00000000-0004-0000-0000-00004F070000}"/>
    <hyperlink ref="D1872" r:id="rId1873" xr:uid="{00000000-0004-0000-0000-000050070000}"/>
    <hyperlink ref="D1873" r:id="rId1874" xr:uid="{00000000-0004-0000-0000-000051070000}"/>
    <hyperlink ref="D1874" r:id="rId1875" xr:uid="{00000000-0004-0000-0000-000052070000}"/>
    <hyperlink ref="D1875" r:id="rId1876" xr:uid="{00000000-0004-0000-0000-000053070000}"/>
    <hyperlink ref="D1876" r:id="rId1877" xr:uid="{00000000-0004-0000-0000-000054070000}"/>
    <hyperlink ref="D1877" r:id="rId1878" xr:uid="{00000000-0004-0000-0000-000055070000}"/>
    <hyperlink ref="D1878" r:id="rId1879" xr:uid="{00000000-0004-0000-0000-000056070000}"/>
    <hyperlink ref="D1879" r:id="rId1880" xr:uid="{00000000-0004-0000-0000-000057070000}"/>
    <hyperlink ref="D1880" r:id="rId1881" xr:uid="{00000000-0004-0000-0000-000058070000}"/>
    <hyperlink ref="D1881" r:id="rId1882" xr:uid="{00000000-0004-0000-0000-000059070000}"/>
    <hyperlink ref="D1882" r:id="rId1883" xr:uid="{00000000-0004-0000-0000-00005A070000}"/>
    <hyperlink ref="D1883" r:id="rId1884" xr:uid="{00000000-0004-0000-0000-00005B070000}"/>
    <hyperlink ref="D1884" r:id="rId1885" xr:uid="{00000000-0004-0000-0000-00005C070000}"/>
    <hyperlink ref="D1885" r:id="rId1886" xr:uid="{00000000-0004-0000-0000-00005D070000}"/>
    <hyperlink ref="D1886" r:id="rId1887" xr:uid="{00000000-0004-0000-0000-00005E070000}"/>
    <hyperlink ref="D1887" r:id="rId1888" xr:uid="{00000000-0004-0000-0000-00005F070000}"/>
    <hyperlink ref="D1888" r:id="rId1889" xr:uid="{00000000-0004-0000-0000-000060070000}"/>
    <hyperlink ref="D1889" r:id="rId1890" xr:uid="{00000000-0004-0000-0000-000061070000}"/>
    <hyperlink ref="D1890" r:id="rId1891" xr:uid="{00000000-0004-0000-0000-000062070000}"/>
    <hyperlink ref="D1891" r:id="rId1892" xr:uid="{00000000-0004-0000-0000-000063070000}"/>
    <hyperlink ref="D1892" r:id="rId1893" xr:uid="{00000000-0004-0000-0000-000064070000}"/>
    <hyperlink ref="D1893" r:id="rId1894" xr:uid="{00000000-0004-0000-0000-000065070000}"/>
    <hyperlink ref="D1894" r:id="rId1895" xr:uid="{00000000-0004-0000-0000-000066070000}"/>
    <hyperlink ref="D1895" r:id="rId1896" xr:uid="{00000000-0004-0000-0000-000067070000}"/>
    <hyperlink ref="D1896" r:id="rId1897" xr:uid="{00000000-0004-0000-0000-000068070000}"/>
    <hyperlink ref="D1897" r:id="rId1898" xr:uid="{00000000-0004-0000-0000-000069070000}"/>
    <hyperlink ref="D1898" r:id="rId1899" xr:uid="{00000000-0004-0000-0000-00006A070000}"/>
    <hyperlink ref="D1899" r:id="rId1900" xr:uid="{00000000-0004-0000-0000-00006B070000}"/>
    <hyperlink ref="D1900" r:id="rId1901" xr:uid="{00000000-0004-0000-0000-00006C070000}"/>
    <hyperlink ref="D1901" r:id="rId1902" xr:uid="{00000000-0004-0000-0000-00006D070000}"/>
    <hyperlink ref="D1902" r:id="rId1903" xr:uid="{00000000-0004-0000-0000-00006E070000}"/>
    <hyperlink ref="D1903" r:id="rId1904" xr:uid="{00000000-0004-0000-0000-00006F070000}"/>
    <hyperlink ref="D1904" r:id="rId1905" xr:uid="{00000000-0004-0000-0000-000070070000}"/>
    <hyperlink ref="D1905" r:id="rId1906" xr:uid="{00000000-0004-0000-0000-000071070000}"/>
    <hyperlink ref="D1906" r:id="rId1907" xr:uid="{00000000-0004-0000-0000-000072070000}"/>
    <hyperlink ref="D1907" r:id="rId1908" xr:uid="{00000000-0004-0000-0000-000073070000}"/>
    <hyperlink ref="D1908" r:id="rId1909" xr:uid="{00000000-0004-0000-0000-000074070000}"/>
    <hyperlink ref="D1909" r:id="rId1910" xr:uid="{00000000-0004-0000-0000-000075070000}"/>
    <hyperlink ref="D1910" r:id="rId1911" xr:uid="{00000000-0004-0000-0000-000076070000}"/>
    <hyperlink ref="D1911" r:id="rId1912" xr:uid="{00000000-0004-0000-0000-000077070000}"/>
    <hyperlink ref="D1912" r:id="rId1913" xr:uid="{00000000-0004-0000-0000-000078070000}"/>
    <hyperlink ref="D1913" r:id="rId1914" xr:uid="{00000000-0004-0000-0000-000079070000}"/>
    <hyperlink ref="D1914" r:id="rId1915" xr:uid="{00000000-0004-0000-0000-00007A070000}"/>
    <hyperlink ref="D1915" r:id="rId1916" xr:uid="{00000000-0004-0000-0000-00007B070000}"/>
    <hyperlink ref="D1916" r:id="rId1917" xr:uid="{00000000-0004-0000-0000-00007C070000}"/>
    <hyperlink ref="D1917" r:id="rId1918" xr:uid="{00000000-0004-0000-0000-00007D070000}"/>
    <hyperlink ref="D1918" r:id="rId1919" xr:uid="{00000000-0004-0000-0000-00007E070000}"/>
    <hyperlink ref="D1919" r:id="rId1920" xr:uid="{00000000-0004-0000-0000-00007F070000}"/>
    <hyperlink ref="D1920" r:id="rId1921" xr:uid="{00000000-0004-0000-0000-000080070000}"/>
    <hyperlink ref="D1921" r:id="rId1922" xr:uid="{00000000-0004-0000-0000-000081070000}"/>
    <hyperlink ref="D1922" r:id="rId1923" xr:uid="{00000000-0004-0000-0000-000082070000}"/>
    <hyperlink ref="D1923" r:id="rId1924" xr:uid="{00000000-0004-0000-0000-000083070000}"/>
    <hyperlink ref="D1924" r:id="rId1925" xr:uid="{00000000-0004-0000-0000-000084070000}"/>
    <hyperlink ref="D1925" r:id="rId1926" xr:uid="{00000000-0004-0000-0000-000085070000}"/>
    <hyperlink ref="D1926" r:id="rId1927" xr:uid="{00000000-0004-0000-0000-000086070000}"/>
    <hyperlink ref="D1927" r:id="rId1928" xr:uid="{00000000-0004-0000-0000-000087070000}"/>
    <hyperlink ref="D1928" r:id="rId1929" xr:uid="{00000000-0004-0000-0000-000088070000}"/>
    <hyperlink ref="D1929" r:id="rId1930" xr:uid="{00000000-0004-0000-0000-000089070000}"/>
    <hyperlink ref="D1930" r:id="rId1931" xr:uid="{00000000-0004-0000-0000-00008A070000}"/>
    <hyperlink ref="D1931" r:id="rId1932" xr:uid="{00000000-0004-0000-0000-00008B070000}"/>
    <hyperlink ref="D1932" r:id="rId1933" xr:uid="{00000000-0004-0000-0000-00008C070000}"/>
    <hyperlink ref="D1933" r:id="rId1934" xr:uid="{00000000-0004-0000-0000-00008D070000}"/>
    <hyperlink ref="D1934" r:id="rId1935" xr:uid="{00000000-0004-0000-0000-00008E070000}"/>
    <hyperlink ref="D1935" r:id="rId1936" xr:uid="{00000000-0004-0000-0000-00008F070000}"/>
    <hyperlink ref="D1936" r:id="rId1937" xr:uid="{00000000-0004-0000-0000-000090070000}"/>
    <hyperlink ref="D1937" r:id="rId1938" xr:uid="{00000000-0004-0000-0000-000091070000}"/>
    <hyperlink ref="D1938" r:id="rId1939" xr:uid="{00000000-0004-0000-0000-000092070000}"/>
    <hyperlink ref="D1939" r:id="rId1940" xr:uid="{00000000-0004-0000-0000-000093070000}"/>
    <hyperlink ref="D1940" r:id="rId1941" xr:uid="{00000000-0004-0000-0000-000094070000}"/>
    <hyperlink ref="D1941" r:id="rId1942" xr:uid="{00000000-0004-0000-0000-000095070000}"/>
    <hyperlink ref="D1942" r:id="rId1943" xr:uid="{00000000-0004-0000-0000-000096070000}"/>
    <hyperlink ref="D1943" r:id="rId1944" xr:uid="{00000000-0004-0000-0000-000097070000}"/>
    <hyperlink ref="D1944" r:id="rId1945" xr:uid="{00000000-0004-0000-0000-000098070000}"/>
    <hyperlink ref="D1945" r:id="rId1946" xr:uid="{00000000-0004-0000-0000-000099070000}"/>
    <hyperlink ref="D1946" r:id="rId1947" xr:uid="{00000000-0004-0000-0000-00009A070000}"/>
    <hyperlink ref="D1947" r:id="rId1948" xr:uid="{00000000-0004-0000-0000-00009B070000}"/>
    <hyperlink ref="D1948" r:id="rId1949" xr:uid="{00000000-0004-0000-0000-00009C070000}"/>
    <hyperlink ref="D1949" r:id="rId1950" xr:uid="{00000000-0004-0000-0000-00009D070000}"/>
    <hyperlink ref="D1950" r:id="rId1951" xr:uid="{00000000-0004-0000-0000-00009E070000}"/>
    <hyperlink ref="D1951" r:id="rId1952" xr:uid="{00000000-0004-0000-0000-00009F070000}"/>
    <hyperlink ref="D1952" r:id="rId1953" xr:uid="{00000000-0004-0000-0000-0000A0070000}"/>
    <hyperlink ref="D1953" r:id="rId1954" xr:uid="{00000000-0004-0000-0000-0000A1070000}"/>
    <hyperlink ref="D1954" r:id="rId1955" xr:uid="{00000000-0004-0000-0000-0000A2070000}"/>
    <hyperlink ref="D1955" r:id="rId1956" xr:uid="{00000000-0004-0000-0000-0000A3070000}"/>
    <hyperlink ref="D1956" r:id="rId1957" xr:uid="{00000000-0004-0000-0000-0000A4070000}"/>
    <hyperlink ref="D1957" r:id="rId1958" xr:uid="{00000000-0004-0000-0000-0000A5070000}"/>
    <hyperlink ref="D1958" r:id="rId1959" xr:uid="{00000000-0004-0000-0000-0000A6070000}"/>
    <hyperlink ref="D1959" r:id="rId1960" xr:uid="{00000000-0004-0000-0000-0000A7070000}"/>
    <hyperlink ref="D1960" r:id="rId1961" xr:uid="{00000000-0004-0000-0000-0000A8070000}"/>
    <hyperlink ref="D1961" r:id="rId1962" xr:uid="{00000000-0004-0000-0000-0000A9070000}"/>
    <hyperlink ref="D1962" r:id="rId1963" xr:uid="{00000000-0004-0000-0000-0000AA070000}"/>
    <hyperlink ref="D1963" r:id="rId1964" xr:uid="{00000000-0004-0000-0000-0000AB070000}"/>
    <hyperlink ref="D1964" r:id="rId1965" xr:uid="{00000000-0004-0000-0000-0000AC070000}"/>
    <hyperlink ref="D1965" r:id="rId1966" xr:uid="{00000000-0004-0000-0000-0000AD070000}"/>
    <hyperlink ref="D1966" r:id="rId1967" xr:uid="{00000000-0004-0000-0000-0000AE070000}"/>
    <hyperlink ref="D1967" r:id="rId1968" xr:uid="{00000000-0004-0000-0000-0000AF070000}"/>
    <hyperlink ref="D1968" r:id="rId1969" xr:uid="{00000000-0004-0000-0000-0000B0070000}"/>
    <hyperlink ref="D1969" r:id="rId1970" xr:uid="{00000000-0004-0000-0000-0000B1070000}"/>
    <hyperlink ref="D1970" r:id="rId1971" xr:uid="{00000000-0004-0000-0000-0000B2070000}"/>
    <hyperlink ref="D1971" r:id="rId1972" xr:uid="{00000000-0004-0000-0000-0000B3070000}"/>
    <hyperlink ref="D1972" r:id="rId1973" xr:uid="{00000000-0004-0000-0000-0000B4070000}"/>
    <hyperlink ref="D1973" r:id="rId1974" xr:uid="{00000000-0004-0000-0000-0000B5070000}"/>
    <hyperlink ref="D1974" r:id="rId1975" xr:uid="{00000000-0004-0000-0000-0000B6070000}"/>
    <hyperlink ref="D1975" r:id="rId1976" xr:uid="{00000000-0004-0000-0000-0000B7070000}"/>
    <hyperlink ref="D1976" r:id="rId1977" xr:uid="{00000000-0004-0000-0000-0000B8070000}"/>
    <hyperlink ref="D1977" r:id="rId1978" xr:uid="{00000000-0004-0000-0000-0000B9070000}"/>
    <hyperlink ref="D1978" r:id="rId1979" xr:uid="{00000000-0004-0000-0000-0000BA070000}"/>
    <hyperlink ref="D1979" r:id="rId1980" xr:uid="{00000000-0004-0000-0000-0000BB070000}"/>
    <hyperlink ref="D1980" r:id="rId1981" xr:uid="{00000000-0004-0000-0000-0000BC070000}"/>
    <hyperlink ref="D1981" r:id="rId1982" xr:uid="{00000000-0004-0000-0000-0000BD070000}"/>
    <hyperlink ref="D1982" r:id="rId1983" xr:uid="{00000000-0004-0000-0000-0000BE070000}"/>
    <hyperlink ref="D1983" r:id="rId1984" xr:uid="{00000000-0004-0000-0000-0000BF070000}"/>
    <hyperlink ref="D1984" r:id="rId1985" xr:uid="{00000000-0004-0000-0000-0000C0070000}"/>
    <hyperlink ref="D1985" r:id="rId1986" xr:uid="{00000000-0004-0000-0000-0000C1070000}"/>
    <hyperlink ref="D1986" r:id="rId1987" xr:uid="{00000000-0004-0000-0000-0000C2070000}"/>
    <hyperlink ref="D1987" r:id="rId1988" xr:uid="{00000000-0004-0000-0000-0000C3070000}"/>
    <hyperlink ref="D1988" r:id="rId1989" xr:uid="{00000000-0004-0000-0000-0000C4070000}"/>
    <hyperlink ref="D1989" r:id="rId1990" xr:uid="{00000000-0004-0000-0000-0000C5070000}"/>
    <hyperlink ref="D1990" r:id="rId1991" xr:uid="{00000000-0004-0000-0000-0000C6070000}"/>
    <hyperlink ref="D1991" r:id="rId1992" xr:uid="{00000000-0004-0000-0000-0000C7070000}"/>
    <hyperlink ref="D1992" r:id="rId1993" xr:uid="{00000000-0004-0000-0000-0000C8070000}"/>
    <hyperlink ref="D1993" r:id="rId1994" xr:uid="{00000000-0004-0000-0000-0000C9070000}"/>
    <hyperlink ref="D1994" r:id="rId1995" xr:uid="{00000000-0004-0000-0000-0000CA070000}"/>
    <hyperlink ref="D1995" r:id="rId1996" xr:uid="{00000000-0004-0000-0000-0000CB070000}"/>
    <hyperlink ref="D1996" r:id="rId1997" xr:uid="{00000000-0004-0000-0000-0000CC070000}"/>
    <hyperlink ref="D1997" r:id="rId1998" xr:uid="{00000000-0004-0000-0000-0000CD070000}"/>
    <hyperlink ref="D1998" r:id="rId1999" xr:uid="{00000000-0004-0000-0000-0000CE070000}"/>
    <hyperlink ref="D1999" r:id="rId2000" xr:uid="{00000000-0004-0000-0000-0000CF070000}"/>
    <hyperlink ref="D2000" r:id="rId2001" xr:uid="{00000000-0004-0000-0000-0000D0070000}"/>
    <hyperlink ref="D2001" r:id="rId2002" xr:uid="{00000000-0004-0000-0000-0000D1070000}"/>
    <hyperlink ref="D2002" r:id="rId2003" xr:uid="{00000000-0004-0000-0000-0000D2070000}"/>
    <hyperlink ref="D2003" r:id="rId2004" xr:uid="{00000000-0004-0000-0000-0000D3070000}"/>
    <hyperlink ref="D2004" r:id="rId2005" xr:uid="{00000000-0004-0000-0000-0000D4070000}"/>
    <hyperlink ref="D2005" r:id="rId2006" xr:uid="{00000000-0004-0000-0000-0000D5070000}"/>
    <hyperlink ref="D2006" r:id="rId2007" xr:uid="{00000000-0004-0000-0000-0000D6070000}"/>
    <hyperlink ref="D2007" r:id="rId2008" xr:uid="{00000000-0004-0000-0000-0000D7070000}"/>
    <hyperlink ref="D2008" r:id="rId2009" xr:uid="{00000000-0004-0000-0000-0000D8070000}"/>
    <hyperlink ref="D2009" r:id="rId2010" xr:uid="{00000000-0004-0000-0000-0000D9070000}"/>
    <hyperlink ref="D2010" r:id="rId2011" xr:uid="{00000000-0004-0000-0000-0000DA070000}"/>
    <hyperlink ref="D2011" r:id="rId2012" xr:uid="{00000000-0004-0000-0000-0000DB070000}"/>
    <hyperlink ref="D2012" r:id="rId2013" xr:uid="{00000000-0004-0000-0000-0000DC070000}"/>
    <hyperlink ref="D2013" r:id="rId2014" xr:uid="{00000000-0004-0000-0000-0000DD070000}"/>
    <hyperlink ref="D2014" r:id="rId2015" xr:uid="{00000000-0004-0000-0000-0000DE070000}"/>
    <hyperlink ref="D2015" r:id="rId2016" xr:uid="{00000000-0004-0000-0000-0000DF070000}"/>
    <hyperlink ref="D2016" r:id="rId2017" xr:uid="{00000000-0004-0000-0000-0000E0070000}"/>
    <hyperlink ref="D2017" r:id="rId2018" xr:uid="{00000000-0004-0000-0000-0000E1070000}"/>
    <hyperlink ref="D2018" r:id="rId2019" xr:uid="{00000000-0004-0000-0000-0000E2070000}"/>
    <hyperlink ref="D2019" r:id="rId2020" xr:uid="{00000000-0004-0000-0000-0000E3070000}"/>
    <hyperlink ref="D2020" r:id="rId2021" xr:uid="{00000000-0004-0000-0000-0000E4070000}"/>
    <hyperlink ref="D2021" r:id="rId2022" xr:uid="{00000000-0004-0000-0000-0000E5070000}"/>
    <hyperlink ref="D2022" r:id="rId2023" xr:uid="{00000000-0004-0000-0000-0000E6070000}"/>
    <hyperlink ref="D2023" r:id="rId2024" xr:uid="{00000000-0004-0000-0000-0000E7070000}"/>
    <hyperlink ref="D2024" r:id="rId2025" xr:uid="{00000000-0004-0000-0000-0000E8070000}"/>
    <hyperlink ref="D2025" r:id="rId2026" xr:uid="{00000000-0004-0000-0000-0000E9070000}"/>
    <hyperlink ref="D2026" r:id="rId2027" xr:uid="{00000000-0004-0000-0000-0000EA070000}"/>
    <hyperlink ref="D2027" r:id="rId2028" xr:uid="{00000000-0004-0000-0000-0000EB070000}"/>
    <hyperlink ref="D2028" r:id="rId2029" xr:uid="{00000000-0004-0000-0000-0000EC070000}"/>
    <hyperlink ref="D2029" r:id="rId2030" xr:uid="{00000000-0004-0000-0000-0000ED070000}"/>
    <hyperlink ref="D2030" r:id="rId2031" xr:uid="{00000000-0004-0000-0000-0000EE070000}"/>
    <hyperlink ref="D2031" r:id="rId2032" xr:uid="{00000000-0004-0000-0000-0000EF070000}"/>
    <hyperlink ref="D2032" r:id="rId2033" xr:uid="{00000000-0004-0000-0000-0000F0070000}"/>
    <hyperlink ref="D2033" r:id="rId2034" xr:uid="{00000000-0004-0000-0000-0000F1070000}"/>
    <hyperlink ref="D2034" r:id="rId2035" xr:uid="{00000000-0004-0000-0000-0000F2070000}"/>
    <hyperlink ref="D2035" r:id="rId2036" xr:uid="{00000000-0004-0000-0000-0000F3070000}"/>
    <hyperlink ref="D2036" r:id="rId2037" xr:uid="{00000000-0004-0000-0000-0000F4070000}"/>
    <hyperlink ref="D2037" r:id="rId2038" xr:uid="{00000000-0004-0000-0000-0000F5070000}"/>
    <hyperlink ref="D2038" r:id="rId2039" xr:uid="{00000000-0004-0000-0000-0000F6070000}"/>
    <hyperlink ref="D2039" r:id="rId2040" xr:uid="{00000000-0004-0000-0000-0000F7070000}"/>
    <hyperlink ref="D2040" r:id="rId2041" xr:uid="{00000000-0004-0000-0000-0000F8070000}"/>
    <hyperlink ref="D2041" r:id="rId2042" xr:uid="{00000000-0004-0000-0000-0000F9070000}"/>
    <hyperlink ref="D2042" r:id="rId2043" xr:uid="{00000000-0004-0000-0000-0000FA070000}"/>
    <hyperlink ref="D2043" r:id="rId2044" xr:uid="{00000000-0004-0000-0000-0000FB070000}"/>
    <hyperlink ref="D2044" r:id="rId2045" xr:uid="{00000000-0004-0000-0000-0000FC070000}"/>
    <hyperlink ref="D2045" r:id="rId2046" xr:uid="{00000000-0004-0000-0000-0000FD070000}"/>
    <hyperlink ref="D2046" r:id="rId2047" xr:uid="{00000000-0004-0000-0000-0000FE070000}"/>
    <hyperlink ref="D2047" r:id="rId2048" xr:uid="{00000000-0004-0000-0000-0000FF070000}"/>
    <hyperlink ref="D2048" r:id="rId2049" xr:uid="{00000000-0004-0000-0000-000000080000}"/>
    <hyperlink ref="D2049" r:id="rId2050" xr:uid="{00000000-0004-0000-0000-000001080000}"/>
    <hyperlink ref="D2050" r:id="rId2051" xr:uid="{00000000-0004-0000-0000-000002080000}"/>
    <hyperlink ref="D2051" r:id="rId2052" xr:uid="{00000000-0004-0000-0000-000003080000}"/>
    <hyperlink ref="D2052" r:id="rId2053" xr:uid="{00000000-0004-0000-0000-000004080000}"/>
    <hyperlink ref="D2053" r:id="rId2054" xr:uid="{00000000-0004-0000-0000-000005080000}"/>
    <hyperlink ref="D2054" r:id="rId2055" xr:uid="{00000000-0004-0000-0000-000006080000}"/>
    <hyperlink ref="D2055" r:id="rId2056" xr:uid="{00000000-0004-0000-0000-000007080000}"/>
    <hyperlink ref="D2056" r:id="rId2057" xr:uid="{00000000-0004-0000-0000-000008080000}"/>
    <hyperlink ref="D2057" r:id="rId2058" xr:uid="{00000000-0004-0000-0000-000009080000}"/>
    <hyperlink ref="D2058" r:id="rId2059" xr:uid="{00000000-0004-0000-0000-00000A080000}"/>
    <hyperlink ref="D2059" r:id="rId2060" xr:uid="{00000000-0004-0000-0000-00000B080000}"/>
    <hyperlink ref="D2060" r:id="rId2061" xr:uid="{00000000-0004-0000-0000-00000C080000}"/>
    <hyperlink ref="D2061" r:id="rId2062" xr:uid="{00000000-0004-0000-0000-00000D080000}"/>
    <hyperlink ref="D2062" r:id="rId2063" xr:uid="{00000000-0004-0000-0000-00000E080000}"/>
    <hyperlink ref="D2063" r:id="rId2064" xr:uid="{00000000-0004-0000-0000-00000F080000}"/>
    <hyperlink ref="D2064" r:id="rId2065" xr:uid="{00000000-0004-0000-0000-000010080000}"/>
    <hyperlink ref="D2065" r:id="rId2066" xr:uid="{00000000-0004-0000-0000-000011080000}"/>
    <hyperlink ref="D2066" r:id="rId2067" xr:uid="{00000000-0004-0000-0000-000012080000}"/>
    <hyperlink ref="D2067" r:id="rId2068" xr:uid="{00000000-0004-0000-0000-000013080000}"/>
    <hyperlink ref="D2068" r:id="rId2069" xr:uid="{00000000-0004-0000-0000-000014080000}"/>
    <hyperlink ref="D2069" r:id="rId2070" xr:uid="{00000000-0004-0000-0000-000015080000}"/>
    <hyperlink ref="D2070" r:id="rId2071" xr:uid="{00000000-0004-0000-0000-000016080000}"/>
    <hyperlink ref="D2071" r:id="rId2072" xr:uid="{00000000-0004-0000-0000-000017080000}"/>
    <hyperlink ref="D2072" r:id="rId2073" xr:uid="{00000000-0004-0000-0000-000018080000}"/>
    <hyperlink ref="D2073" r:id="rId2074" xr:uid="{00000000-0004-0000-0000-000019080000}"/>
    <hyperlink ref="D2074" r:id="rId2075" xr:uid="{00000000-0004-0000-0000-00001A080000}"/>
    <hyperlink ref="D2075" r:id="rId2076" xr:uid="{00000000-0004-0000-0000-00001B080000}"/>
    <hyperlink ref="D2076" r:id="rId2077" xr:uid="{00000000-0004-0000-0000-00001C080000}"/>
    <hyperlink ref="D2077" r:id="rId2078" xr:uid="{00000000-0004-0000-0000-00001D080000}"/>
    <hyperlink ref="D2078" r:id="rId2079" xr:uid="{00000000-0004-0000-0000-00001E080000}"/>
    <hyperlink ref="D2079" r:id="rId2080" xr:uid="{00000000-0004-0000-0000-00001F080000}"/>
    <hyperlink ref="D2080" r:id="rId2081" xr:uid="{00000000-0004-0000-0000-000020080000}"/>
    <hyperlink ref="D2081" r:id="rId2082" xr:uid="{00000000-0004-0000-0000-000021080000}"/>
    <hyperlink ref="D2082" r:id="rId2083" xr:uid="{00000000-0004-0000-0000-000022080000}"/>
    <hyperlink ref="D2083" r:id="rId2084" xr:uid="{00000000-0004-0000-0000-000023080000}"/>
    <hyperlink ref="D2084" r:id="rId2085" xr:uid="{00000000-0004-0000-0000-000024080000}"/>
    <hyperlink ref="D2085" r:id="rId2086" xr:uid="{00000000-0004-0000-0000-000025080000}"/>
    <hyperlink ref="D2086" r:id="rId2087" xr:uid="{00000000-0004-0000-0000-000026080000}"/>
    <hyperlink ref="D2087" r:id="rId2088" xr:uid="{00000000-0004-0000-0000-000027080000}"/>
    <hyperlink ref="D2088" r:id="rId2089" xr:uid="{00000000-0004-0000-0000-000028080000}"/>
    <hyperlink ref="D2089" r:id="rId2090" xr:uid="{00000000-0004-0000-0000-000029080000}"/>
    <hyperlink ref="D2090" r:id="rId2091" xr:uid="{00000000-0004-0000-0000-00002A080000}"/>
    <hyperlink ref="D2091" r:id="rId2092" xr:uid="{00000000-0004-0000-0000-00002B080000}"/>
    <hyperlink ref="D2092" r:id="rId2093" xr:uid="{00000000-0004-0000-0000-00002C080000}"/>
    <hyperlink ref="D2093" r:id="rId2094" xr:uid="{00000000-0004-0000-0000-00002D080000}"/>
    <hyperlink ref="D2094" r:id="rId2095" xr:uid="{00000000-0004-0000-0000-00002E080000}"/>
    <hyperlink ref="D2095" r:id="rId2096" xr:uid="{00000000-0004-0000-0000-00002F080000}"/>
    <hyperlink ref="D2096" r:id="rId2097" xr:uid="{00000000-0004-0000-0000-000030080000}"/>
    <hyperlink ref="D2097" r:id="rId2098" xr:uid="{00000000-0004-0000-0000-000031080000}"/>
    <hyperlink ref="D2098" r:id="rId2099" xr:uid="{00000000-0004-0000-0000-000032080000}"/>
    <hyperlink ref="D2099" r:id="rId2100" xr:uid="{00000000-0004-0000-0000-000033080000}"/>
    <hyperlink ref="D2100" r:id="rId2101" xr:uid="{00000000-0004-0000-0000-000034080000}"/>
    <hyperlink ref="D2101" r:id="rId2102" xr:uid="{00000000-0004-0000-0000-000035080000}"/>
    <hyperlink ref="D2102" r:id="rId2103" xr:uid="{00000000-0004-0000-0000-000036080000}"/>
    <hyperlink ref="D2103" r:id="rId2104" xr:uid="{00000000-0004-0000-0000-000037080000}"/>
    <hyperlink ref="D2104" r:id="rId2105" xr:uid="{00000000-0004-0000-0000-000038080000}"/>
    <hyperlink ref="D2105" r:id="rId2106" xr:uid="{00000000-0004-0000-0000-000039080000}"/>
    <hyperlink ref="D2106" r:id="rId2107" xr:uid="{00000000-0004-0000-0000-00003A080000}"/>
    <hyperlink ref="D2107" r:id="rId2108" xr:uid="{00000000-0004-0000-0000-00003B080000}"/>
    <hyperlink ref="D2108" r:id="rId2109" xr:uid="{00000000-0004-0000-0000-00003C080000}"/>
    <hyperlink ref="D2109" r:id="rId2110" xr:uid="{00000000-0004-0000-0000-00003D080000}"/>
    <hyperlink ref="D2110" r:id="rId2111" xr:uid="{00000000-0004-0000-0000-00003E080000}"/>
    <hyperlink ref="D2111" r:id="rId2112" xr:uid="{00000000-0004-0000-0000-00003F080000}"/>
    <hyperlink ref="D2112" r:id="rId2113" xr:uid="{00000000-0004-0000-0000-000040080000}"/>
    <hyperlink ref="D2113" r:id="rId2114" xr:uid="{00000000-0004-0000-0000-000041080000}"/>
    <hyperlink ref="D2114" r:id="rId2115" xr:uid="{00000000-0004-0000-0000-000042080000}"/>
    <hyperlink ref="D2115" r:id="rId2116" xr:uid="{00000000-0004-0000-0000-000043080000}"/>
    <hyperlink ref="D2116" r:id="rId2117" xr:uid="{00000000-0004-0000-0000-000044080000}"/>
    <hyperlink ref="D2117" r:id="rId2118" xr:uid="{00000000-0004-0000-0000-000045080000}"/>
    <hyperlink ref="D2118" r:id="rId2119" xr:uid="{00000000-0004-0000-0000-000046080000}"/>
    <hyperlink ref="D2119" r:id="rId2120" xr:uid="{00000000-0004-0000-0000-000047080000}"/>
    <hyperlink ref="D2120" r:id="rId2121" xr:uid="{00000000-0004-0000-0000-000048080000}"/>
    <hyperlink ref="D2121" r:id="rId2122" xr:uid="{00000000-0004-0000-0000-000049080000}"/>
    <hyperlink ref="D2122" r:id="rId2123" xr:uid="{00000000-0004-0000-0000-00004A080000}"/>
    <hyperlink ref="D2123" r:id="rId2124" xr:uid="{00000000-0004-0000-0000-00004B080000}"/>
    <hyperlink ref="D2124" r:id="rId2125" xr:uid="{00000000-0004-0000-0000-00004C080000}"/>
    <hyperlink ref="D2125" r:id="rId2126" xr:uid="{00000000-0004-0000-0000-00004D080000}"/>
    <hyperlink ref="D2126" r:id="rId2127" xr:uid="{00000000-0004-0000-0000-00004E080000}"/>
    <hyperlink ref="D2127" r:id="rId2128" xr:uid="{00000000-0004-0000-0000-00004F080000}"/>
    <hyperlink ref="D2128" r:id="rId2129" xr:uid="{00000000-0004-0000-0000-000050080000}"/>
    <hyperlink ref="D2129" r:id="rId2130" xr:uid="{00000000-0004-0000-0000-000051080000}"/>
    <hyperlink ref="D2130" r:id="rId2131" xr:uid="{00000000-0004-0000-0000-000052080000}"/>
    <hyperlink ref="D2131" r:id="rId2132" xr:uid="{00000000-0004-0000-0000-000053080000}"/>
    <hyperlink ref="D2132" r:id="rId2133" xr:uid="{00000000-0004-0000-0000-000054080000}"/>
    <hyperlink ref="D2133" r:id="rId2134" xr:uid="{00000000-0004-0000-0000-000055080000}"/>
    <hyperlink ref="D2134" r:id="rId2135" xr:uid="{00000000-0004-0000-0000-000056080000}"/>
    <hyperlink ref="D2135" r:id="rId2136" xr:uid="{00000000-0004-0000-0000-000057080000}"/>
    <hyperlink ref="D2136" r:id="rId2137" xr:uid="{00000000-0004-0000-0000-000058080000}"/>
    <hyperlink ref="D2137" r:id="rId2138" xr:uid="{00000000-0004-0000-0000-000059080000}"/>
    <hyperlink ref="D2138" r:id="rId2139" xr:uid="{00000000-0004-0000-0000-00005A080000}"/>
    <hyperlink ref="D2139" r:id="rId2140" xr:uid="{00000000-0004-0000-0000-00005B080000}"/>
    <hyperlink ref="D2140" r:id="rId2141" xr:uid="{00000000-0004-0000-0000-00005C080000}"/>
    <hyperlink ref="D2141" r:id="rId2142" xr:uid="{00000000-0004-0000-0000-00005D080000}"/>
    <hyperlink ref="D2142" r:id="rId2143" xr:uid="{00000000-0004-0000-0000-00005E080000}"/>
    <hyperlink ref="D2143" r:id="rId2144" xr:uid="{00000000-0004-0000-0000-00005F080000}"/>
    <hyperlink ref="D2144" r:id="rId2145" xr:uid="{00000000-0004-0000-0000-000060080000}"/>
    <hyperlink ref="D2145" r:id="rId2146" xr:uid="{00000000-0004-0000-0000-000061080000}"/>
    <hyperlink ref="D2146" r:id="rId2147" xr:uid="{00000000-0004-0000-0000-000062080000}"/>
    <hyperlink ref="D2147" r:id="rId2148" xr:uid="{00000000-0004-0000-0000-000063080000}"/>
    <hyperlink ref="D2148" r:id="rId2149" xr:uid="{00000000-0004-0000-0000-000064080000}"/>
    <hyperlink ref="D2149" r:id="rId2150" xr:uid="{00000000-0004-0000-0000-000065080000}"/>
    <hyperlink ref="D2150" r:id="rId2151" xr:uid="{00000000-0004-0000-0000-000066080000}"/>
    <hyperlink ref="D2151" r:id="rId2152" xr:uid="{00000000-0004-0000-0000-000067080000}"/>
    <hyperlink ref="D2152" r:id="rId2153" xr:uid="{00000000-0004-0000-0000-000068080000}"/>
    <hyperlink ref="D2153" r:id="rId2154" xr:uid="{00000000-0004-0000-0000-000069080000}"/>
    <hyperlink ref="D2154" r:id="rId2155" xr:uid="{00000000-0004-0000-0000-00006A080000}"/>
    <hyperlink ref="D2155" r:id="rId2156" xr:uid="{00000000-0004-0000-0000-00006B080000}"/>
    <hyperlink ref="D2156" r:id="rId2157" xr:uid="{00000000-0004-0000-0000-00006C080000}"/>
    <hyperlink ref="D2157" r:id="rId2158" xr:uid="{00000000-0004-0000-0000-00006D080000}"/>
    <hyperlink ref="D2158" r:id="rId2159" xr:uid="{00000000-0004-0000-0000-00006E080000}"/>
    <hyperlink ref="D2159" r:id="rId2160" xr:uid="{00000000-0004-0000-0000-00006F080000}"/>
    <hyperlink ref="D2160" r:id="rId2161" xr:uid="{00000000-0004-0000-0000-000070080000}"/>
    <hyperlink ref="D2161" r:id="rId2162" xr:uid="{00000000-0004-0000-0000-000071080000}"/>
    <hyperlink ref="D2162" r:id="rId2163" xr:uid="{00000000-0004-0000-0000-000072080000}"/>
    <hyperlink ref="D2163" r:id="rId2164" xr:uid="{00000000-0004-0000-0000-000073080000}"/>
    <hyperlink ref="D2164" r:id="rId2165" xr:uid="{00000000-0004-0000-0000-000074080000}"/>
    <hyperlink ref="D2165" r:id="rId2166" xr:uid="{00000000-0004-0000-0000-000075080000}"/>
    <hyperlink ref="D2166" r:id="rId2167" xr:uid="{00000000-0004-0000-0000-000076080000}"/>
    <hyperlink ref="D2167" r:id="rId2168" xr:uid="{00000000-0004-0000-0000-000077080000}"/>
    <hyperlink ref="D2168" r:id="rId2169" xr:uid="{00000000-0004-0000-0000-000078080000}"/>
    <hyperlink ref="D2169" r:id="rId2170" xr:uid="{00000000-0004-0000-0000-000079080000}"/>
    <hyperlink ref="D2170" r:id="rId2171" xr:uid="{00000000-0004-0000-0000-00007A080000}"/>
    <hyperlink ref="D2171" r:id="rId2172" xr:uid="{00000000-0004-0000-0000-00007B080000}"/>
    <hyperlink ref="D2172" r:id="rId2173" xr:uid="{00000000-0004-0000-0000-00007C080000}"/>
    <hyperlink ref="D2173" r:id="rId2174" xr:uid="{00000000-0004-0000-0000-00007D080000}"/>
    <hyperlink ref="D2174" r:id="rId2175" xr:uid="{00000000-0004-0000-0000-00007E080000}"/>
    <hyperlink ref="D2175" r:id="rId2176" xr:uid="{00000000-0004-0000-0000-00007F080000}"/>
    <hyperlink ref="D2176" r:id="rId2177" xr:uid="{00000000-0004-0000-0000-000080080000}"/>
    <hyperlink ref="D2177" r:id="rId2178" xr:uid="{00000000-0004-0000-0000-000081080000}"/>
    <hyperlink ref="D2178" r:id="rId2179" xr:uid="{00000000-0004-0000-0000-000082080000}"/>
    <hyperlink ref="D2179" r:id="rId2180" xr:uid="{00000000-0004-0000-0000-000083080000}"/>
    <hyperlink ref="D2180" r:id="rId2181" xr:uid="{00000000-0004-0000-0000-000084080000}"/>
    <hyperlink ref="D2181" r:id="rId2182" xr:uid="{00000000-0004-0000-0000-000085080000}"/>
    <hyperlink ref="D2182" r:id="rId2183" xr:uid="{00000000-0004-0000-0000-000086080000}"/>
    <hyperlink ref="D2183" r:id="rId2184" xr:uid="{00000000-0004-0000-0000-000087080000}"/>
    <hyperlink ref="D2184" r:id="rId2185" xr:uid="{00000000-0004-0000-0000-000088080000}"/>
    <hyperlink ref="D2185" r:id="rId2186" xr:uid="{00000000-0004-0000-0000-000089080000}"/>
    <hyperlink ref="D2186" r:id="rId2187" xr:uid="{00000000-0004-0000-0000-00008A080000}"/>
    <hyperlink ref="D2187" r:id="rId2188" xr:uid="{00000000-0004-0000-0000-00008B080000}"/>
    <hyperlink ref="D2188" r:id="rId2189" xr:uid="{00000000-0004-0000-0000-00008C080000}"/>
    <hyperlink ref="D2189" r:id="rId2190" xr:uid="{00000000-0004-0000-0000-00008D080000}"/>
    <hyperlink ref="D2190" r:id="rId2191" xr:uid="{00000000-0004-0000-0000-00008E080000}"/>
    <hyperlink ref="D2191" r:id="rId2192" xr:uid="{00000000-0004-0000-0000-00008F080000}"/>
    <hyperlink ref="D2192" r:id="rId2193" xr:uid="{00000000-0004-0000-0000-000090080000}"/>
    <hyperlink ref="D2193" r:id="rId2194" xr:uid="{00000000-0004-0000-0000-000091080000}"/>
    <hyperlink ref="D2194" r:id="rId2195" xr:uid="{00000000-0004-0000-0000-000092080000}"/>
    <hyperlink ref="D2195" r:id="rId2196" xr:uid="{00000000-0004-0000-0000-000093080000}"/>
    <hyperlink ref="D2196" r:id="rId2197" xr:uid="{00000000-0004-0000-0000-000094080000}"/>
    <hyperlink ref="D2197" r:id="rId2198" xr:uid="{00000000-0004-0000-0000-000095080000}"/>
    <hyperlink ref="D2198" r:id="rId2199" xr:uid="{00000000-0004-0000-0000-000096080000}"/>
    <hyperlink ref="D2199" r:id="rId2200" xr:uid="{00000000-0004-0000-0000-000097080000}"/>
    <hyperlink ref="D2200" r:id="rId2201" xr:uid="{00000000-0004-0000-0000-000098080000}"/>
    <hyperlink ref="D2201" r:id="rId2202" xr:uid="{00000000-0004-0000-0000-000099080000}"/>
    <hyperlink ref="D2202" r:id="rId2203" xr:uid="{00000000-0004-0000-0000-00009A080000}"/>
    <hyperlink ref="D2203" r:id="rId2204" xr:uid="{00000000-0004-0000-0000-00009B080000}"/>
    <hyperlink ref="D2204" r:id="rId2205" xr:uid="{00000000-0004-0000-0000-00009C080000}"/>
    <hyperlink ref="D2205" r:id="rId2206" xr:uid="{00000000-0004-0000-0000-00009D080000}"/>
    <hyperlink ref="D2206" r:id="rId2207" xr:uid="{00000000-0004-0000-0000-00009E080000}"/>
    <hyperlink ref="D2207" r:id="rId2208" xr:uid="{00000000-0004-0000-0000-00009F080000}"/>
    <hyperlink ref="D2208" r:id="rId2209" xr:uid="{00000000-0004-0000-0000-0000A0080000}"/>
    <hyperlink ref="D2209" r:id="rId2210" xr:uid="{00000000-0004-0000-0000-0000A1080000}"/>
    <hyperlink ref="D2210" r:id="rId2211" xr:uid="{00000000-0004-0000-0000-0000A2080000}"/>
    <hyperlink ref="D2211" r:id="rId2212" xr:uid="{00000000-0004-0000-0000-0000A3080000}"/>
    <hyperlink ref="D2212" r:id="rId2213" xr:uid="{00000000-0004-0000-0000-0000A4080000}"/>
    <hyperlink ref="D2213" r:id="rId2214" xr:uid="{00000000-0004-0000-0000-0000A5080000}"/>
    <hyperlink ref="D2214" r:id="rId2215" xr:uid="{00000000-0004-0000-0000-0000A6080000}"/>
    <hyperlink ref="D2215" r:id="rId2216" xr:uid="{00000000-0004-0000-0000-0000A7080000}"/>
    <hyperlink ref="D2216" r:id="rId2217" xr:uid="{00000000-0004-0000-0000-0000A8080000}"/>
    <hyperlink ref="D2217" r:id="rId2218" xr:uid="{00000000-0004-0000-0000-0000A9080000}"/>
    <hyperlink ref="D2218" r:id="rId2219" xr:uid="{00000000-0004-0000-0000-0000AA080000}"/>
    <hyperlink ref="D2219" r:id="rId2220" xr:uid="{00000000-0004-0000-0000-0000AB080000}"/>
    <hyperlink ref="D2220" r:id="rId2221" xr:uid="{00000000-0004-0000-0000-0000AC080000}"/>
    <hyperlink ref="D2221" r:id="rId2222" xr:uid="{00000000-0004-0000-0000-0000AD080000}"/>
    <hyperlink ref="D2222" r:id="rId2223" xr:uid="{00000000-0004-0000-0000-0000AE080000}"/>
    <hyperlink ref="D2223" r:id="rId2224" xr:uid="{00000000-0004-0000-0000-0000AF080000}"/>
    <hyperlink ref="D2224" r:id="rId2225" xr:uid="{00000000-0004-0000-0000-0000B0080000}"/>
    <hyperlink ref="D2225" r:id="rId2226" xr:uid="{00000000-0004-0000-0000-0000B1080000}"/>
    <hyperlink ref="D2226" r:id="rId2227" xr:uid="{00000000-0004-0000-0000-0000B2080000}"/>
    <hyperlink ref="D2227" r:id="rId2228" xr:uid="{00000000-0004-0000-0000-0000B3080000}"/>
    <hyperlink ref="D2228" r:id="rId2229" xr:uid="{00000000-0004-0000-0000-0000B4080000}"/>
    <hyperlink ref="D2229" r:id="rId2230" xr:uid="{00000000-0004-0000-0000-0000B5080000}"/>
    <hyperlink ref="D2230" r:id="rId2231" xr:uid="{00000000-0004-0000-0000-0000B6080000}"/>
    <hyperlink ref="D2231" r:id="rId2232" xr:uid="{00000000-0004-0000-0000-0000B7080000}"/>
    <hyperlink ref="D2232" r:id="rId2233" xr:uid="{00000000-0004-0000-0000-0000B8080000}"/>
    <hyperlink ref="D2233" r:id="rId2234" xr:uid="{00000000-0004-0000-0000-0000B9080000}"/>
    <hyperlink ref="D2234" r:id="rId2235" xr:uid="{00000000-0004-0000-0000-0000BA080000}"/>
    <hyperlink ref="D2235" r:id="rId2236" xr:uid="{00000000-0004-0000-0000-0000BB080000}"/>
    <hyperlink ref="D2236" r:id="rId2237" xr:uid="{00000000-0004-0000-0000-0000BC080000}"/>
    <hyperlink ref="D2237" r:id="rId2238" xr:uid="{00000000-0004-0000-0000-0000BD080000}"/>
    <hyperlink ref="D2238" r:id="rId2239" xr:uid="{00000000-0004-0000-0000-0000BE080000}"/>
    <hyperlink ref="D2239" r:id="rId2240" xr:uid="{00000000-0004-0000-0000-0000BF080000}"/>
    <hyperlink ref="D2240" r:id="rId2241" xr:uid="{00000000-0004-0000-0000-0000C0080000}"/>
    <hyperlink ref="D2241" r:id="rId2242" xr:uid="{00000000-0004-0000-0000-0000C1080000}"/>
    <hyperlink ref="D2242" r:id="rId2243" xr:uid="{00000000-0004-0000-0000-0000C2080000}"/>
    <hyperlink ref="D2243" r:id="rId2244" xr:uid="{00000000-0004-0000-0000-0000C3080000}"/>
    <hyperlink ref="D2244" r:id="rId2245" xr:uid="{00000000-0004-0000-0000-0000C4080000}"/>
    <hyperlink ref="D2245" r:id="rId2246" xr:uid="{00000000-0004-0000-0000-0000C5080000}"/>
    <hyperlink ref="D2246" r:id="rId2247" xr:uid="{00000000-0004-0000-0000-0000C6080000}"/>
    <hyperlink ref="D2247" r:id="rId2248" xr:uid="{00000000-0004-0000-0000-0000C7080000}"/>
    <hyperlink ref="D2248" r:id="rId2249" xr:uid="{00000000-0004-0000-0000-0000C8080000}"/>
    <hyperlink ref="D2249" r:id="rId2250" xr:uid="{00000000-0004-0000-0000-0000C9080000}"/>
    <hyperlink ref="D2250" r:id="rId2251" xr:uid="{00000000-0004-0000-0000-0000CA080000}"/>
    <hyperlink ref="D2251" r:id="rId2252" xr:uid="{00000000-0004-0000-0000-0000CB080000}"/>
    <hyperlink ref="D2252" r:id="rId2253" xr:uid="{00000000-0004-0000-0000-0000CC080000}"/>
    <hyperlink ref="D2253" r:id="rId2254" xr:uid="{00000000-0004-0000-0000-0000CD080000}"/>
    <hyperlink ref="D2254" r:id="rId2255" xr:uid="{00000000-0004-0000-0000-0000CE080000}"/>
    <hyperlink ref="D2255" r:id="rId2256" xr:uid="{00000000-0004-0000-0000-0000CF080000}"/>
    <hyperlink ref="D2256" r:id="rId2257" xr:uid="{00000000-0004-0000-0000-0000D0080000}"/>
    <hyperlink ref="D2257" r:id="rId2258" xr:uid="{00000000-0004-0000-0000-0000D1080000}"/>
    <hyperlink ref="D2258" r:id="rId2259" xr:uid="{00000000-0004-0000-0000-0000D2080000}"/>
    <hyperlink ref="D2259" r:id="rId2260" xr:uid="{00000000-0004-0000-0000-0000D3080000}"/>
    <hyperlink ref="D2260" r:id="rId2261" xr:uid="{00000000-0004-0000-0000-0000D4080000}"/>
    <hyperlink ref="D2261" r:id="rId2262" xr:uid="{00000000-0004-0000-0000-0000D5080000}"/>
    <hyperlink ref="D2262" r:id="rId2263" xr:uid="{00000000-0004-0000-0000-0000D6080000}"/>
    <hyperlink ref="D2263" r:id="rId2264" xr:uid="{00000000-0004-0000-0000-0000D7080000}"/>
    <hyperlink ref="D2264" r:id="rId2265" xr:uid="{00000000-0004-0000-0000-0000D8080000}"/>
    <hyperlink ref="D2265" r:id="rId2266" xr:uid="{00000000-0004-0000-0000-0000D9080000}"/>
    <hyperlink ref="D2266" r:id="rId2267" xr:uid="{00000000-0004-0000-0000-0000DA080000}"/>
    <hyperlink ref="D2267" r:id="rId2268" xr:uid="{00000000-0004-0000-0000-0000DB080000}"/>
    <hyperlink ref="D2268" r:id="rId2269" xr:uid="{00000000-0004-0000-0000-0000DC080000}"/>
    <hyperlink ref="D2269" r:id="rId2270" xr:uid="{00000000-0004-0000-0000-0000DD080000}"/>
    <hyperlink ref="D2270" r:id="rId2271" xr:uid="{00000000-0004-0000-0000-0000DE080000}"/>
    <hyperlink ref="D2271" r:id="rId2272" xr:uid="{00000000-0004-0000-0000-0000DF080000}"/>
    <hyperlink ref="D2272" r:id="rId2273" xr:uid="{00000000-0004-0000-0000-0000E0080000}"/>
    <hyperlink ref="D2273" r:id="rId2274" xr:uid="{00000000-0004-0000-0000-0000E1080000}"/>
    <hyperlink ref="D2274" r:id="rId2275" xr:uid="{00000000-0004-0000-0000-0000E2080000}"/>
    <hyperlink ref="D2275" r:id="rId2276" xr:uid="{00000000-0004-0000-0000-0000E3080000}"/>
    <hyperlink ref="D2276" r:id="rId2277" xr:uid="{00000000-0004-0000-0000-0000E4080000}"/>
    <hyperlink ref="D2277" r:id="rId2278" xr:uid="{00000000-0004-0000-0000-0000E5080000}"/>
    <hyperlink ref="D2278" r:id="rId2279" xr:uid="{00000000-0004-0000-0000-0000E6080000}"/>
    <hyperlink ref="D2279" r:id="rId2280" xr:uid="{00000000-0004-0000-0000-0000E7080000}"/>
    <hyperlink ref="D2280" r:id="rId2281" xr:uid="{00000000-0004-0000-0000-0000E8080000}"/>
    <hyperlink ref="D2281" r:id="rId2282" xr:uid="{00000000-0004-0000-0000-0000E9080000}"/>
    <hyperlink ref="D2282" r:id="rId2283" xr:uid="{00000000-0004-0000-0000-0000EA080000}"/>
    <hyperlink ref="D2283" r:id="rId2284" xr:uid="{00000000-0004-0000-0000-0000EB080000}"/>
    <hyperlink ref="D2284" r:id="rId2285" xr:uid="{00000000-0004-0000-0000-0000EC080000}"/>
    <hyperlink ref="D2285" r:id="rId2286" xr:uid="{00000000-0004-0000-0000-0000ED080000}"/>
    <hyperlink ref="D2286" r:id="rId2287" xr:uid="{00000000-0004-0000-0000-0000EE080000}"/>
    <hyperlink ref="D2287" r:id="rId2288" xr:uid="{00000000-0004-0000-0000-0000EF080000}"/>
    <hyperlink ref="D2288" r:id="rId2289" xr:uid="{00000000-0004-0000-0000-0000F0080000}"/>
    <hyperlink ref="D2289" r:id="rId2290" xr:uid="{00000000-0004-0000-0000-0000F1080000}"/>
    <hyperlink ref="D2290" r:id="rId2291" xr:uid="{00000000-0004-0000-0000-0000F2080000}"/>
    <hyperlink ref="D2291" r:id="rId2292" xr:uid="{00000000-0004-0000-0000-0000F3080000}"/>
    <hyperlink ref="D2292" r:id="rId2293" xr:uid="{00000000-0004-0000-0000-0000F4080000}"/>
    <hyperlink ref="D2293" r:id="rId2294" xr:uid="{00000000-0004-0000-0000-0000F5080000}"/>
    <hyperlink ref="D2294" r:id="rId2295" xr:uid="{00000000-0004-0000-0000-0000F6080000}"/>
    <hyperlink ref="D2295" r:id="rId2296" xr:uid="{00000000-0004-0000-0000-0000F7080000}"/>
    <hyperlink ref="D2296" r:id="rId2297" xr:uid="{00000000-0004-0000-0000-0000F8080000}"/>
    <hyperlink ref="D2297" r:id="rId2298" xr:uid="{00000000-0004-0000-0000-0000F9080000}"/>
    <hyperlink ref="D2298" r:id="rId2299" xr:uid="{00000000-0004-0000-0000-0000FA080000}"/>
    <hyperlink ref="D2299" r:id="rId2300" xr:uid="{00000000-0004-0000-0000-0000FB080000}"/>
    <hyperlink ref="D2300" r:id="rId2301" xr:uid="{00000000-0004-0000-0000-0000FC080000}"/>
    <hyperlink ref="D2301" r:id="rId2302" xr:uid="{00000000-0004-0000-0000-0000FD080000}"/>
    <hyperlink ref="D2302" r:id="rId2303" xr:uid="{00000000-0004-0000-0000-0000FE080000}"/>
    <hyperlink ref="D2303" r:id="rId2304" xr:uid="{00000000-0004-0000-0000-0000FF080000}"/>
    <hyperlink ref="D2304" r:id="rId2305" xr:uid="{00000000-0004-0000-0000-000000090000}"/>
    <hyperlink ref="D2305" r:id="rId2306" xr:uid="{00000000-0004-0000-0000-000001090000}"/>
    <hyperlink ref="D2306" r:id="rId2307" xr:uid="{00000000-0004-0000-0000-000002090000}"/>
    <hyperlink ref="D2307" r:id="rId2308" xr:uid="{00000000-0004-0000-0000-000003090000}"/>
    <hyperlink ref="D2308" r:id="rId2309" xr:uid="{00000000-0004-0000-0000-000004090000}"/>
    <hyperlink ref="D2309" r:id="rId2310" xr:uid="{00000000-0004-0000-0000-000005090000}"/>
    <hyperlink ref="D2310" r:id="rId2311" xr:uid="{00000000-0004-0000-0000-000006090000}"/>
    <hyperlink ref="D2311" r:id="rId2312" xr:uid="{00000000-0004-0000-0000-000007090000}"/>
    <hyperlink ref="D2312" r:id="rId2313" xr:uid="{00000000-0004-0000-0000-000008090000}"/>
    <hyperlink ref="D2313" r:id="rId2314" xr:uid="{00000000-0004-0000-0000-000009090000}"/>
    <hyperlink ref="D2314" r:id="rId2315" xr:uid="{00000000-0004-0000-0000-00000A090000}"/>
    <hyperlink ref="D2315" r:id="rId2316" xr:uid="{00000000-0004-0000-0000-00000B090000}"/>
    <hyperlink ref="D2316" r:id="rId2317" xr:uid="{00000000-0004-0000-0000-00000C090000}"/>
    <hyperlink ref="D2317" r:id="rId2318" xr:uid="{00000000-0004-0000-0000-00000D090000}"/>
    <hyperlink ref="D2318" r:id="rId2319" xr:uid="{00000000-0004-0000-0000-00000E090000}"/>
    <hyperlink ref="D2319" r:id="rId2320" xr:uid="{00000000-0004-0000-0000-00000F090000}"/>
    <hyperlink ref="D2320" r:id="rId2321" xr:uid="{00000000-0004-0000-0000-000010090000}"/>
    <hyperlink ref="D2321" r:id="rId2322" xr:uid="{00000000-0004-0000-0000-000011090000}"/>
    <hyperlink ref="D2322" r:id="rId2323" xr:uid="{00000000-0004-0000-0000-000012090000}"/>
    <hyperlink ref="D2323" r:id="rId2324" xr:uid="{00000000-0004-0000-0000-000013090000}"/>
    <hyperlink ref="D2324" r:id="rId2325" xr:uid="{00000000-0004-0000-0000-000014090000}"/>
    <hyperlink ref="D2325" r:id="rId2326" xr:uid="{00000000-0004-0000-0000-000015090000}"/>
    <hyperlink ref="D2326" r:id="rId2327" xr:uid="{00000000-0004-0000-0000-000016090000}"/>
    <hyperlink ref="D2327" r:id="rId2328" xr:uid="{00000000-0004-0000-0000-000017090000}"/>
    <hyperlink ref="D2328" r:id="rId2329" xr:uid="{00000000-0004-0000-0000-000018090000}"/>
    <hyperlink ref="D2329" r:id="rId2330" xr:uid="{00000000-0004-0000-0000-000019090000}"/>
    <hyperlink ref="D2330" r:id="rId2331" xr:uid="{00000000-0004-0000-0000-00001A090000}"/>
    <hyperlink ref="D2331" r:id="rId2332" xr:uid="{00000000-0004-0000-0000-00001B090000}"/>
    <hyperlink ref="D2332" r:id="rId2333" xr:uid="{00000000-0004-0000-0000-00001C090000}"/>
    <hyperlink ref="D2333" r:id="rId2334" xr:uid="{00000000-0004-0000-0000-00001D090000}"/>
    <hyperlink ref="D2334" r:id="rId2335" xr:uid="{00000000-0004-0000-0000-00001E090000}"/>
    <hyperlink ref="D2335" r:id="rId2336" xr:uid="{00000000-0004-0000-0000-00001F090000}"/>
    <hyperlink ref="D2336" r:id="rId2337" xr:uid="{00000000-0004-0000-0000-000020090000}"/>
    <hyperlink ref="D2337" r:id="rId2338" xr:uid="{00000000-0004-0000-0000-000021090000}"/>
    <hyperlink ref="D2338" r:id="rId2339" xr:uid="{00000000-0004-0000-0000-000022090000}"/>
    <hyperlink ref="D2339" r:id="rId2340" xr:uid="{00000000-0004-0000-0000-000023090000}"/>
    <hyperlink ref="D2340" r:id="rId2341" xr:uid="{00000000-0004-0000-0000-000024090000}"/>
    <hyperlink ref="D2341" r:id="rId2342" xr:uid="{00000000-0004-0000-0000-000025090000}"/>
    <hyperlink ref="D2342" r:id="rId2343" xr:uid="{00000000-0004-0000-0000-000026090000}"/>
    <hyperlink ref="D2343" r:id="rId2344" xr:uid="{00000000-0004-0000-0000-000027090000}"/>
    <hyperlink ref="D2344" r:id="rId2345" xr:uid="{00000000-0004-0000-0000-000028090000}"/>
    <hyperlink ref="D2345" r:id="rId2346" xr:uid="{00000000-0004-0000-0000-000029090000}"/>
    <hyperlink ref="D2346" r:id="rId2347" xr:uid="{00000000-0004-0000-0000-00002A090000}"/>
    <hyperlink ref="D2347" r:id="rId2348" xr:uid="{00000000-0004-0000-0000-00002B090000}"/>
    <hyperlink ref="D2348" r:id="rId2349" xr:uid="{00000000-0004-0000-0000-00002C090000}"/>
    <hyperlink ref="D2349" r:id="rId2350" xr:uid="{00000000-0004-0000-0000-00002D090000}"/>
    <hyperlink ref="D2350" r:id="rId2351" xr:uid="{00000000-0004-0000-0000-00002E090000}"/>
    <hyperlink ref="D2351" r:id="rId2352" xr:uid="{00000000-0004-0000-0000-00002F090000}"/>
    <hyperlink ref="D2352" r:id="rId2353" xr:uid="{00000000-0004-0000-0000-000030090000}"/>
    <hyperlink ref="D2353" r:id="rId2354" xr:uid="{00000000-0004-0000-0000-000031090000}"/>
    <hyperlink ref="D2354" r:id="rId2355" xr:uid="{00000000-0004-0000-0000-000032090000}"/>
    <hyperlink ref="D2355" r:id="rId2356" xr:uid="{00000000-0004-0000-0000-000033090000}"/>
    <hyperlink ref="D2356" r:id="rId2357" xr:uid="{00000000-0004-0000-0000-000034090000}"/>
    <hyperlink ref="D2357" r:id="rId2358" xr:uid="{00000000-0004-0000-0000-000035090000}"/>
    <hyperlink ref="D2358" r:id="rId2359" xr:uid="{00000000-0004-0000-0000-000036090000}"/>
    <hyperlink ref="D2359" r:id="rId2360" xr:uid="{00000000-0004-0000-0000-000037090000}"/>
    <hyperlink ref="D2360" r:id="rId2361" xr:uid="{00000000-0004-0000-0000-000038090000}"/>
    <hyperlink ref="D2361" r:id="rId2362" xr:uid="{00000000-0004-0000-0000-000039090000}"/>
    <hyperlink ref="D2362" r:id="rId2363" xr:uid="{00000000-0004-0000-0000-00003A090000}"/>
    <hyperlink ref="D2363" r:id="rId2364" xr:uid="{00000000-0004-0000-0000-00003B090000}"/>
    <hyperlink ref="D2364" r:id="rId2365" xr:uid="{00000000-0004-0000-0000-00003C090000}"/>
    <hyperlink ref="D2365" r:id="rId2366" xr:uid="{00000000-0004-0000-0000-00003D090000}"/>
    <hyperlink ref="D2366" r:id="rId2367" xr:uid="{00000000-0004-0000-0000-00003E090000}"/>
    <hyperlink ref="D2367" r:id="rId2368" xr:uid="{00000000-0004-0000-0000-00003F090000}"/>
    <hyperlink ref="D2368" r:id="rId2369" xr:uid="{00000000-0004-0000-0000-000040090000}"/>
    <hyperlink ref="D2369" r:id="rId2370" xr:uid="{00000000-0004-0000-0000-000041090000}"/>
    <hyperlink ref="D2370" r:id="rId2371" xr:uid="{00000000-0004-0000-0000-000042090000}"/>
    <hyperlink ref="D2371" r:id="rId2372" xr:uid="{00000000-0004-0000-0000-000043090000}"/>
    <hyperlink ref="D2372" r:id="rId2373" xr:uid="{00000000-0004-0000-0000-000044090000}"/>
    <hyperlink ref="D2373" r:id="rId2374" xr:uid="{00000000-0004-0000-0000-000045090000}"/>
    <hyperlink ref="D2374" r:id="rId2375" xr:uid="{00000000-0004-0000-0000-000046090000}"/>
    <hyperlink ref="D2375" r:id="rId2376" xr:uid="{00000000-0004-0000-0000-000047090000}"/>
    <hyperlink ref="D2376" r:id="rId2377" xr:uid="{00000000-0004-0000-0000-000048090000}"/>
    <hyperlink ref="D2377" r:id="rId2378" xr:uid="{00000000-0004-0000-0000-000049090000}"/>
    <hyperlink ref="D2378" r:id="rId2379" xr:uid="{00000000-0004-0000-0000-00004A090000}"/>
    <hyperlink ref="D2379" r:id="rId2380" xr:uid="{00000000-0004-0000-0000-00004B090000}"/>
    <hyperlink ref="D2380" r:id="rId2381" xr:uid="{00000000-0004-0000-0000-00004C090000}"/>
    <hyperlink ref="D2381" r:id="rId2382" xr:uid="{00000000-0004-0000-0000-00004D090000}"/>
    <hyperlink ref="D2382" r:id="rId2383" xr:uid="{00000000-0004-0000-0000-00004E090000}"/>
    <hyperlink ref="D2383" r:id="rId2384" xr:uid="{00000000-0004-0000-0000-00004F090000}"/>
    <hyperlink ref="D2384" r:id="rId2385" xr:uid="{00000000-0004-0000-0000-000050090000}"/>
    <hyperlink ref="D2385" r:id="rId2386" xr:uid="{00000000-0004-0000-0000-000051090000}"/>
    <hyperlink ref="D2386" r:id="rId2387" xr:uid="{00000000-0004-0000-0000-000052090000}"/>
    <hyperlink ref="D2387" r:id="rId2388" xr:uid="{00000000-0004-0000-0000-000053090000}"/>
    <hyperlink ref="D2388" r:id="rId2389" xr:uid="{00000000-0004-0000-0000-000054090000}"/>
    <hyperlink ref="D2389" r:id="rId2390" xr:uid="{00000000-0004-0000-0000-000055090000}"/>
    <hyperlink ref="D2390" r:id="rId2391" xr:uid="{00000000-0004-0000-0000-000056090000}"/>
    <hyperlink ref="D2391" r:id="rId2392" xr:uid="{00000000-0004-0000-0000-000057090000}"/>
    <hyperlink ref="D2392" r:id="rId2393" xr:uid="{00000000-0004-0000-0000-000058090000}"/>
    <hyperlink ref="D2393" r:id="rId2394" xr:uid="{00000000-0004-0000-0000-000059090000}"/>
    <hyperlink ref="D2394" r:id="rId2395" xr:uid="{00000000-0004-0000-0000-00005A090000}"/>
    <hyperlink ref="D2395" r:id="rId2396" xr:uid="{00000000-0004-0000-0000-00005B090000}"/>
    <hyperlink ref="D2396" r:id="rId2397" xr:uid="{00000000-0004-0000-0000-00005C090000}"/>
    <hyperlink ref="D2397" r:id="rId2398" xr:uid="{00000000-0004-0000-0000-00005D090000}"/>
    <hyperlink ref="D2398" r:id="rId2399" xr:uid="{00000000-0004-0000-0000-00005E090000}"/>
    <hyperlink ref="D2399" r:id="rId2400" xr:uid="{00000000-0004-0000-0000-00005F090000}"/>
    <hyperlink ref="D2400" r:id="rId2401" xr:uid="{00000000-0004-0000-0000-000060090000}"/>
    <hyperlink ref="D2401" r:id="rId2402" xr:uid="{00000000-0004-0000-0000-000061090000}"/>
    <hyperlink ref="D2402" r:id="rId2403" xr:uid="{00000000-0004-0000-0000-000062090000}"/>
    <hyperlink ref="D2403" r:id="rId2404" xr:uid="{00000000-0004-0000-0000-000063090000}"/>
    <hyperlink ref="D2404" r:id="rId2405" xr:uid="{00000000-0004-0000-0000-000064090000}"/>
    <hyperlink ref="D2405" r:id="rId2406" xr:uid="{00000000-0004-0000-0000-000065090000}"/>
    <hyperlink ref="D2406" r:id="rId2407" xr:uid="{00000000-0004-0000-0000-000066090000}"/>
    <hyperlink ref="D2407" r:id="rId2408" xr:uid="{00000000-0004-0000-0000-000067090000}"/>
    <hyperlink ref="D2408" r:id="rId2409" xr:uid="{00000000-0004-0000-0000-000068090000}"/>
    <hyperlink ref="D2409" r:id="rId2410" xr:uid="{00000000-0004-0000-0000-000069090000}"/>
    <hyperlink ref="D2410" r:id="rId2411" xr:uid="{00000000-0004-0000-0000-00006A090000}"/>
    <hyperlink ref="D2411" r:id="rId2412" xr:uid="{00000000-0004-0000-0000-00006B090000}"/>
    <hyperlink ref="D2412" r:id="rId2413" xr:uid="{00000000-0004-0000-0000-00006C090000}"/>
    <hyperlink ref="D2413" r:id="rId2414" xr:uid="{00000000-0004-0000-0000-00006D090000}"/>
    <hyperlink ref="D2414" r:id="rId2415" xr:uid="{00000000-0004-0000-0000-00006E090000}"/>
    <hyperlink ref="D2415" r:id="rId2416" xr:uid="{00000000-0004-0000-0000-00006F090000}"/>
    <hyperlink ref="D2416" r:id="rId2417" xr:uid="{00000000-0004-0000-0000-000070090000}"/>
    <hyperlink ref="D2417" r:id="rId2418" xr:uid="{00000000-0004-0000-0000-000071090000}"/>
    <hyperlink ref="D2418" r:id="rId2419" xr:uid="{00000000-0004-0000-0000-000072090000}"/>
    <hyperlink ref="D2419" r:id="rId2420" xr:uid="{00000000-0004-0000-0000-000073090000}"/>
    <hyperlink ref="D2420" r:id="rId2421" xr:uid="{00000000-0004-0000-0000-000074090000}"/>
    <hyperlink ref="D2421" r:id="rId2422" xr:uid="{00000000-0004-0000-0000-000075090000}"/>
    <hyperlink ref="D2422" r:id="rId2423" xr:uid="{00000000-0004-0000-0000-000076090000}"/>
    <hyperlink ref="D2423" r:id="rId2424" xr:uid="{00000000-0004-0000-0000-000077090000}"/>
    <hyperlink ref="D2424" r:id="rId2425" xr:uid="{00000000-0004-0000-0000-000078090000}"/>
    <hyperlink ref="D2425" r:id="rId2426" xr:uid="{00000000-0004-0000-0000-000079090000}"/>
    <hyperlink ref="D2426" r:id="rId2427" xr:uid="{00000000-0004-0000-0000-00007A090000}"/>
    <hyperlink ref="D2427" r:id="rId2428" xr:uid="{00000000-0004-0000-0000-00007B090000}"/>
    <hyperlink ref="D2428" r:id="rId2429" xr:uid="{00000000-0004-0000-0000-00007C090000}"/>
    <hyperlink ref="D2429" r:id="rId2430" xr:uid="{00000000-0004-0000-0000-00007D090000}"/>
    <hyperlink ref="D2430" r:id="rId2431" xr:uid="{00000000-0004-0000-0000-00007E090000}"/>
    <hyperlink ref="D2431" r:id="rId2432" xr:uid="{00000000-0004-0000-0000-00007F090000}"/>
    <hyperlink ref="D2432" r:id="rId2433" xr:uid="{00000000-0004-0000-0000-000080090000}"/>
    <hyperlink ref="D2433" r:id="rId2434" xr:uid="{00000000-0004-0000-0000-000081090000}"/>
    <hyperlink ref="D2434" r:id="rId2435" xr:uid="{00000000-0004-0000-0000-000082090000}"/>
    <hyperlink ref="D2435" r:id="rId2436" xr:uid="{00000000-0004-0000-0000-000083090000}"/>
    <hyperlink ref="D2436" r:id="rId2437" xr:uid="{00000000-0004-0000-0000-000084090000}"/>
    <hyperlink ref="D2437" r:id="rId2438" xr:uid="{00000000-0004-0000-0000-000085090000}"/>
    <hyperlink ref="D2438" r:id="rId2439" xr:uid="{00000000-0004-0000-0000-000086090000}"/>
    <hyperlink ref="D2439" r:id="rId2440" xr:uid="{00000000-0004-0000-0000-000087090000}"/>
    <hyperlink ref="D2440" r:id="rId2441" xr:uid="{00000000-0004-0000-0000-000088090000}"/>
    <hyperlink ref="D2441" r:id="rId2442" xr:uid="{00000000-0004-0000-0000-000089090000}"/>
    <hyperlink ref="D2442" r:id="rId2443" xr:uid="{00000000-0004-0000-0000-00008A090000}"/>
    <hyperlink ref="D2443" r:id="rId2444" xr:uid="{00000000-0004-0000-0000-00008B090000}"/>
    <hyperlink ref="D2444" r:id="rId2445" xr:uid="{00000000-0004-0000-0000-00008C090000}"/>
    <hyperlink ref="D2445" r:id="rId2446" xr:uid="{00000000-0004-0000-0000-00008D090000}"/>
    <hyperlink ref="D2446" r:id="rId2447" xr:uid="{00000000-0004-0000-0000-00008E090000}"/>
    <hyperlink ref="D2447" r:id="rId2448" xr:uid="{00000000-0004-0000-0000-00008F090000}"/>
    <hyperlink ref="D2448" r:id="rId2449" xr:uid="{00000000-0004-0000-0000-000090090000}"/>
    <hyperlink ref="D2449" r:id="rId2450" xr:uid="{00000000-0004-0000-0000-000091090000}"/>
    <hyperlink ref="D2450" r:id="rId2451" xr:uid="{00000000-0004-0000-0000-000092090000}"/>
    <hyperlink ref="D2451" r:id="rId2452" xr:uid="{00000000-0004-0000-0000-000093090000}"/>
    <hyperlink ref="D2452" r:id="rId2453" xr:uid="{00000000-0004-0000-0000-000094090000}"/>
    <hyperlink ref="D2453" r:id="rId2454" xr:uid="{00000000-0004-0000-0000-000095090000}"/>
    <hyperlink ref="D2454" r:id="rId2455" xr:uid="{00000000-0004-0000-0000-000096090000}"/>
    <hyperlink ref="D2455" r:id="rId2456" xr:uid="{00000000-0004-0000-0000-000097090000}"/>
    <hyperlink ref="D2456" r:id="rId2457" xr:uid="{00000000-0004-0000-0000-000098090000}"/>
    <hyperlink ref="D2457" r:id="rId2458" xr:uid="{00000000-0004-0000-0000-000099090000}"/>
    <hyperlink ref="D2458" r:id="rId2459" xr:uid="{00000000-0004-0000-0000-00009A090000}"/>
    <hyperlink ref="D2459" r:id="rId2460" xr:uid="{00000000-0004-0000-0000-00009B090000}"/>
    <hyperlink ref="D2460" r:id="rId2461" xr:uid="{00000000-0004-0000-0000-00009C090000}"/>
    <hyperlink ref="D2461" r:id="rId2462" xr:uid="{00000000-0004-0000-0000-00009D090000}"/>
    <hyperlink ref="D2462" r:id="rId2463" xr:uid="{00000000-0004-0000-0000-00009E090000}"/>
    <hyperlink ref="D2463" r:id="rId2464" xr:uid="{00000000-0004-0000-0000-00009F090000}"/>
    <hyperlink ref="D2464" r:id="rId2465" xr:uid="{00000000-0004-0000-0000-0000A0090000}"/>
    <hyperlink ref="D2465" r:id="rId2466" xr:uid="{00000000-0004-0000-0000-0000A1090000}"/>
    <hyperlink ref="D2466" r:id="rId2467" xr:uid="{00000000-0004-0000-0000-0000A2090000}"/>
    <hyperlink ref="D2467" r:id="rId2468" xr:uid="{00000000-0004-0000-0000-0000A3090000}"/>
    <hyperlink ref="D2468" r:id="rId2469" xr:uid="{00000000-0004-0000-0000-0000A4090000}"/>
    <hyperlink ref="D2469" r:id="rId2470" xr:uid="{00000000-0004-0000-0000-0000A5090000}"/>
    <hyperlink ref="D2470" r:id="rId2471" xr:uid="{00000000-0004-0000-0000-0000A6090000}"/>
    <hyperlink ref="D2471" r:id="rId2472" xr:uid="{00000000-0004-0000-0000-0000A7090000}"/>
    <hyperlink ref="D2472" r:id="rId2473" xr:uid="{00000000-0004-0000-0000-0000A8090000}"/>
    <hyperlink ref="D2473" r:id="rId2474" xr:uid="{00000000-0004-0000-0000-0000A9090000}"/>
    <hyperlink ref="D2474" r:id="rId2475" xr:uid="{00000000-0004-0000-0000-0000AA090000}"/>
    <hyperlink ref="D2475" r:id="rId2476" xr:uid="{00000000-0004-0000-0000-0000AB090000}"/>
    <hyperlink ref="D2476" r:id="rId2477" xr:uid="{00000000-0004-0000-0000-0000AC090000}"/>
    <hyperlink ref="D2477" r:id="rId2478" xr:uid="{00000000-0004-0000-0000-0000AD090000}"/>
    <hyperlink ref="D2478" r:id="rId2479" xr:uid="{00000000-0004-0000-0000-0000AE090000}"/>
    <hyperlink ref="D2479" r:id="rId2480" xr:uid="{00000000-0004-0000-0000-0000AF090000}"/>
    <hyperlink ref="D2480" r:id="rId2481" xr:uid="{00000000-0004-0000-0000-0000B0090000}"/>
    <hyperlink ref="D2481" r:id="rId2482" xr:uid="{00000000-0004-0000-0000-0000B1090000}"/>
    <hyperlink ref="D2482" r:id="rId2483" xr:uid="{00000000-0004-0000-0000-0000B2090000}"/>
    <hyperlink ref="D2483" r:id="rId2484" xr:uid="{00000000-0004-0000-0000-0000B3090000}"/>
    <hyperlink ref="D2484" r:id="rId2485" xr:uid="{00000000-0004-0000-0000-0000B4090000}"/>
    <hyperlink ref="D2485" r:id="rId2486" xr:uid="{00000000-0004-0000-0000-0000B5090000}"/>
    <hyperlink ref="D2486" r:id="rId2487" xr:uid="{00000000-0004-0000-0000-0000B6090000}"/>
    <hyperlink ref="D2487" r:id="rId2488" xr:uid="{00000000-0004-0000-0000-0000B7090000}"/>
    <hyperlink ref="D2488" r:id="rId2489" xr:uid="{00000000-0004-0000-0000-0000B8090000}"/>
    <hyperlink ref="D2489" r:id="rId2490" xr:uid="{00000000-0004-0000-0000-0000B9090000}"/>
    <hyperlink ref="D2490" r:id="rId2491" xr:uid="{00000000-0004-0000-0000-0000BA090000}"/>
    <hyperlink ref="D2491" r:id="rId2492" xr:uid="{00000000-0004-0000-0000-0000BB090000}"/>
    <hyperlink ref="D2492" r:id="rId2493" xr:uid="{00000000-0004-0000-0000-0000BC090000}"/>
    <hyperlink ref="D2493" r:id="rId2494" xr:uid="{00000000-0004-0000-0000-0000BD090000}"/>
    <hyperlink ref="D2494" r:id="rId2495" xr:uid="{00000000-0004-0000-0000-0000BE090000}"/>
    <hyperlink ref="D2495" r:id="rId2496" xr:uid="{00000000-0004-0000-0000-0000BF090000}"/>
    <hyperlink ref="D2496" r:id="rId2497" xr:uid="{00000000-0004-0000-0000-0000C0090000}"/>
    <hyperlink ref="D2497" r:id="rId2498" xr:uid="{00000000-0004-0000-0000-0000C1090000}"/>
    <hyperlink ref="D2498" r:id="rId2499" xr:uid="{00000000-0004-0000-0000-0000C2090000}"/>
    <hyperlink ref="D2499" r:id="rId2500" xr:uid="{00000000-0004-0000-0000-0000C3090000}"/>
    <hyperlink ref="D2500" r:id="rId2501" xr:uid="{00000000-0004-0000-0000-0000C4090000}"/>
    <hyperlink ref="D2501" r:id="rId2502" xr:uid="{00000000-0004-0000-0000-0000C5090000}"/>
    <hyperlink ref="D2502" r:id="rId2503" xr:uid="{00000000-0004-0000-0000-0000C6090000}"/>
    <hyperlink ref="D2503" r:id="rId2504" xr:uid="{00000000-0004-0000-0000-0000C7090000}"/>
    <hyperlink ref="D2504" r:id="rId2505" xr:uid="{00000000-0004-0000-0000-0000C8090000}"/>
    <hyperlink ref="D2505" r:id="rId2506" xr:uid="{00000000-0004-0000-0000-0000C9090000}"/>
    <hyperlink ref="D2506" r:id="rId2507" xr:uid="{00000000-0004-0000-0000-0000CA090000}"/>
    <hyperlink ref="D2507" r:id="rId2508" xr:uid="{00000000-0004-0000-0000-0000CB090000}"/>
    <hyperlink ref="D2508" r:id="rId2509" xr:uid="{00000000-0004-0000-0000-0000CC090000}"/>
    <hyperlink ref="D2509" r:id="rId2510" xr:uid="{00000000-0004-0000-0000-0000CD090000}"/>
    <hyperlink ref="D2510" r:id="rId2511" xr:uid="{00000000-0004-0000-0000-0000CE090000}"/>
    <hyperlink ref="D2511" r:id="rId2512" xr:uid="{00000000-0004-0000-0000-0000CF090000}"/>
    <hyperlink ref="D2512" r:id="rId2513" xr:uid="{00000000-0004-0000-0000-0000D0090000}"/>
    <hyperlink ref="D2513" r:id="rId2514" xr:uid="{00000000-0004-0000-0000-0000D1090000}"/>
    <hyperlink ref="D2514" r:id="rId2515" xr:uid="{00000000-0004-0000-0000-0000D2090000}"/>
    <hyperlink ref="D2515" r:id="rId2516" xr:uid="{00000000-0004-0000-0000-0000D3090000}"/>
    <hyperlink ref="D2516" r:id="rId2517" xr:uid="{00000000-0004-0000-0000-0000D4090000}"/>
    <hyperlink ref="D2517" r:id="rId2518" xr:uid="{00000000-0004-0000-0000-0000D5090000}"/>
    <hyperlink ref="D2518" r:id="rId2519" xr:uid="{00000000-0004-0000-0000-0000D6090000}"/>
    <hyperlink ref="D2519" r:id="rId2520" xr:uid="{00000000-0004-0000-0000-0000D7090000}"/>
    <hyperlink ref="D2520" r:id="rId2521" xr:uid="{00000000-0004-0000-0000-0000D8090000}"/>
    <hyperlink ref="D2521" r:id="rId2522" xr:uid="{00000000-0004-0000-0000-0000D9090000}"/>
    <hyperlink ref="D2522" r:id="rId2523" xr:uid="{00000000-0004-0000-0000-0000DA090000}"/>
    <hyperlink ref="D2523" r:id="rId2524" xr:uid="{00000000-0004-0000-0000-0000DB090000}"/>
    <hyperlink ref="D2524" r:id="rId2525" xr:uid="{00000000-0004-0000-0000-0000DC090000}"/>
    <hyperlink ref="D2525" r:id="rId2526" xr:uid="{00000000-0004-0000-0000-0000DD090000}"/>
    <hyperlink ref="D2526" r:id="rId2527" xr:uid="{00000000-0004-0000-0000-0000DE090000}"/>
    <hyperlink ref="D2527" r:id="rId2528" xr:uid="{00000000-0004-0000-0000-0000DF090000}"/>
    <hyperlink ref="D2528" r:id="rId2529" xr:uid="{00000000-0004-0000-0000-0000E0090000}"/>
    <hyperlink ref="D2529" r:id="rId2530" xr:uid="{00000000-0004-0000-0000-0000E1090000}"/>
    <hyperlink ref="D2530" r:id="rId2531" xr:uid="{00000000-0004-0000-0000-0000E2090000}"/>
    <hyperlink ref="D2531" r:id="rId2532" xr:uid="{00000000-0004-0000-0000-0000E3090000}"/>
    <hyperlink ref="D2532" r:id="rId2533" xr:uid="{00000000-0004-0000-0000-0000E4090000}"/>
    <hyperlink ref="D2533" r:id="rId2534" xr:uid="{00000000-0004-0000-0000-0000E5090000}"/>
    <hyperlink ref="D2534" r:id="rId2535" xr:uid="{00000000-0004-0000-0000-0000E6090000}"/>
    <hyperlink ref="D2535" r:id="rId2536" xr:uid="{00000000-0004-0000-0000-0000E7090000}"/>
    <hyperlink ref="D2536" r:id="rId2537" xr:uid="{00000000-0004-0000-0000-0000E8090000}"/>
    <hyperlink ref="D2537" r:id="rId2538" xr:uid="{00000000-0004-0000-0000-0000E9090000}"/>
    <hyperlink ref="D2538" r:id="rId2539" xr:uid="{00000000-0004-0000-0000-0000EA090000}"/>
    <hyperlink ref="D2539" r:id="rId2540" xr:uid="{00000000-0004-0000-0000-0000EB090000}"/>
    <hyperlink ref="D2540" r:id="rId2541" xr:uid="{00000000-0004-0000-0000-0000EC090000}"/>
    <hyperlink ref="D2541" r:id="rId2542" xr:uid="{00000000-0004-0000-0000-0000ED090000}"/>
    <hyperlink ref="D2542" r:id="rId2543" xr:uid="{00000000-0004-0000-0000-0000EE090000}"/>
    <hyperlink ref="D2543" r:id="rId2544" xr:uid="{00000000-0004-0000-0000-0000EF090000}"/>
    <hyperlink ref="D2544" r:id="rId2545" xr:uid="{00000000-0004-0000-0000-0000F0090000}"/>
    <hyperlink ref="D2545" r:id="rId2546" xr:uid="{00000000-0004-0000-0000-0000F1090000}"/>
    <hyperlink ref="D2546" r:id="rId2547" xr:uid="{00000000-0004-0000-0000-0000F2090000}"/>
    <hyperlink ref="D2547" r:id="rId2548" xr:uid="{00000000-0004-0000-0000-0000F3090000}"/>
    <hyperlink ref="D2548" r:id="rId2549" xr:uid="{00000000-0004-0000-0000-0000F4090000}"/>
    <hyperlink ref="D2549" r:id="rId2550" xr:uid="{00000000-0004-0000-0000-0000F5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Ahsan Soomro</cp:lastModifiedBy>
  <dcterms:modified xsi:type="dcterms:W3CDTF">2026-05-06T09:26:00Z</dcterms:modified>
</cp:coreProperties>
</file>